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iagrams/data3.xml" ContentType="application/vnd.openxmlformats-officedocument.drawingml.diagramData+xml"/>
  <Override PartName="/xl/diagrams/layout3.xml" ContentType="application/vnd.openxmlformats-officedocument.drawingml.diagramLayout+xml"/>
  <Override PartName="/xl/diagrams/quickStyle3.xml" ContentType="application/vnd.openxmlformats-officedocument.drawingml.diagramStyle+xml"/>
  <Override PartName="/xl/diagrams/colors3.xml" ContentType="application/vnd.openxmlformats-officedocument.drawingml.diagramColors+xml"/>
  <Override PartName="/xl/diagrams/drawing3.xml" ContentType="application/vnd.ms-office.drawingml.diagram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defaultThemeVersion="124226"/>
  <mc:AlternateContent xmlns:mc="http://schemas.openxmlformats.org/markup-compatibility/2006">
    <mc:Choice Requires="x15">
      <x15ac:absPath xmlns:x15ac="http://schemas.microsoft.com/office/spreadsheetml/2010/11/ac" url="R:\PIT Testing\Tools\FPS_Test_Automation\Test Package - NCLCustAssessor\"/>
    </mc:Choice>
  </mc:AlternateContent>
  <bookViews>
    <workbookView xWindow="0" yWindow="0" windowWidth="19200" windowHeight="10935" tabRatio="637" activeTab="2"/>
  </bookViews>
  <sheets>
    <sheet name="Cover" sheetId="1" r:id="rId1"/>
    <sheet name="TestMatrix" sheetId="2" r:id="rId2"/>
    <sheet name="TestCases" sheetId="3" r:id="rId3"/>
    <sheet name="FormatTest" sheetId="4" r:id="rId4"/>
    <sheet name="BuildTest" sheetId="5" r:id="rId5"/>
    <sheet name="DB structure" sheetId="10" r:id="rId6"/>
    <sheet name="Version Control" sheetId="6" state="hidden" r:id="rId7"/>
    <sheet name="Control" sheetId="7" state="hidden" r:id="rId8"/>
    <sheet name="Instructions" sheetId="8" state="hidden" r:id="rId9"/>
  </sheets>
  <functionGroups builtInGroupCount="18"/>
  <externalReferences>
    <externalReference r:id="rId10"/>
    <externalReference r:id="rId11"/>
    <externalReference r:id="rId12"/>
  </externalReferences>
  <definedNames>
    <definedName name="_xlnm._FilterDatabase" localSheetId="2" hidden="1">TestCases!$A$1:$U$4</definedName>
    <definedName name="_xlnm._FilterDatabase" localSheetId="1" hidden="1">TestMatrix!$A$1:$G$1</definedName>
    <definedName name="Designer" localSheetId="3">[1]Control!$G$2:$G$32</definedName>
    <definedName name="Designer" localSheetId="1">[2]Control!$G$2:$G$31</definedName>
    <definedName name="Designer">Control!$G$2:$G$32</definedName>
    <definedName name="_xlnm.Print_Area" localSheetId="0">Cover!$A$1:$H$32</definedName>
    <definedName name="_xlnm.Print_Area" localSheetId="3">FormatTest!$A$1:$G$2</definedName>
    <definedName name="_xlnm.Print_Area" localSheetId="1">TestMatrix!$A$1:$H$36</definedName>
    <definedName name="_xlnm.Print_Titles" localSheetId="4">BuildTest!$B:$C,BuildTest!$2:$4</definedName>
    <definedName name="_xlnm.Print_Titles" localSheetId="2">TestCases!$1:$1</definedName>
    <definedName name="_xlnm.Print_Titles" localSheetId="1">TestMatrix!$1:$1</definedName>
    <definedName name="Priority" localSheetId="3">[1]Control!$A$2:$A$6</definedName>
    <definedName name="Priority">Control!$A$2:$A$6</definedName>
    <definedName name="Reusable" localSheetId="3">[1]Control!$F$2:$F$3</definedName>
    <definedName name="Reusable" localSheetId="1">[2]Control!$F$2:$F$3</definedName>
    <definedName name="Reusable">Control!$F$2:$F$3</definedName>
    <definedName name="Service_Category">Control!$C$2:$C$17</definedName>
    <definedName name="Service_Component">Control!$D$2:$D$268</definedName>
    <definedName name="Status" localSheetId="3">[1]Control!$B$2:$B$7</definedName>
    <definedName name="Status" localSheetId="1">[2]Control!$B$2:$B$7</definedName>
    <definedName name="Status">Control!$B$2:$B$7</definedName>
    <definedName name="Test_Phase" localSheetId="1">[2]Control!$E$2:$E$7</definedName>
    <definedName name="Test_Phase">Control!$E$2:$E$7</definedName>
    <definedName name="TestVersionControl" localSheetId="3">[1]Control!$H$2:$H$11</definedName>
    <definedName name="TestVersionControl" localSheetId="1">[2]Control!$H$2:$H$11</definedName>
    <definedName name="TestVersionControl">Control!$H$2:$H$11</definedName>
    <definedName name="Z_38D3F89A_32F8_4A57_A6F8_1BC1DD4CBDE7_.wvu.FilterData" localSheetId="2" hidden="1">TestCases!$A$1:$U$4</definedName>
    <definedName name="Z_38D3F89A_32F8_4A57_A6F8_1BC1DD4CBDE7_.wvu.FilterData" localSheetId="1" hidden="1">TestMatrix!$A$1:$G$1</definedName>
    <definedName name="Z_38D3F89A_32F8_4A57_A6F8_1BC1DD4CBDE7_.wvu.PrintArea" localSheetId="0" hidden="1">Cover!$A$1:$H$32</definedName>
    <definedName name="Z_38D3F89A_32F8_4A57_A6F8_1BC1DD4CBDE7_.wvu.PrintArea" localSheetId="3" hidden="1">FormatTest!$A$1:$G$2</definedName>
    <definedName name="Z_38D3F89A_32F8_4A57_A6F8_1BC1DD4CBDE7_.wvu.PrintArea" localSheetId="1" hidden="1">TestMatrix!$A$1:$H$5</definedName>
    <definedName name="Z_38D3F89A_32F8_4A57_A6F8_1BC1DD4CBDE7_.wvu.PrintTitles" localSheetId="4" hidden="1">BuildTest!$B:$C,BuildTest!$2:$4</definedName>
    <definedName name="Z_38D3F89A_32F8_4A57_A6F8_1BC1DD4CBDE7_.wvu.PrintTitles" localSheetId="2" hidden="1">TestCases!$1:$1</definedName>
    <definedName name="Z_38D3F89A_32F8_4A57_A6F8_1BC1DD4CBDE7_.wvu.PrintTitles" localSheetId="1" hidden="1">TestMatrix!$1:$1</definedName>
    <definedName name="Z_52AE7582_FD95_46D8_BA65_D10753F310CC_.wvu.FilterData" localSheetId="2" hidden="1">TestCases!$A$1:$U$4</definedName>
    <definedName name="Z_52AE7582_FD95_46D8_BA65_D10753F310CC_.wvu.FilterData" localSheetId="1" hidden="1">TestMatrix!$A$1:$G$1</definedName>
    <definedName name="Z_52AE7582_FD95_46D8_BA65_D10753F310CC_.wvu.PrintArea" localSheetId="0" hidden="1">Cover!$A$1:$H$32</definedName>
    <definedName name="Z_52AE7582_FD95_46D8_BA65_D10753F310CC_.wvu.PrintArea" localSheetId="3" hidden="1">FormatTest!$A$1:$G$2</definedName>
    <definedName name="Z_52AE7582_FD95_46D8_BA65_D10753F310CC_.wvu.PrintArea" localSheetId="1" hidden="1">TestMatrix!$A$1:$H$5</definedName>
    <definedName name="Z_52AE7582_FD95_46D8_BA65_D10753F310CC_.wvu.PrintTitles" localSheetId="4" hidden="1">BuildTest!$B:$C,BuildTest!$2:$4</definedName>
    <definedName name="Z_52AE7582_FD95_46D8_BA65_D10753F310CC_.wvu.PrintTitles" localSheetId="2" hidden="1">TestCases!$1:$1</definedName>
    <definedName name="Z_52AE7582_FD95_46D8_BA65_D10753F310CC_.wvu.PrintTitles" localSheetId="1" hidden="1">TestMatrix!$1:$1</definedName>
    <definedName name="Z_8FBD256E_70DD_4227_BC1B_5DC9094557C7_.wvu.FilterData" localSheetId="2" hidden="1">TestCases!$A$1:$U$4</definedName>
  </definedNames>
  <calcPr calcId="152511"/>
  <customWorkbookViews>
    <customWorkbookView name="Sekar, Preethi - Personal View" guid="{52AE7582-FD95-46D8-BA65-D10753F310CC}" mergeInterval="0" personalView="1" maximized="1" xWindow="1272" yWindow="-8" windowWidth="1296" windowHeight="1000" tabRatio="637" activeSheetId="3"/>
    <customWorkbookView name="Ravula, Sampath - Personal View" guid="{38D3F89A-32F8-4A57-A6F8-1BC1DD4CBDE7}" mergeInterval="0" personalView="1" maximized="1" xWindow="-8" yWindow="-8" windowWidth="1936" windowHeight="1056" tabRatio="637" activeSheetId="1"/>
  </customWorkbookViews>
</workbook>
</file>

<file path=xl/calcChain.xml><?xml version="1.0" encoding="utf-8"?>
<calcChain xmlns="http://schemas.openxmlformats.org/spreadsheetml/2006/main">
  <c r="A36" i="4" l="1"/>
  <c r="C36" i="3" s="1"/>
  <c r="U36" i="3" s="1"/>
  <c r="B36" i="4"/>
  <c r="C36" i="4"/>
  <c r="E36" i="3" s="1"/>
  <c r="D36" i="4"/>
  <c r="F36" i="4"/>
  <c r="K36" i="3" s="1"/>
  <c r="V36" i="3" s="1"/>
  <c r="G36" i="4"/>
  <c r="L36" i="3" s="1"/>
  <c r="W36" i="3" s="1"/>
  <c r="A37" i="4"/>
  <c r="C37" i="3" s="1"/>
  <c r="U37" i="3" s="1"/>
  <c r="B37" i="4"/>
  <c r="C37" i="4"/>
  <c r="E37" i="3" s="1"/>
  <c r="D37" i="4"/>
  <c r="F37" i="4"/>
  <c r="K37" i="3" s="1"/>
  <c r="V37" i="3" s="1"/>
  <c r="G37" i="4"/>
  <c r="L37" i="3" s="1"/>
  <c r="W37" i="3" s="1"/>
  <c r="A38" i="4"/>
  <c r="C38" i="3" s="1"/>
  <c r="U38" i="3" s="1"/>
  <c r="B38" i="4"/>
  <c r="C38" i="4"/>
  <c r="E38" i="3" s="1"/>
  <c r="D38" i="4"/>
  <c r="F38" i="4"/>
  <c r="K38" i="3" s="1"/>
  <c r="V38" i="3" s="1"/>
  <c r="G38" i="4"/>
  <c r="L38" i="3" s="1"/>
  <c r="W38" i="3" s="1"/>
  <c r="A39" i="4"/>
  <c r="C39" i="3" s="1"/>
  <c r="U39" i="3" s="1"/>
  <c r="B39" i="4"/>
  <c r="C39" i="4"/>
  <c r="E39" i="3" s="1"/>
  <c r="D39" i="4"/>
  <c r="F39" i="4"/>
  <c r="K39" i="3" s="1"/>
  <c r="V39" i="3" s="1"/>
  <c r="G39" i="4"/>
  <c r="L39" i="3" s="1"/>
  <c r="W39" i="3" s="1"/>
  <c r="A40" i="4"/>
  <c r="C40" i="3" s="1"/>
  <c r="U40" i="3" s="1"/>
  <c r="B40" i="4"/>
  <c r="C40" i="4"/>
  <c r="E40" i="3" s="1"/>
  <c r="D40" i="4"/>
  <c r="F40" i="4"/>
  <c r="K40" i="3" s="1"/>
  <c r="V40" i="3" s="1"/>
  <c r="G40" i="4"/>
  <c r="L40" i="3" s="1"/>
  <c r="W40" i="3" s="1"/>
  <c r="A41" i="4"/>
  <c r="C41" i="3" s="1"/>
  <c r="U41" i="3" s="1"/>
  <c r="B41" i="4"/>
  <c r="C41" i="4"/>
  <c r="E41" i="3" s="1"/>
  <c r="D41" i="4"/>
  <c r="F41" i="4"/>
  <c r="K41" i="3" s="1"/>
  <c r="V41" i="3" s="1"/>
  <c r="G41" i="4"/>
  <c r="L41" i="3" s="1"/>
  <c r="W41" i="3" s="1"/>
  <c r="A42" i="4"/>
  <c r="C42" i="3" s="1"/>
  <c r="U42" i="3" s="1"/>
  <c r="B42" i="4"/>
  <c r="C42" i="4"/>
  <c r="E42" i="3" s="1"/>
  <c r="D42" i="4"/>
  <c r="F42" i="4"/>
  <c r="K42" i="3" s="1"/>
  <c r="V42" i="3" s="1"/>
  <c r="G42" i="4"/>
  <c r="L42" i="3" s="1"/>
  <c r="W42" i="3" s="1"/>
  <c r="A43" i="4"/>
  <c r="C43" i="3" s="1"/>
  <c r="U43" i="3" s="1"/>
  <c r="B43" i="4"/>
  <c r="C43" i="4"/>
  <c r="D43" i="4"/>
  <c r="F43" i="4"/>
  <c r="G43" i="4"/>
  <c r="L43" i="3" s="1"/>
  <c r="W43" i="3" s="1"/>
  <c r="A44" i="4"/>
  <c r="B44" i="4"/>
  <c r="C44" i="4"/>
  <c r="E44" i="3" s="1"/>
  <c r="D44" i="4"/>
  <c r="F44" i="4"/>
  <c r="K44" i="3" s="1"/>
  <c r="V44" i="3" s="1"/>
  <c r="G44" i="4"/>
  <c r="L44" i="3" s="1"/>
  <c r="W44" i="3" s="1"/>
  <c r="A45" i="4"/>
  <c r="C45" i="3" s="1"/>
  <c r="U45" i="3" s="1"/>
  <c r="B45" i="4"/>
  <c r="C45" i="4"/>
  <c r="E45" i="3" s="1"/>
  <c r="D45" i="4"/>
  <c r="F45" i="4"/>
  <c r="K45" i="3" s="1"/>
  <c r="V45" i="3" s="1"/>
  <c r="G45" i="4"/>
  <c r="L45" i="3" s="1"/>
  <c r="W45" i="3" s="1"/>
  <c r="A46" i="4"/>
  <c r="C46" i="3" s="1"/>
  <c r="U46" i="3" s="1"/>
  <c r="B46" i="4"/>
  <c r="C46" i="4"/>
  <c r="E46" i="3" s="1"/>
  <c r="D46" i="4"/>
  <c r="F46" i="4"/>
  <c r="K46" i="3" s="1"/>
  <c r="V46" i="3" s="1"/>
  <c r="G46" i="4"/>
  <c r="L46" i="3" s="1"/>
  <c r="W46" i="3" s="1"/>
  <c r="A47" i="4"/>
  <c r="C47" i="3" s="1"/>
  <c r="U47" i="3" s="1"/>
  <c r="B47" i="4"/>
  <c r="C47" i="4"/>
  <c r="E47" i="3" s="1"/>
  <c r="D47" i="4"/>
  <c r="F47" i="4"/>
  <c r="K47" i="3" s="1"/>
  <c r="V47" i="3" s="1"/>
  <c r="G47" i="4"/>
  <c r="L47" i="3" s="1"/>
  <c r="W47" i="3" s="1"/>
  <c r="A48" i="4"/>
  <c r="C48" i="3" s="1"/>
  <c r="U48" i="3" s="1"/>
  <c r="B48" i="4"/>
  <c r="C48" i="4"/>
  <c r="E48" i="3" s="1"/>
  <c r="D48" i="4"/>
  <c r="F48" i="4"/>
  <c r="K48" i="3" s="1"/>
  <c r="V48" i="3" s="1"/>
  <c r="G48" i="4"/>
  <c r="L48" i="3" s="1"/>
  <c r="W48" i="3" s="1"/>
  <c r="A49" i="4"/>
  <c r="C49" i="3" s="1"/>
  <c r="U49" i="3" s="1"/>
  <c r="B49" i="4"/>
  <c r="C49" i="4"/>
  <c r="E49" i="3" s="1"/>
  <c r="D49" i="4"/>
  <c r="F49" i="4"/>
  <c r="K49" i="3" s="1"/>
  <c r="V49" i="3" s="1"/>
  <c r="G49" i="4"/>
  <c r="L49" i="3" s="1"/>
  <c r="W49" i="3" s="1"/>
  <c r="A50" i="4"/>
  <c r="C50" i="3" s="1"/>
  <c r="U50" i="3" s="1"/>
  <c r="B50" i="4"/>
  <c r="C50" i="4"/>
  <c r="E50" i="3" s="1"/>
  <c r="D50" i="4"/>
  <c r="F50" i="4"/>
  <c r="K50" i="3" s="1"/>
  <c r="V50" i="3" s="1"/>
  <c r="G50" i="4"/>
  <c r="L50" i="3" s="1"/>
  <c r="W50" i="3" s="1"/>
  <c r="A51" i="4"/>
  <c r="C51" i="3" s="1"/>
  <c r="U51" i="3" s="1"/>
  <c r="B51" i="4"/>
  <c r="C51" i="4"/>
  <c r="D51" i="4"/>
  <c r="F51" i="4"/>
  <c r="G51" i="4"/>
  <c r="L51" i="3" s="1"/>
  <c r="W51" i="3" s="1"/>
  <c r="A52" i="4"/>
  <c r="B52" i="4"/>
  <c r="C52" i="4"/>
  <c r="E52" i="3" s="1"/>
  <c r="D52" i="4"/>
  <c r="F52" i="4"/>
  <c r="K52" i="3" s="1"/>
  <c r="V52" i="3" s="1"/>
  <c r="G52" i="4"/>
  <c r="L52" i="3" s="1"/>
  <c r="W52" i="3" s="1"/>
  <c r="A53" i="4"/>
  <c r="C53" i="3" s="1"/>
  <c r="U53" i="3" s="1"/>
  <c r="B53" i="4"/>
  <c r="C53" i="4"/>
  <c r="E53" i="3" s="1"/>
  <c r="D53" i="4"/>
  <c r="F53" i="4"/>
  <c r="K53" i="3" s="1"/>
  <c r="V53" i="3" s="1"/>
  <c r="G53" i="4"/>
  <c r="L53" i="3" s="1"/>
  <c r="W53" i="3" s="1"/>
  <c r="A54" i="4"/>
  <c r="C54" i="3" s="1"/>
  <c r="U54" i="3" s="1"/>
  <c r="B54" i="4"/>
  <c r="C54" i="4"/>
  <c r="E54" i="3" s="1"/>
  <c r="D54" i="4"/>
  <c r="F54" i="4"/>
  <c r="K54" i="3" s="1"/>
  <c r="V54" i="3" s="1"/>
  <c r="G54" i="4"/>
  <c r="L54" i="3" s="1"/>
  <c r="W54" i="3" s="1"/>
  <c r="A55" i="4"/>
  <c r="C55" i="3" s="1"/>
  <c r="U55" i="3" s="1"/>
  <c r="B55" i="4"/>
  <c r="C55" i="4"/>
  <c r="E55" i="3" s="1"/>
  <c r="D55" i="4"/>
  <c r="F55" i="4"/>
  <c r="K55" i="3" s="1"/>
  <c r="V55" i="3" s="1"/>
  <c r="G55" i="4"/>
  <c r="L55" i="3" s="1"/>
  <c r="W55" i="3" s="1"/>
  <c r="A56" i="4"/>
  <c r="C56" i="3" s="1"/>
  <c r="U56" i="3" s="1"/>
  <c r="B56" i="4"/>
  <c r="C56" i="4"/>
  <c r="E56" i="3" s="1"/>
  <c r="D56" i="4"/>
  <c r="F56" i="4"/>
  <c r="K56" i="3" s="1"/>
  <c r="V56" i="3" s="1"/>
  <c r="G56" i="4"/>
  <c r="L56" i="3" s="1"/>
  <c r="W56" i="3" s="1"/>
  <c r="A57" i="4"/>
  <c r="C57" i="3" s="1"/>
  <c r="U57" i="3" s="1"/>
  <c r="B57" i="4"/>
  <c r="C57" i="4"/>
  <c r="E57" i="3" s="1"/>
  <c r="D57" i="4"/>
  <c r="F57" i="4"/>
  <c r="K57" i="3" s="1"/>
  <c r="V57" i="3" s="1"/>
  <c r="G57" i="4"/>
  <c r="L57" i="3" s="1"/>
  <c r="W57" i="3" s="1"/>
  <c r="A58" i="4"/>
  <c r="C58" i="3" s="1"/>
  <c r="U58" i="3" s="1"/>
  <c r="B58" i="4"/>
  <c r="C58" i="4"/>
  <c r="E58" i="3" s="1"/>
  <c r="D58" i="4"/>
  <c r="F58" i="4"/>
  <c r="K58" i="3" s="1"/>
  <c r="V58" i="3" s="1"/>
  <c r="G58" i="4"/>
  <c r="L58" i="3" s="1"/>
  <c r="W58" i="3" s="1"/>
  <c r="A59" i="4"/>
  <c r="C59" i="3" s="1"/>
  <c r="U59" i="3" s="1"/>
  <c r="B59" i="4"/>
  <c r="C59" i="4"/>
  <c r="D59" i="4"/>
  <c r="F59" i="4"/>
  <c r="G59" i="4"/>
  <c r="L59" i="3" s="1"/>
  <c r="W59" i="3" s="1"/>
  <c r="A60" i="4"/>
  <c r="B60" i="4"/>
  <c r="C60" i="4"/>
  <c r="E60" i="3" s="1"/>
  <c r="D60" i="4"/>
  <c r="F60" i="4"/>
  <c r="K60" i="3" s="1"/>
  <c r="V60" i="3" s="1"/>
  <c r="G60" i="4"/>
  <c r="L60" i="3" s="1"/>
  <c r="W60" i="3" s="1"/>
  <c r="A61" i="4"/>
  <c r="C61" i="3" s="1"/>
  <c r="U61" i="3" s="1"/>
  <c r="B61" i="4"/>
  <c r="C61" i="4"/>
  <c r="E61" i="3" s="1"/>
  <c r="D61" i="4"/>
  <c r="F61" i="4"/>
  <c r="K61" i="3" s="1"/>
  <c r="V61" i="3" s="1"/>
  <c r="G61" i="4"/>
  <c r="L61" i="3" s="1"/>
  <c r="W61" i="3" s="1"/>
  <c r="A62" i="4"/>
  <c r="C62" i="3" s="1"/>
  <c r="U62" i="3" s="1"/>
  <c r="B62" i="4"/>
  <c r="C62" i="4"/>
  <c r="E62" i="3" s="1"/>
  <c r="D62" i="4"/>
  <c r="F62" i="4"/>
  <c r="K62" i="3" s="1"/>
  <c r="V62" i="3" s="1"/>
  <c r="G62" i="4"/>
  <c r="L62" i="3" s="1"/>
  <c r="W62" i="3" s="1"/>
  <c r="A63" i="4"/>
  <c r="C63" i="3" s="1"/>
  <c r="U63" i="3" s="1"/>
  <c r="B63" i="4"/>
  <c r="C63" i="4"/>
  <c r="E63" i="3" s="1"/>
  <c r="D63" i="4"/>
  <c r="F63" i="4"/>
  <c r="K63" i="3" s="1"/>
  <c r="V63" i="3" s="1"/>
  <c r="G63" i="4"/>
  <c r="L63" i="3" s="1"/>
  <c r="W63" i="3" s="1"/>
  <c r="A64" i="4"/>
  <c r="C64" i="3" s="1"/>
  <c r="U64" i="3" s="1"/>
  <c r="B64" i="4"/>
  <c r="C64" i="4"/>
  <c r="E64" i="3" s="1"/>
  <c r="D64" i="4"/>
  <c r="F64" i="4"/>
  <c r="K64" i="3" s="1"/>
  <c r="V64" i="3" s="1"/>
  <c r="G64" i="4"/>
  <c r="L64" i="3" s="1"/>
  <c r="W64" i="3" s="1"/>
  <c r="A65" i="4"/>
  <c r="C65" i="3" s="1"/>
  <c r="U65" i="3" s="1"/>
  <c r="B65" i="4"/>
  <c r="C65" i="4"/>
  <c r="E65" i="3" s="1"/>
  <c r="D65" i="4"/>
  <c r="F65" i="4"/>
  <c r="K65" i="3" s="1"/>
  <c r="V65" i="3" s="1"/>
  <c r="G65" i="4"/>
  <c r="L65" i="3" s="1"/>
  <c r="W65" i="3" s="1"/>
  <c r="A66" i="4"/>
  <c r="C66" i="3" s="1"/>
  <c r="U66" i="3" s="1"/>
  <c r="B66" i="4"/>
  <c r="C66" i="4"/>
  <c r="E66" i="3" s="1"/>
  <c r="D66" i="4"/>
  <c r="F66" i="4"/>
  <c r="K66" i="3" s="1"/>
  <c r="V66" i="3" s="1"/>
  <c r="G66" i="4"/>
  <c r="L66" i="3" s="1"/>
  <c r="W66" i="3" s="1"/>
  <c r="A67" i="4"/>
  <c r="C67" i="3" s="1"/>
  <c r="U67" i="3" s="1"/>
  <c r="B67" i="4"/>
  <c r="C67" i="4"/>
  <c r="D67" i="4"/>
  <c r="F67" i="4"/>
  <c r="G67" i="4"/>
  <c r="L67" i="3" s="1"/>
  <c r="W67" i="3" s="1"/>
  <c r="A68" i="4"/>
  <c r="B68" i="4"/>
  <c r="C68" i="4"/>
  <c r="E68" i="3" s="1"/>
  <c r="D68" i="4"/>
  <c r="F68" i="4"/>
  <c r="K68" i="3" s="1"/>
  <c r="V68" i="3" s="1"/>
  <c r="G68" i="4"/>
  <c r="L68" i="3" s="1"/>
  <c r="W68" i="3" s="1"/>
  <c r="A69" i="4"/>
  <c r="C69" i="3" s="1"/>
  <c r="U69" i="3" s="1"/>
  <c r="B69" i="4"/>
  <c r="C69" i="4"/>
  <c r="E69" i="3" s="1"/>
  <c r="D69" i="4"/>
  <c r="F69" i="4"/>
  <c r="K69" i="3" s="1"/>
  <c r="V69" i="3" s="1"/>
  <c r="G69" i="4"/>
  <c r="L69" i="3" s="1"/>
  <c r="W69" i="3" s="1"/>
  <c r="A70" i="4"/>
  <c r="C70" i="3" s="1"/>
  <c r="U70" i="3" s="1"/>
  <c r="B70" i="4"/>
  <c r="C70" i="4"/>
  <c r="E70" i="3" s="1"/>
  <c r="D70" i="4"/>
  <c r="F70" i="4"/>
  <c r="K70" i="3" s="1"/>
  <c r="V70" i="3" s="1"/>
  <c r="G70" i="4"/>
  <c r="L70" i="3" s="1"/>
  <c r="W70" i="3" s="1"/>
  <c r="A71" i="4"/>
  <c r="C71" i="3" s="1"/>
  <c r="U71" i="3" s="1"/>
  <c r="B71" i="4"/>
  <c r="C71" i="4"/>
  <c r="E71" i="3" s="1"/>
  <c r="D71" i="4"/>
  <c r="F71" i="4"/>
  <c r="K71" i="3" s="1"/>
  <c r="V71" i="3" s="1"/>
  <c r="G71" i="4"/>
  <c r="L71" i="3" s="1"/>
  <c r="W71" i="3" s="1"/>
  <c r="A72" i="4"/>
  <c r="C72" i="3" s="1"/>
  <c r="U72" i="3" s="1"/>
  <c r="B72" i="4"/>
  <c r="C72" i="4"/>
  <c r="E72" i="3" s="1"/>
  <c r="D72" i="4"/>
  <c r="F72" i="4"/>
  <c r="K72" i="3" s="1"/>
  <c r="V72" i="3" s="1"/>
  <c r="G72" i="4"/>
  <c r="L72" i="3" s="1"/>
  <c r="W72" i="3" s="1"/>
  <c r="A73" i="4"/>
  <c r="C73" i="3" s="1"/>
  <c r="U73" i="3" s="1"/>
  <c r="B73" i="4"/>
  <c r="C73" i="4"/>
  <c r="E73" i="3" s="1"/>
  <c r="D73" i="4"/>
  <c r="F73" i="4"/>
  <c r="K73" i="3" s="1"/>
  <c r="V73" i="3" s="1"/>
  <c r="G73" i="4"/>
  <c r="L73" i="3" s="1"/>
  <c r="W73" i="3" s="1"/>
  <c r="A74" i="4"/>
  <c r="C74" i="3" s="1"/>
  <c r="U74" i="3" s="1"/>
  <c r="B74" i="4"/>
  <c r="C74" i="4"/>
  <c r="E74" i="3" s="1"/>
  <c r="D74" i="4"/>
  <c r="F74" i="4"/>
  <c r="K74" i="3" s="1"/>
  <c r="V74" i="3" s="1"/>
  <c r="G74" i="4"/>
  <c r="L74" i="3" s="1"/>
  <c r="W74" i="3" s="1"/>
  <c r="A75" i="4"/>
  <c r="C75" i="3" s="1"/>
  <c r="U75" i="3" s="1"/>
  <c r="B75" i="4"/>
  <c r="C75" i="4"/>
  <c r="E75" i="3" s="1"/>
  <c r="D75" i="4"/>
  <c r="F75" i="4"/>
  <c r="K75" i="3" s="1"/>
  <c r="V75" i="3" s="1"/>
  <c r="G75" i="4"/>
  <c r="L75" i="3" s="1"/>
  <c r="W75" i="3" s="1"/>
  <c r="A76" i="4"/>
  <c r="C76" i="3" s="1"/>
  <c r="U76" i="3" s="1"/>
  <c r="B76" i="4"/>
  <c r="C76" i="4"/>
  <c r="E76" i="3" s="1"/>
  <c r="D76" i="4"/>
  <c r="F76" i="4"/>
  <c r="K76" i="3" s="1"/>
  <c r="V76" i="3" s="1"/>
  <c r="G76" i="4"/>
  <c r="L76" i="3" s="1"/>
  <c r="W76" i="3" s="1"/>
  <c r="A77" i="4"/>
  <c r="C77" i="3" s="1"/>
  <c r="U77" i="3" s="1"/>
  <c r="B77" i="4"/>
  <c r="C77" i="4"/>
  <c r="E77" i="3" s="1"/>
  <c r="D77" i="4"/>
  <c r="F77" i="4"/>
  <c r="K77" i="3" s="1"/>
  <c r="V77" i="3" s="1"/>
  <c r="G77" i="4"/>
  <c r="L77" i="3" s="1"/>
  <c r="W77" i="3" s="1"/>
  <c r="A78" i="4"/>
  <c r="C78" i="3" s="1"/>
  <c r="U78" i="3" s="1"/>
  <c r="B78" i="4"/>
  <c r="C78" i="4"/>
  <c r="E78" i="3" s="1"/>
  <c r="D78" i="4"/>
  <c r="F78" i="4"/>
  <c r="K78" i="3" s="1"/>
  <c r="V78" i="3" s="1"/>
  <c r="G78" i="4"/>
  <c r="L78" i="3" s="1"/>
  <c r="W78" i="3" s="1"/>
  <c r="A79" i="4"/>
  <c r="C79" i="3" s="1"/>
  <c r="U79" i="3" s="1"/>
  <c r="B79" i="4"/>
  <c r="C79" i="4"/>
  <c r="E79" i="3" s="1"/>
  <c r="D79" i="4"/>
  <c r="F79" i="4"/>
  <c r="K79" i="3" s="1"/>
  <c r="V79" i="3" s="1"/>
  <c r="G79" i="4"/>
  <c r="L79" i="3" s="1"/>
  <c r="W79" i="3" s="1"/>
  <c r="A80" i="4"/>
  <c r="C80" i="3" s="1"/>
  <c r="U80" i="3" s="1"/>
  <c r="B80" i="4"/>
  <c r="C80" i="4"/>
  <c r="E80" i="3" s="1"/>
  <c r="D80" i="4"/>
  <c r="F80" i="4"/>
  <c r="K80" i="3" s="1"/>
  <c r="V80" i="3" s="1"/>
  <c r="G80" i="4"/>
  <c r="L80" i="3" s="1"/>
  <c r="W80" i="3" s="1"/>
  <c r="A36" i="3"/>
  <c r="I36" i="3"/>
  <c r="T36" i="3" s="1"/>
  <c r="A37" i="3"/>
  <c r="I37" i="3"/>
  <c r="T37" i="3" s="1"/>
  <c r="A38" i="3"/>
  <c r="I38" i="3"/>
  <c r="A39" i="3"/>
  <c r="I39" i="3"/>
  <c r="T39" i="3" s="1"/>
  <c r="A40" i="3"/>
  <c r="I40" i="3"/>
  <c r="A41" i="3"/>
  <c r="I41" i="3"/>
  <c r="A42" i="3"/>
  <c r="I42" i="3"/>
  <c r="T42" i="3" s="1"/>
  <c r="A43" i="3"/>
  <c r="E43" i="3"/>
  <c r="I43" i="3"/>
  <c r="K43" i="3"/>
  <c r="V43" i="3" s="1"/>
  <c r="A44" i="3"/>
  <c r="C44" i="3"/>
  <c r="U44" i="3" s="1"/>
  <c r="I44" i="3"/>
  <c r="T44" i="3" s="1"/>
  <c r="A45" i="3"/>
  <c r="I45" i="3"/>
  <c r="T45" i="3" s="1"/>
  <c r="A46" i="3"/>
  <c r="I46" i="3"/>
  <c r="A47" i="3"/>
  <c r="I47" i="3"/>
  <c r="T47" i="3" s="1"/>
  <c r="A48" i="3"/>
  <c r="I48" i="3"/>
  <c r="A49" i="3"/>
  <c r="I49" i="3"/>
  <c r="A50" i="3"/>
  <c r="I50" i="3"/>
  <c r="T50" i="3" s="1"/>
  <c r="A51" i="3"/>
  <c r="E51" i="3"/>
  <c r="I51" i="3"/>
  <c r="K51" i="3"/>
  <c r="V51" i="3" s="1"/>
  <c r="A52" i="3"/>
  <c r="C52" i="3"/>
  <c r="U52" i="3" s="1"/>
  <c r="I52" i="3"/>
  <c r="T52" i="3" s="1"/>
  <c r="A53" i="3"/>
  <c r="I53" i="3"/>
  <c r="T53" i="3" s="1"/>
  <c r="A54" i="3"/>
  <c r="I54" i="3"/>
  <c r="A55" i="3"/>
  <c r="I55" i="3"/>
  <c r="T55" i="3" s="1"/>
  <c r="A56" i="3"/>
  <c r="I56" i="3"/>
  <c r="A57" i="3"/>
  <c r="I57" i="3"/>
  <c r="A58" i="3"/>
  <c r="I58" i="3"/>
  <c r="T58" i="3" s="1"/>
  <c r="A59" i="3"/>
  <c r="E59" i="3"/>
  <c r="I59" i="3"/>
  <c r="K59" i="3"/>
  <c r="V59" i="3" s="1"/>
  <c r="A60" i="3"/>
  <c r="C60" i="3"/>
  <c r="U60" i="3" s="1"/>
  <c r="I60" i="3"/>
  <c r="T60" i="3" s="1"/>
  <c r="A61" i="3"/>
  <c r="I61" i="3"/>
  <c r="T61" i="3" s="1"/>
  <c r="A62" i="3"/>
  <c r="I62" i="3"/>
  <c r="A63" i="3"/>
  <c r="I63" i="3"/>
  <c r="T63" i="3" s="1"/>
  <c r="A64" i="3"/>
  <c r="I64" i="3"/>
  <c r="A65" i="3"/>
  <c r="I65" i="3"/>
  <c r="A66" i="3"/>
  <c r="I66" i="3"/>
  <c r="T66" i="3" s="1"/>
  <c r="A67" i="3"/>
  <c r="E67" i="3"/>
  <c r="I67" i="3"/>
  <c r="K67" i="3"/>
  <c r="V67" i="3" s="1"/>
  <c r="A68" i="3"/>
  <c r="C68" i="3"/>
  <c r="U68" i="3" s="1"/>
  <c r="I68" i="3"/>
  <c r="T68" i="3" s="1"/>
  <c r="A69" i="3"/>
  <c r="I69" i="3"/>
  <c r="T69" i="3" s="1"/>
  <c r="A70" i="3"/>
  <c r="I70" i="3"/>
  <c r="A71" i="3"/>
  <c r="I71" i="3"/>
  <c r="T71" i="3" s="1"/>
  <c r="A72" i="3"/>
  <c r="I72" i="3"/>
  <c r="A73" i="3"/>
  <c r="I73" i="3"/>
  <c r="A74" i="3"/>
  <c r="I74" i="3"/>
  <c r="T74" i="3" s="1"/>
  <c r="A75" i="3"/>
  <c r="I75" i="3"/>
  <c r="A76" i="3"/>
  <c r="I76" i="3"/>
  <c r="T76" i="3" s="1"/>
  <c r="A77" i="3"/>
  <c r="I77" i="3"/>
  <c r="T77" i="3" s="1"/>
  <c r="A78" i="3"/>
  <c r="I78" i="3"/>
  <c r="A79" i="3"/>
  <c r="I79" i="3"/>
  <c r="T79" i="3" s="1"/>
  <c r="A80" i="3"/>
  <c r="I80" i="3"/>
  <c r="AL205" i="5"/>
  <c r="AM205" i="5"/>
  <c r="AN205" i="5"/>
  <c r="AO205" i="5"/>
  <c r="AP205" i="5"/>
  <c r="AQ205" i="5"/>
  <c r="AR205" i="5"/>
  <c r="AS205" i="5"/>
  <c r="AT205" i="5"/>
  <c r="AU205" i="5"/>
  <c r="AV205" i="5"/>
  <c r="AW205" i="5"/>
  <c r="AX205" i="5"/>
  <c r="AY205" i="5"/>
  <c r="AZ205" i="5"/>
  <c r="BA205" i="5"/>
  <c r="BB205" i="5"/>
  <c r="BC205" i="5"/>
  <c r="BD205" i="5"/>
  <c r="BE205" i="5"/>
  <c r="BF205" i="5"/>
  <c r="BG205" i="5"/>
  <c r="BH205" i="5"/>
  <c r="BI205" i="5"/>
  <c r="BJ205" i="5"/>
  <c r="BK205" i="5"/>
  <c r="BL205" i="5"/>
  <c r="BM205" i="5"/>
  <c r="BN205" i="5"/>
  <c r="BO205" i="5"/>
  <c r="BP205" i="5"/>
  <c r="BQ205" i="5"/>
  <c r="BR205" i="5"/>
  <c r="BS205" i="5"/>
  <c r="BT205" i="5"/>
  <c r="BU205" i="5"/>
  <c r="BV205" i="5"/>
  <c r="BW205" i="5"/>
  <c r="BX205" i="5"/>
  <c r="BY205" i="5"/>
  <c r="BZ205" i="5"/>
  <c r="CA205" i="5"/>
  <c r="CB205" i="5"/>
  <c r="CC205" i="5"/>
  <c r="CD205" i="5"/>
  <c r="AM202" i="5"/>
  <c r="AN202" i="5"/>
  <c r="AO202" i="5"/>
  <c r="AP202" i="5"/>
  <c r="AQ202" i="5"/>
  <c r="AR202" i="5"/>
  <c r="AS202" i="5"/>
  <c r="AT202" i="5"/>
  <c r="AU202" i="5"/>
  <c r="AV202" i="5"/>
  <c r="AW202" i="5"/>
  <c r="AX202" i="5"/>
  <c r="AY202" i="5"/>
  <c r="AZ202" i="5"/>
  <c r="BA202" i="5"/>
  <c r="BB202" i="5"/>
  <c r="BC202" i="5"/>
  <c r="BD202" i="5"/>
  <c r="BE202" i="5"/>
  <c r="BF202" i="5"/>
  <c r="BG202" i="5"/>
  <c r="BH202" i="5"/>
  <c r="BI202" i="5"/>
  <c r="BJ202" i="5"/>
  <c r="BK202" i="5"/>
  <c r="BL202" i="5"/>
  <c r="BM202" i="5"/>
  <c r="BN202" i="5"/>
  <c r="BO202" i="5"/>
  <c r="BP202" i="5"/>
  <c r="BQ202" i="5"/>
  <c r="BR202" i="5"/>
  <c r="BS202" i="5"/>
  <c r="BT202" i="5"/>
  <c r="BU202" i="5"/>
  <c r="BV202" i="5"/>
  <c r="BW202" i="5"/>
  <c r="BX202" i="5"/>
  <c r="BY202" i="5"/>
  <c r="BZ202" i="5"/>
  <c r="CA202" i="5"/>
  <c r="CB202" i="5"/>
  <c r="CC202" i="5"/>
  <c r="CD202" i="5"/>
  <c r="AL202" i="5"/>
  <c r="BZ179" i="5"/>
  <c r="CA179" i="5"/>
  <c r="CB179" i="5"/>
  <c r="CC179" i="5"/>
  <c r="CD179" i="5"/>
  <c r="BZ181" i="5"/>
  <c r="CA181" i="5"/>
  <c r="CB181" i="5"/>
  <c r="CC181" i="5"/>
  <c r="CD181" i="5"/>
  <c r="BZ183" i="5"/>
  <c r="CA183" i="5"/>
  <c r="CB183" i="5"/>
  <c r="CC183" i="5"/>
  <c r="CD183" i="5"/>
  <c r="BZ184" i="5"/>
  <c r="CA184" i="5"/>
  <c r="CB184" i="5"/>
  <c r="CC184" i="5"/>
  <c r="CD184" i="5"/>
  <c r="BZ185" i="5"/>
  <c r="CA185" i="5"/>
  <c r="CB185" i="5"/>
  <c r="CC185" i="5"/>
  <c r="CD185" i="5"/>
  <c r="BZ187" i="5"/>
  <c r="CA187" i="5"/>
  <c r="CB187" i="5"/>
  <c r="CC187" i="5"/>
  <c r="CD187" i="5"/>
  <c r="BZ188" i="5"/>
  <c r="CA188" i="5"/>
  <c r="CB188" i="5"/>
  <c r="CC188" i="5"/>
  <c r="CD188" i="5"/>
  <c r="BH179" i="5"/>
  <c r="BI179" i="5"/>
  <c r="BJ179" i="5"/>
  <c r="BK179" i="5"/>
  <c r="BL179" i="5"/>
  <c r="BM179" i="5"/>
  <c r="BN179" i="5"/>
  <c r="BO179" i="5"/>
  <c r="BP179" i="5"/>
  <c r="BQ179" i="5"/>
  <c r="BR179" i="5"/>
  <c r="BS179" i="5"/>
  <c r="BT179" i="5"/>
  <c r="BU179" i="5"/>
  <c r="BV179" i="5"/>
  <c r="BW179" i="5"/>
  <c r="BX179" i="5"/>
  <c r="BY179" i="5"/>
  <c r="BH181" i="5"/>
  <c r="BI181" i="5"/>
  <c r="BJ181" i="5"/>
  <c r="BK181" i="5"/>
  <c r="BL181" i="5"/>
  <c r="BM181" i="5"/>
  <c r="BN181" i="5"/>
  <c r="BO181" i="5"/>
  <c r="BP181" i="5"/>
  <c r="BQ181" i="5"/>
  <c r="BR181" i="5"/>
  <c r="BS181" i="5"/>
  <c r="BT181" i="5"/>
  <c r="BU181" i="5"/>
  <c r="BV181" i="5"/>
  <c r="BW181" i="5"/>
  <c r="BX181" i="5"/>
  <c r="BY181" i="5"/>
  <c r="BH183" i="5"/>
  <c r="BI183" i="5"/>
  <c r="BJ183" i="5"/>
  <c r="BK183" i="5"/>
  <c r="BL183" i="5"/>
  <c r="BM183" i="5"/>
  <c r="BN183" i="5"/>
  <c r="BO183" i="5"/>
  <c r="BP183" i="5"/>
  <c r="BQ183" i="5"/>
  <c r="BR183" i="5"/>
  <c r="BS183" i="5"/>
  <c r="BT183" i="5"/>
  <c r="BU183" i="5"/>
  <c r="BV183" i="5"/>
  <c r="BW183" i="5"/>
  <c r="BX183" i="5"/>
  <c r="BY183" i="5"/>
  <c r="BH184" i="5"/>
  <c r="BI184" i="5"/>
  <c r="BJ184" i="5"/>
  <c r="BK184" i="5"/>
  <c r="BL184" i="5"/>
  <c r="BM184" i="5"/>
  <c r="BN184" i="5"/>
  <c r="BO184" i="5"/>
  <c r="BP184" i="5"/>
  <c r="BQ184" i="5"/>
  <c r="BR184" i="5"/>
  <c r="BS184" i="5"/>
  <c r="BT184" i="5"/>
  <c r="BU184" i="5"/>
  <c r="BV184" i="5"/>
  <c r="BW184" i="5"/>
  <c r="BX184" i="5"/>
  <c r="BY184" i="5"/>
  <c r="BH185" i="5"/>
  <c r="BI185" i="5"/>
  <c r="BJ185" i="5"/>
  <c r="BK185" i="5"/>
  <c r="BL185" i="5"/>
  <c r="BM185" i="5"/>
  <c r="BN185" i="5"/>
  <c r="BO185" i="5"/>
  <c r="BP185" i="5"/>
  <c r="BQ185" i="5"/>
  <c r="BR185" i="5"/>
  <c r="BS185" i="5"/>
  <c r="BT185" i="5"/>
  <c r="BU185" i="5"/>
  <c r="BV185" i="5"/>
  <c r="BW185" i="5"/>
  <c r="BX185" i="5"/>
  <c r="BY185" i="5"/>
  <c r="BH187" i="5"/>
  <c r="BI187" i="5"/>
  <c r="BJ187" i="5"/>
  <c r="BK187" i="5"/>
  <c r="BL187" i="5"/>
  <c r="BM187" i="5"/>
  <c r="BN187" i="5"/>
  <c r="BO187" i="5"/>
  <c r="BP187" i="5"/>
  <c r="BQ187" i="5"/>
  <c r="BR187" i="5"/>
  <c r="BS187" i="5"/>
  <c r="BT187" i="5"/>
  <c r="BU187" i="5"/>
  <c r="BV187" i="5"/>
  <c r="BW187" i="5"/>
  <c r="BX187" i="5"/>
  <c r="BY187" i="5"/>
  <c r="BH188" i="5"/>
  <c r="BI188" i="5"/>
  <c r="BJ188" i="5"/>
  <c r="BK188" i="5"/>
  <c r="BL188" i="5"/>
  <c r="BM188" i="5"/>
  <c r="BN188" i="5"/>
  <c r="BO188" i="5"/>
  <c r="BP188" i="5"/>
  <c r="BQ188" i="5"/>
  <c r="BR188" i="5"/>
  <c r="BS188" i="5"/>
  <c r="BT188" i="5"/>
  <c r="BU188" i="5"/>
  <c r="BV188" i="5"/>
  <c r="BW188" i="5"/>
  <c r="BX188" i="5"/>
  <c r="BY188" i="5"/>
  <c r="AL179" i="5"/>
  <c r="AM179" i="5"/>
  <c r="AN179" i="5"/>
  <c r="AO179" i="5"/>
  <c r="AP179" i="5"/>
  <c r="AQ179" i="5"/>
  <c r="AR179" i="5"/>
  <c r="AS179" i="5"/>
  <c r="AT179" i="5"/>
  <c r="AU179" i="5"/>
  <c r="AV179" i="5"/>
  <c r="AW179" i="5"/>
  <c r="AX179" i="5"/>
  <c r="AY179" i="5"/>
  <c r="AZ179" i="5"/>
  <c r="BA179" i="5"/>
  <c r="BB179" i="5"/>
  <c r="BC179" i="5"/>
  <c r="BD179" i="5"/>
  <c r="BE179" i="5"/>
  <c r="BF179" i="5"/>
  <c r="BG179" i="5"/>
  <c r="AL181" i="5"/>
  <c r="AM181" i="5"/>
  <c r="AN181" i="5"/>
  <c r="AO181" i="5"/>
  <c r="AP181" i="5"/>
  <c r="AQ181" i="5"/>
  <c r="AR181" i="5"/>
  <c r="AS181" i="5"/>
  <c r="AT181" i="5"/>
  <c r="AU181" i="5"/>
  <c r="AV181" i="5"/>
  <c r="AW181" i="5"/>
  <c r="AX181" i="5"/>
  <c r="AY181" i="5"/>
  <c r="AZ181" i="5"/>
  <c r="BA181" i="5"/>
  <c r="BB181" i="5"/>
  <c r="BC181" i="5"/>
  <c r="BD181" i="5"/>
  <c r="BE181" i="5"/>
  <c r="BF181" i="5"/>
  <c r="BG181" i="5"/>
  <c r="AL183" i="5"/>
  <c r="AM183" i="5"/>
  <c r="AN183" i="5"/>
  <c r="AO183" i="5"/>
  <c r="AP183" i="5"/>
  <c r="AQ183" i="5"/>
  <c r="AR183" i="5"/>
  <c r="AS183" i="5"/>
  <c r="AT183" i="5"/>
  <c r="AU183" i="5"/>
  <c r="AV183" i="5"/>
  <c r="AW183" i="5"/>
  <c r="AX183" i="5"/>
  <c r="AY183" i="5"/>
  <c r="AZ183" i="5"/>
  <c r="BA183" i="5"/>
  <c r="BB183" i="5"/>
  <c r="BC183" i="5"/>
  <c r="BD183" i="5"/>
  <c r="BE183" i="5"/>
  <c r="BF183" i="5"/>
  <c r="BG183" i="5"/>
  <c r="AL184" i="5"/>
  <c r="AM184" i="5"/>
  <c r="AN184" i="5"/>
  <c r="AO184" i="5"/>
  <c r="AP184" i="5"/>
  <c r="AQ184" i="5"/>
  <c r="AR184" i="5"/>
  <c r="AS184" i="5"/>
  <c r="AT184" i="5"/>
  <c r="AU184" i="5"/>
  <c r="AV184" i="5"/>
  <c r="AW184" i="5"/>
  <c r="AX184" i="5"/>
  <c r="AY184" i="5"/>
  <c r="AZ184" i="5"/>
  <c r="BA184" i="5"/>
  <c r="BB184" i="5"/>
  <c r="BC184" i="5"/>
  <c r="BD184" i="5"/>
  <c r="BE184" i="5"/>
  <c r="BF184" i="5"/>
  <c r="BG184" i="5"/>
  <c r="AL185" i="5"/>
  <c r="AM185" i="5"/>
  <c r="AN185" i="5"/>
  <c r="AO185" i="5"/>
  <c r="AP185" i="5"/>
  <c r="AQ185" i="5"/>
  <c r="AR185" i="5"/>
  <c r="AS185" i="5"/>
  <c r="AT185" i="5"/>
  <c r="AU185" i="5"/>
  <c r="AV185" i="5"/>
  <c r="AW185" i="5"/>
  <c r="AX185" i="5"/>
  <c r="AY185" i="5"/>
  <c r="AZ185" i="5"/>
  <c r="BA185" i="5"/>
  <c r="BB185" i="5"/>
  <c r="BC185" i="5"/>
  <c r="BD185" i="5"/>
  <c r="BE185" i="5"/>
  <c r="BF185" i="5"/>
  <c r="BG185" i="5"/>
  <c r="AL187" i="5"/>
  <c r="AM187" i="5"/>
  <c r="AN187" i="5"/>
  <c r="AO187" i="5"/>
  <c r="AP187" i="5"/>
  <c r="AQ187" i="5"/>
  <c r="AR187" i="5"/>
  <c r="AS187" i="5"/>
  <c r="AT187" i="5"/>
  <c r="AU187" i="5"/>
  <c r="AV187" i="5"/>
  <c r="AW187" i="5"/>
  <c r="AX187" i="5"/>
  <c r="AY187" i="5"/>
  <c r="AZ187" i="5"/>
  <c r="BA187" i="5"/>
  <c r="BB187" i="5"/>
  <c r="BC187" i="5"/>
  <c r="BD187" i="5"/>
  <c r="BE187" i="5"/>
  <c r="BF187" i="5"/>
  <c r="BG187" i="5"/>
  <c r="AL188" i="5"/>
  <c r="AM188" i="5"/>
  <c r="AN188" i="5"/>
  <c r="AO188" i="5"/>
  <c r="AP188" i="5"/>
  <c r="AQ188" i="5"/>
  <c r="AR188" i="5"/>
  <c r="AS188" i="5"/>
  <c r="AT188" i="5"/>
  <c r="AU188" i="5"/>
  <c r="AV188" i="5"/>
  <c r="AW188" i="5"/>
  <c r="AX188" i="5"/>
  <c r="AY188" i="5"/>
  <c r="AZ188" i="5"/>
  <c r="BA188" i="5"/>
  <c r="BB188" i="5"/>
  <c r="BC188" i="5"/>
  <c r="BD188" i="5"/>
  <c r="BE188" i="5"/>
  <c r="BF188" i="5"/>
  <c r="BG188" i="5"/>
  <c r="AL160" i="5"/>
  <c r="AM160" i="5"/>
  <c r="AN160" i="5"/>
  <c r="AO160" i="5"/>
  <c r="AP160" i="5"/>
  <c r="AQ160" i="5"/>
  <c r="AR160" i="5"/>
  <c r="AS160" i="5"/>
  <c r="AT160" i="5"/>
  <c r="AU160" i="5"/>
  <c r="AV160" i="5"/>
  <c r="AW160" i="5"/>
  <c r="AX160" i="5"/>
  <c r="AY160" i="5"/>
  <c r="AZ160" i="5"/>
  <c r="BA160" i="5"/>
  <c r="BB160" i="5"/>
  <c r="BC160" i="5"/>
  <c r="BD160" i="5"/>
  <c r="BE160" i="5"/>
  <c r="BF160" i="5"/>
  <c r="BG160" i="5"/>
  <c r="BH160" i="5"/>
  <c r="BI160" i="5"/>
  <c r="BJ160" i="5"/>
  <c r="BK160" i="5"/>
  <c r="BL160" i="5"/>
  <c r="BM160" i="5"/>
  <c r="BN160" i="5"/>
  <c r="BO160" i="5"/>
  <c r="BP160" i="5"/>
  <c r="BQ160" i="5"/>
  <c r="BR160" i="5"/>
  <c r="BS160" i="5"/>
  <c r="BT160" i="5"/>
  <c r="BU160" i="5"/>
  <c r="BV160" i="5"/>
  <c r="BW160" i="5"/>
  <c r="BX160" i="5"/>
  <c r="BY160" i="5"/>
  <c r="BZ160" i="5"/>
  <c r="CA160" i="5"/>
  <c r="CB160" i="5"/>
  <c r="CC160" i="5"/>
  <c r="CD160" i="5"/>
  <c r="AL156" i="5"/>
  <c r="AM156" i="5"/>
  <c r="AN156" i="5"/>
  <c r="AO156" i="5"/>
  <c r="AP156" i="5"/>
  <c r="AQ156" i="5"/>
  <c r="AR156" i="5"/>
  <c r="AS156" i="5"/>
  <c r="AT156" i="5"/>
  <c r="AU156" i="5"/>
  <c r="AV156" i="5"/>
  <c r="AW156" i="5"/>
  <c r="AX156" i="5"/>
  <c r="AY156" i="5"/>
  <c r="AZ156" i="5"/>
  <c r="BA156" i="5"/>
  <c r="BB156" i="5"/>
  <c r="BC156" i="5"/>
  <c r="BD156" i="5"/>
  <c r="BE156" i="5"/>
  <c r="BF156" i="5"/>
  <c r="BG156" i="5"/>
  <c r="BH156" i="5"/>
  <c r="BI156" i="5"/>
  <c r="BJ156" i="5"/>
  <c r="BK156" i="5"/>
  <c r="BL156" i="5"/>
  <c r="BM156" i="5"/>
  <c r="BN156" i="5"/>
  <c r="BO156" i="5"/>
  <c r="BP156" i="5"/>
  <c r="BQ156" i="5"/>
  <c r="BR156" i="5"/>
  <c r="BS156" i="5"/>
  <c r="BT156" i="5"/>
  <c r="BU156" i="5"/>
  <c r="BV156" i="5"/>
  <c r="BW156" i="5"/>
  <c r="BX156" i="5"/>
  <c r="BY156" i="5"/>
  <c r="BZ156" i="5"/>
  <c r="CA156" i="5"/>
  <c r="CB156" i="5"/>
  <c r="CC156" i="5"/>
  <c r="CD156" i="5"/>
  <c r="E158" i="5"/>
  <c r="F158" i="5"/>
  <c r="G158" i="5"/>
  <c r="H158" i="5"/>
  <c r="I158" i="5"/>
  <c r="J158" i="5"/>
  <c r="K158" i="5"/>
  <c r="L158" i="5"/>
  <c r="M158" i="5"/>
  <c r="N158" i="5"/>
  <c r="O158" i="5"/>
  <c r="P158" i="5"/>
  <c r="Q158" i="5"/>
  <c r="R158" i="5"/>
  <c r="S158" i="5"/>
  <c r="T158" i="5"/>
  <c r="U158" i="5"/>
  <c r="V158" i="5"/>
  <c r="W158" i="5"/>
  <c r="X158" i="5"/>
  <c r="Y158" i="5"/>
  <c r="Z158" i="5"/>
  <c r="AA158" i="5"/>
  <c r="AB158" i="5"/>
  <c r="AC158" i="5"/>
  <c r="AD158" i="5"/>
  <c r="AE158" i="5"/>
  <c r="AF158" i="5"/>
  <c r="AG158" i="5"/>
  <c r="AH158" i="5"/>
  <c r="AI158" i="5"/>
  <c r="AJ158" i="5"/>
  <c r="AK158" i="5"/>
  <c r="AL158" i="5"/>
  <c r="AM158" i="5"/>
  <c r="AN158" i="5"/>
  <c r="AO158" i="5"/>
  <c r="AP158" i="5"/>
  <c r="AQ158" i="5"/>
  <c r="AR158" i="5"/>
  <c r="AS158" i="5"/>
  <c r="AT158" i="5"/>
  <c r="AU158" i="5"/>
  <c r="AV158" i="5"/>
  <c r="AW158" i="5"/>
  <c r="AX158" i="5"/>
  <c r="AY158" i="5"/>
  <c r="AZ158" i="5"/>
  <c r="BA158" i="5"/>
  <c r="BB158" i="5"/>
  <c r="BC158" i="5"/>
  <c r="BD158" i="5"/>
  <c r="BE158" i="5"/>
  <c r="BF158" i="5"/>
  <c r="BG158" i="5"/>
  <c r="BH158" i="5"/>
  <c r="BI158" i="5"/>
  <c r="BJ158" i="5"/>
  <c r="BK158" i="5"/>
  <c r="BL158" i="5"/>
  <c r="BM158" i="5"/>
  <c r="BN158" i="5"/>
  <c r="BO158" i="5"/>
  <c r="BP158" i="5"/>
  <c r="BQ158" i="5"/>
  <c r="BR158" i="5"/>
  <c r="BS158" i="5"/>
  <c r="BT158" i="5"/>
  <c r="BU158" i="5"/>
  <c r="BV158" i="5"/>
  <c r="BW158" i="5"/>
  <c r="BX158" i="5"/>
  <c r="BY158" i="5"/>
  <c r="BZ158" i="5"/>
  <c r="CA158" i="5"/>
  <c r="CB158" i="5"/>
  <c r="CC158" i="5"/>
  <c r="CD158" i="5"/>
  <c r="D158" i="5"/>
  <c r="AL154" i="5"/>
  <c r="AM154" i="5"/>
  <c r="AN154" i="5"/>
  <c r="AO154" i="5"/>
  <c r="AP154" i="5"/>
  <c r="AQ154" i="5"/>
  <c r="AR154" i="5"/>
  <c r="AS154" i="5"/>
  <c r="AT154" i="5"/>
  <c r="AU154" i="5"/>
  <c r="AV154" i="5"/>
  <c r="AW154" i="5"/>
  <c r="AX154" i="5"/>
  <c r="AY154" i="5"/>
  <c r="AZ154" i="5"/>
  <c r="BA154" i="5"/>
  <c r="BB154" i="5"/>
  <c r="BC154" i="5"/>
  <c r="BD154" i="5"/>
  <c r="BE154" i="5"/>
  <c r="BF154" i="5"/>
  <c r="BG154" i="5"/>
  <c r="BH154" i="5"/>
  <c r="BI154" i="5"/>
  <c r="BJ154" i="5"/>
  <c r="BK154" i="5"/>
  <c r="BL154" i="5"/>
  <c r="BM154" i="5"/>
  <c r="BN154" i="5"/>
  <c r="BO154" i="5"/>
  <c r="BP154" i="5"/>
  <c r="BQ154" i="5"/>
  <c r="BR154" i="5"/>
  <c r="BS154" i="5"/>
  <c r="BT154" i="5"/>
  <c r="BU154" i="5"/>
  <c r="BV154" i="5"/>
  <c r="BW154" i="5"/>
  <c r="BX154" i="5"/>
  <c r="BY154" i="5"/>
  <c r="BZ154" i="5"/>
  <c r="CA154" i="5"/>
  <c r="CB154" i="5"/>
  <c r="CC154" i="5"/>
  <c r="CD154" i="5"/>
  <c r="E137" i="5"/>
  <c r="F137" i="5"/>
  <c r="G137" i="5"/>
  <c r="H137" i="5"/>
  <c r="I137" i="5"/>
  <c r="J137" i="5"/>
  <c r="K137" i="5"/>
  <c r="L137" i="5"/>
  <c r="M137" i="5"/>
  <c r="N137" i="5"/>
  <c r="O137" i="5"/>
  <c r="P137" i="5"/>
  <c r="Q137" i="5"/>
  <c r="R137" i="5"/>
  <c r="S137" i="5"/>
  <c r="T137" i="5"/>
  <c r="U137" i="5"/>
  <c r="V137" i="5"/>
  <c r="W137" i="5"/>
  <c r="X137" i="5"/>
  <c r="Y137" i="5"/>
  <c r="Z137" i="5"/>
  <c r="AA137" i="5"/>
  <c r="AB137" i="5"/>
  <c r="AC137" i="5"/>
  <c r="AD137" i="5"/>
  <c r="AE137" i="5"/>
  <c r="AF137" i="5"/>
  <c r="AG137" i="5"/>
  <c r="AH137" i="5"/>
  <c r="AI137" i="5"/>
  <c r="AJ137" i="5"/>
  <c r="AK137" i="5"/>
  <c r="AL137" i="5"/>
  <c r="AM137" i="5"/>
  <c r="AN137" i="5"/>
  <c r="AO137" i="5"/>
  <c r="AP137" i="5"/>
  <c r="AQ137" i="5"/>
  <c r="AR137" i="5"/>
  <c r="AS137" i="5"/>
  <c r="AT137" i="5"/>
  <c r="AU137" i="5"/>
  <c r="AV137" i="5"/>
  <c r="AW137" i="5"/>
  <c r="AX137" i="5"/>
  <c r="AY137" i="5"/>
  <c r="AZ137" i="5"/>
  <c r="BA137" i="5"/>
  <c r="BB137" i="5"/>
  <c r="BC137" i="5"/>
  <c r="BD137" i="5"/>
  <c r="BE137" i="5"/>
  <c r="BF137" i="5"/>
  <c r="BG137" i="5"/>
  <c r="BH137" i="5"/>
  <c r="BI137" i="5"/>
  <c r="BJ137" i="5"/>
  <c r="BK137" i="5"/>
  <c r="BL137" i="5"/>
  <c r="BM137" i="5"/>
  <c r="BN137" i="5"/>
  <c r="BO137" i="5"/>
  <c r="BP137" i="5"/>
  <c r="BQ137" i="5"/>
  <c r="BR137" i="5"/>
  <c r="BS137" i="5"/>
  <c r="BT137" i="5"/>
  <c r="BU137" i="5"/>
  <c r="BV137" i="5"/>
  <c r="BW137" i="5"/>
  <c r="BX137" i="5"/>
  <c r="BY137" i="5"/>
  <c r="BZ137" i="5"/>
  <c r="CA137" i="5"/>
  <c r="CB137" i="5"/>
  <c r="CC137" i="5"/>
  <c r="CD137" i="5"/>
  <c r="D137" i="5"/>
  <c r="C137" i="5"/>
  <c r="AL131" i="5"/>
  <c r="AM131" i="5"/>
  <c r="AN131" i="5"/>
  <c r="AO131" i="5"/>
  <c r="AP131" i="5"/>
  <c r="AQ131" i="5"/>
  <c r="AR131" i="5"/>
  <c r="AS131" i="5"/>
  <c r="AT131" i="5"/>
  <c r="AU131" i="5"/>
  <c r="AV131" i="5"/>
  <c r="AW131" i="5"/>
  <c r="AX131" i="5"/>
  <c r="AY131" i="5"/>
  <c r="AZ131" i="5"/>
  <c r="BA131" i="5"/>
  <c r="BB131" i="5"/>
  <c r="BC131" i="5"/>
  <c r="BD131" i="5"/>
  <c r="BE131" i="5"/>
  <c r="BF131" i="5"/>
  <c r="BG131" i="5"/>
  <c r="BH131" i="5"/>
  <c r="BI131" i="5"/>
  <c r="BJ131" i="5"/>
  <c r="BK131" i="5"/>
  <c r="BL131" i="5"/>
  <c r="BM131" i="5"/>
  <c r="BN131" i="5"/>
  <c r="BO131" i="5"/>
  <c r="BP131" i="5"/>
  <c r="BQ131" i="5"/>
  <c r="BR131" i="5"/>
  <c r="BS131" i="5"/>
  <c r="BT131" i="5"/>
  <c r="BU131" i="5"/>
  <c r="BV131" i="5"/>
  <c r="BW131" i="5"/>
  <c r="BX131" i="5"/>
  <c r="BY131" i="5"/>
  <c r="BZ131" i="5"/>
  <c r="CA131" i="5"/>
  <c r="CB131" i="5"/>
  <c r="CC131" i="5"/>
  <c r="CD131" i="5"/>
  <c r="AL133" i="5"/>
  <c r="AM133" i="5"/>
  <c r="AN133" i="5"/>
  <c r="AO133" i="5"/>
  <c r="AP133" i="5"/>
  <c r="AQ133" i="5"/>
  <c r="AR133" i="5"/>
  <c r="AS133" i="5"/>
  <c r="AT133" i="5"/>
  <c r="AU133" i="5"/>
  <c r="AV133" i="5"/>
  <c r="AW133" i="5"/>
  <c r="AX133" i="5"/>
  <c r="AY133" i="5"/>
  <c r="AZ133" i="5"/>
  <c r="BA133" i="5"/>
  <c r="BB133" i="5"/>
  <c r="BC133" i="5"/>
  <c r="BD133" i="5"/>
  <c r="BE133" i="5"/>
  <c r="BF133" i="5"/>
  <c r="BG133" i="5"/>
  <c r="BH133" i="5"/>
  <c r="BI133" i="5"/>
  <c r="BJ133" i="5"/>
  <c r="BK133" i="5"/>
  <c r="BL133" i="5"/>
  <c r="BM133" i="5"/>
  <c r="BN133" i="5"/>
  <c r="BO133" i="5"/>
  <c r="BP133" i="5"/>
  <c r="BQ133" i="5"/>
  <c r="BR133" i="5"/>
  <c r="BS133" i="5"/>
  <c r="BT133" i="5"/>
  <c r="BU133" i="5"/>
  <c r="BV133" i="5"/>
  <c r="BW133" i="5"/>
  <c r="BX133" i="5"/>
  <c r="BY133" i="5"/>
  <c r="BZ133" i="5"/>
  <c r="CA133" i="5"/>
  <c r="CB133" i="5"/>
  <c r="CC133" i="5"/>
  <c r="CD133" i="5"/>
  <c r="AL135" i="5"/>
  <c r="AM135" i="5"/>
  <c r="AN135" i="5"/>
  <c r="AO135" i="5"/>
  <c r="AP135" i="5"/>
  <c r="AQ135" i="5"/>
  <c r="AR135" i="5"/>
  <c r="AS135" i="5"/>
  <c r="AT135" i="5"/>
  <c r="AU135" i="5"/>
  <c r="AV135" i="5"/>
  <c r="AW135" i="5"/>
  <c r="AX135" i="5"/>
  <c r="AY135" i="5"/>
  <c r="AZ135" i="5"/>
  <c r="BA135" i="5"/>
  <c r="BB135" i="5"/>
  <c r="BC135" i="5"/>
  <c r="BD135" i="5"/>
  <c r="BE135" i="5"/>
  <c r="BF135" i="5"/>
  <c r="BG135" i="5"/>
  <c r="BH135" i="5"/>
  <c r="BI135" i="5"/>
  <c r="BJ135" i="5"/>
  <c r="BK135" i="5"/>
  <c r="BL135" i="5"/>
  <c r="BM135" i="5"/>
  <c r="BN135" i="5"/>
  <c r="BO135" i="5"/>
  <c r="BP135" i="5"/>
  <c r="BQ135" i="5"/>
  <c r="BR135" i="5"/>
  <c r="BS135" i="5"/>
  <c r="BT135" i="5"/>
  <c r="BU135" i="5"/>
  <c r="BV135" i="5"/>
  <c r="BW135" i="5"/>
  <c r="BX135" i="5"/>
  <c r="BY135" i="5"/>
  <c r="BZ135" i="5"/>
  <c r="CA135" i="5"/>
  <c r="CB135" i="5"/>
  <c r="CC135" i="5"/>
  <c r="CD135" i="5"/>
  <c r="AM129" i="5"/>
  <c r="AN129" i="5"/>
  <c r="AO129" i="5"/>
  <c r="AP129" i="5"/>
  <c r="AQ129" i="5"/>
  <c r="AR129" i="5"/>
  <c r="AS129" i="5"/>
  <c r="AT129" i="5"/>
  <c r="AU129" i="5"/>
  <c r="AV129" i="5"/>
  <c r="AW129" i="5"/>
  <c r="AX129" i="5"/>
  <c r="AY129" i="5"/>
  <c r="AZ129" i="5"/>
  <c r="BA129" i="5"/>
  <c r="BB129" i="5"/>
  <c r="BC129" i="5"/>
  <c r="BD129" i="5"/>
  <c r="BE129" i="5"/>
  <c r="BF129" i="5"/>
  <c r="BG129" i="5"/>
  <c r="BH129" i="5"/>
  <c r="BI129" i="5"/>
  <c r="BJ129" i="5"/>
  <c r="BK129" i="5"/>
  <c r="BL129" i="5"/>
  <c r="BM129" i="5"/>
  <c r="BN129" i="5"/>
  <c r="BO129" i="5"/>
  <c r="BP129" i="5"/>
  <c r="BQ129" i="5"/>
  <c r="BR129" i="5"/>
  <c r="BS129" i="5"/>
  <c r="BT129" i="5"/>
  <c r="BU129" i="5"/>
  <c r="BV129" i="5"/>
  <c r="BW129" i="5"/>
  <c r="BX129" i="5"/>
  <c r="BY129" i="5"/>
  <c r="BZ129" i="5"/>
  <c r="CA129" i="5"/>
  <c r="CB129" i="5"/>
  <c r="CC129" i="5"/>
  <c r="CD129" i="5"/>
  <c r="AL129" i="5"/>
  <c r="T80" i="3" l="1"/>
  <c r="T78" i="3"/>
  <c r="T75" i="3"/>
  <c r="T73" i="3"/>
  <c r="T72" i="3"/>
  <c r="T70" i="3"/>
  <c r="T67" i="3"/>
  <c r="T65" i="3"/>
  <c r="T64" i="3"/>
  <c r="T62" i="3"/>
  <c r="T59" i="3"/>
  <c r="T57" i="3"/>
  <c r="T56" i="3"/>
  <c r="T54" i="3"/>
  <c r="T51" i="3"/>
  <c r="T49" i="3"/>
  <c r="T48" i="3"/>
  <c r="T46" i="3"/>
  <c r="T43" i="3"/>
  <c r="T41" i="3"/>
  <c r="T40" i="3"/>
  <c r="T38" i="3"/>
  <c r="A35" i="2" l="1"/>
  <c r="A34" i="2"/>
  <c r="A33" i="2"/>
  <c r="A32" i="2"/>
  <c r="A31" i="2"/>
  <c r="A30" i="2"/>
  <c r="A29" i="2"/>
  <c r="A28" i="2"/>
  <c r="A27" i="2"/>
  <c r="A26" i="2"/>
  <c r="A25" i="2"/>
  <c r="A24" i="2"/>
  <c r="A23" i="2"/>
  <c r="A22" i="2"/>
  <c r="A21" i="2"/>
  <c r="A20" i="2"/>
  <c r="A19" i="2"/>
  <c r="A18" i="2"/>
  <c r="A17" i="2"/>
  <c r="A16" i="2"/>
  <c r="A15" i="2"/>
  <c r="A14" i="2"/>
  <c r="A13" i="2"/>
  <c r="A12" i="2"/>
  <c r="A11" i="2"/>
  <c r="A10" i="2"/>
  <c r="A9" i="2"/>
  <c r="A8" i="2"/>
  <c r="A7" i="2"/>
  <c r="A6" i="2"/>
  <c r="A5" i="2"/>
  <c r="A4" i="2"/>
  <c r="A3" i="2"/>
  <c r="A2" i="2"/>
  <c r="E179" i="5" l="1"/>
  <c r="F179" i="5"/>
  <c r="G179" i="5"/>
  <c r="H179" i="5"/>
  <c r="I179" i="5"/>
  <c r="J179" i="5"/>
  <c r="K179" i="5"/>
  <c r="L179" i="5"/>
  <c r="M179" i="5"/>
  <c r="N179" i="5"/>
  <c r="O179" i="5"/>
  <c r="P179" i="5"/>
  <c r="Q179" i="5"/>
  <c r="R179" i="5"/>
  <c r="S179" i="5"/>
  <c r="T179" i="5"/>
  <c r="U179" i="5"/>
  <c r="V179" i="5"/>
  <c r="W179" i="5"/>
  <c r="X179" i="5"/>
  <c r="Y179" i="5"/>
  <c r="Z179" i="5"/>
  <c r="AA179" i="5"/>
  <c r="AB179" i="5"/>
  <c r="AC179" i="5"/>
  <c r="AD179" i="5"/>
  <c r="AE179" i="5"/>
  <c r="AF179" i="5"/>
  <c r="AG179" i="5"/>
  <c r="AH179" i="5"/>
  <c r="AI179" i="5"/>
  <c r="AJ179" i="5"/>
  <c r="AK179" i="5"/>
  <c r="E181" i="5"/>
  <c r="F181" i="5"/>
  <c r="G181" i="5"/>
  <c r="H181" i="5"/>
  <c r="I181" i="5"/>
  <c r="J181" i="5"/>
  <c r="K181" i="5"/>
  <c r="L181" i="5"/>
  <c r="M181" i="5"/>
  <c r="N181" i="5"/>
  <c r="O181" i="5"/>
  <c r="P181" i="5"/>
  <c r="Q181" i="5"/>
  <c r="R181" i="5"/>
  <c r="S181" i="5"/>
  <c r="T181" i="5"/>
  <c r="U181" i="5"/>
  <c r="V181" i="5"/>
  <c r="W181" i="5"/>
  <c r="X181" i="5"/>
  <c r="Y181" i="5"/>
  <c r="Z181" i="5"/>
  <c r="AA181" i="5"/>
  <c r="AB181" i="5"/>
  <c r="AC181" i="5"/>
  <c r="AD181" i="5"/>
  <c r="AE181" i="5"/>
  <c r="AF181" i="5"/>
  <c r="AG181" i="5"/>
  <c r="AH181" i="5"/>
  <c r="AI181" i="5"/>
  <c r="AJ181" i="5"/>
  <c r="AK181" i="5"/>
  <c r="E183" i="5"/>
  <c r="F183" i="5"/>
  <c r="G183" i="5"/>
  <c r="H183" i="5"/>
  <c r="I183" i="5"/>
  <c r="J183" i="5"/>
  <c r="K183" i="5"/>
  <c r="L183" i="5"/>
  <c r="M183" i="5"/>
  <c r="N183" i="5"/>
  <c r="O183" i="5"/>
  <c r="P183" i="5"/>
  <c r="Q183" i="5"/>
  <c r="R183" i="5"/>
  <c r="S183" i="5"/>
  <c r="T183" i="5"/>
  <c r="U183" i="5"/>
  <c r="V183" i="5"/>
  <c r="W183" i="5"/>
  <c r="X183" i="5"/>
  <c r="Y183" i="5"/>
  <c r="Z183" i="5"/>
  <c r="AA183" i="5"/>
  <c r="AB183" i="5"/>
  <c r="AC183" i="5"/>
  <c r="AD183" i="5"/>
  <c r="AE183" i="5"/>
  <c r="AF183" i="5"/>
  <c r="AG183" i="5"/>
  <c r="AH183" i="5"/>
  <c r="AI183" i="5"/>
  <c r="AJ183" i="5"/>
  <c r="AK183" i="5"/>
  <c r="E184" i="5"/>
  <c r="F184" i="5"/>
  <c r="G184" i="5"/>
  <c r="H184" i="5"/>
  <c r="I184" i="5"/>
  <c r="J184" i="5"/>
  <c r="K184" i="5"/>
  <c r="L184" i="5"/>
  <c r="M184" i="5"/>
  <c r="N184" i="5"/>
  <c r="O184" i="5"/>
  <c r="P184" i="5"/>
  <c r="Q184" i="5"/>
  <c r="R184" i="5"/>
  <c r="S184" i="5"/>
  <c r="T184" i="5"/>
  <c r="U184" i="5"/>
  <c r="V184" i="5"/>
  <c r="W184" i="5"/>
  <c r="X184" i="5"/>
  <c r="Y184" i="5"/>
  <c r="Z184" i="5"/>
  <c r="AA184" i="5"/>
  <c r="AB184" i="5"/>
  <c r="AC184" i="5"/>
  <c r="AD184" i="5"/>
  <c r="AE184" i="5"/>
  <c r="AF184" i="5"/>
  <c r="AG184" i="5"/>
  <c r="AH184" i="5"/>
  <c r="AI184" i="5"/>
  <c r="AJ184" i="5"/>
  <c r="AK184" i="5"/>
  <c r="E185" i="5"/>
  <c r="F185" i="5"/>
  <c r="G185" i="5"/>
  <c r="H185" i="5"/>
  <c r="I185" i="5"/>
  <c r="J185" i="5"/>
  <c r="K185" i="5"/>
  <c r="L185" i="5"/>
  <c r="M185" i="5"/>
  <c r="N185" i="5"/>
  <c r="O185" i="5"/>
  <c r="P185" i="5"/>
  <c r="Q185" i="5"/>
  <c r="R185" i="5"/>
  <c r="S185" i="5"/>
  <c r="T185" i="5"/>
  <c r="U185" i="5"/>
  <c r="V185" i="5"/>
  <c r="W185" i="5"/>
  <c r="X185" i="5"/>
  <c r="Y185" i="5"/>
  <c r="Z185" i="5"/>
  <c r="AA185" i="5"/>
  <c r="AB185" i="5"/>
  <c r="AC185" i="5"/>
  <c r="AD185" i="5"/>
  <c r="AE185" i="5"/>
  <c r="AF185" i="5"/>
  <c r="AG185" i="5"/>
  <c r="AH185" i="5"/>
  <c r="AI185" i="5"/>
  <c r="AJ185" i="5"/>
  <c r="AK185" i="5"/>
  <c r="E187" i="5"/>
  <c r="F187" i="5"/>
  <c r="G187" i="5"/>
  <c r="H187" i="5"/>
  <c r="I187" i="5"/>
  <c r="J187" i="5"/>
  <c r="K187" i="5"/>
  <c r="L187" i="5"/>
  <c r="M187" i="5"/>
  <c r="N187" i="5"/>
  <c r="O187" i="5"/>
  <c r="P187" i="5"/>
  <c r="Q187" i="5"/>
  <c r="R187" i="5"/>
  <c r="S187" i="5"/>
  <c r="T187" i="5"/>
  <c r="U187" i="5"/>
  <c r="V187" i="5"/>
  <c r="W187" i="5"/>
  <c r="X187" i="5"/>
  <c r="Y187" i="5"/>
  <c r="Z187" i="5"/>
  <c r="AA187" i="5"/>
  <c r="AB187" i="5"/>
  <c r="AC187" i="5"/>
  <c r="AD187" i="5"/>
  <c r="AE187" i="5"/>
  <c r="AF187" i="5"/>
  <c r="AG187" i="5"/>
  <c r="AH187" i="5"/>
  <c r="AI187" i="5"/>
  <c r="AJ187" i="5"/>
  <c r="AK187" i="5"/>
  <c r="E188" i="5"/>
  <c r="F188" i="5"/>
  <c r="G188" i="5"/>
  <c r="H188" i="5"/>
  <c r="I188" i="5"/>
  <c r="J188" i="5"/>
  <c r="K188" i="5"/>
  <c r="L188" i="5"/>
  <c r="M188" i="5"/>
  <c r="N188" i="5"/>
  <c r="O188" i="5"/>
  <c r="P188" i="5"/>
  <c r="Q188" i="5"/>
  <c r="R188" i="5"/>
  <c r="S188" i="5"/>
  <c r="T188" i="5"/>
  <c r="U188" i="5"/>
  <c r="V188" i="5"/>
  <c r="W188" i="5"/>
  <c r="X188" i="5"/>
  <c r="Y188" i="5"/>
  <c r="Z188" i="5"/>
  <c r="AA188" i="5"/>
  <c r="AB188" i="5"/>
  <c r="AC188" i="5"/>
  <c r="AD188" i="5"/>
  <c r="AE188" i="5"/>
  <c r="AF188" i="5"/>
  <c r="AG188" i="5"/>
  <c r="AH188" i="5"/>
  <c r="AI188" i="5"/>
  <c r="AJ188" i="5"/>
  <c r="AK188" i="5"/>
  <c r="D184" i="5"/>
  <c r="D183" i="5"/>
  <c r="E129" i="5" l="1"/>
  <c r="F129" i="5"/>
  <c r="G129" i="5"/>
  <c r="H129" i="5"/>
  <c r="I129" i="5"/>
  <c r="J129" i="5"/>
  <c r="K129" i="5"/>
  <c r="L129" i="5"/>
  <c r="M129" i="5"/>
  <c r="N129" i="5"/>
  <c r="O129" i="5"/>
  <c r="P129" i="5"/>
  <c r="Q129" i="5"/>
  <c r="R129" i="5"/>
  <c r="S129" i="5"/>
  <c r="T129" i="5"/>
  <c r="U129" i="5"/>
  <c r="V129" i="5"/>
  <c r="W129" i="5"/>
  <c r="X129" i="5"/>
  <c r="Y129" i="5"/>
  <c r="Z129" i="5"/>
  <c r="AA129" i="5"/>
  <c r="AB129" i="5"/>
  <c r="AC129" i="5"/>
  <c r="AD129" i="5"/>
  <c r="AE129" i="5"/>
  <c r="AF129" i="5"/>
  <c r="AG129" i="5"/>
  <c r="AH129" i="5"/>
  <c r="AI129" i="5"/>
  <c r="AJ129" i="5"/>
  <c r="AK129" i="5"/>
  <c r="E131" i="5"/>
  <c r="F131" i="5"/>
  <c r="G131" i="5"/>
  <c r="H131" i="5"/>
  <c r="I131" i="5"/>
  <c r="J131" i="5"/>
  <c r="K131" i="5"/>
  <c r="L131" i="5"/>
  <c r="M131" i="5"/>
  <c r="N131" i="5"/>
  <c r="O131" i="5"/>
  <c r="P131" i="5"/>
  <c r="Q131" i="5"/>
  <c r="R131" i="5"/>
  <c r="S131" i="5"/>
  <c r="T131" i="5"/>
  <c r="U131" i="5"/>
  <c r="V131" i="5"/>
  <c r="W131" i="5"/>
  <c r="X131" i="5"/>
  <c r="Y131" i="5"/>
  <c r="Z131" i="5"/>
  <c r="AA131" i="5"/>
  <c r="AB131" i="5"/>
  <c r="AC131" i="5"/>
  <c r="AD131" i="5"/>
  <c r="AE131" i="5"/>
  <c r="AF131" i="5"/>
  <c r="AG131" i="5"/>
  <c r="AH131" i="5"/>
  <c r="AI131" i="5"/>
  <c r="AJ131" i="5"/>
  <c r="AK131" i="5"/>
  <c r="E133" i="5"/>
  <c r="F133" i="5"/>
  <c r="G133" i="5"/>
  <c r="H133" i="5"/>
  <c r="I133" i="5"/>
  <c r="J133" i="5"/>
  <c r="K133" i="5"/>
  <c r="L133" i="5"/>
  <c r="M133" i="5"/>
  <c r="N133" i="5"/>
  <c r="O133" i="5"/>
  <c r="P133" i="5"/>
  <c r="Q133" i="5"/>
  <c r="R133" i="5"/>
  <c r="S133" i="5"/>
  <c r="T133" i="5"/>
  <c r="U133" i="5"/>
  <c r="V133" i="5"/>
  <c r="W133" i="5"/>
  <c r="X133" i="5"/>
  <c r="Y133" i="5"/>
  <c r="Z133" i="5"/>
  <c r="AA133" i="5"/>
  <c r="AB133" i="5"/>
  <c r="AC133" i="5"/>
  <c r="AD133" i="5"/>
  <c r="AE133" i="5"/>
  <c r="AF133" i="5"/>
  <c r="AG133" i="5"/>
  <c r="AH133" i="5"/>
  <c r="AI133" i="5"/>
  <c r="AJ133" i="5"/>
  <c r="AK133" i="5"/>
  <c r="E135" i="5"/>
  <c r="F135" i="5"/>
  <c r="G135" i="5"/>
  <c r="H135" i="5"/>
  <c r="I135" i="5"/>
  <c r="J135" i="5"/>
  <c r="K135" i="5"/>
  <c r="L135" i="5"/>
  <c r="M135" i="5"/>
  <c r="N135" i="5"/>
  <c r="O135" i="5"/>
  <c r="P135" i="5"/>
  <c r="Q135" i="5"/>
  <c r="R135" i="5"/>
  <c r="S135" i="5"/>
  <c r="T135" i="5"/>
  <c r="U135" i="5"/>
  <c r="V135" i="5"/>
  <c r="W135" i="5"/>
  <c r="X135" i="5"/>
  <c r="Y135" i="5"/>
  <c r="Z135" i="5"/>
  <c r="AA135" i="5"/>
  <c r="AB135" i="5"/>
  <c r="AC135" i="5"/>
  <c r="AD135" i="5"/>
  <c r="AE135" i="5"/>
  <c r="AF135" i="5"/>
  <c r="AG135" i="5"/>
  <c r="AH135" i="5"/>
  <c r="AI135" i="5"/>
  <c r="AJ135" i="5"/>
  <c r="AK135" i="5"/>
  <c r="E140" i="5"/>
  <c r="F140" i="5"/>
  <c r="G140" i="5"/>
  <c r="H140" i="5"/>
  <c r="I140" i="5"/>
  <c r="J140" i="5"/>
  <c r="K140" i="5"/>
  <c r="L140" i="5"/>
  <c r="M140" i="5"/>
  <c r="N140" i="5"/>
  <c r="O140" i="5"/>
  <c r="P140" i="5"/>
  <c r="Q140" i="5"/>
  <c r="R140" i="5"/>
  <c r="S140" i="5"/>
  <c r="T140" i="5"/>
  <c r="U140" i="5"/>
  <c r="V140" i="5"/>
  <c r="W140" i="5"/>
  <c r="X140" i="5"/>
  <c r="Y140" i="5"/>
  <c r="Z140" i="5"/>
  <c r="AA140" i="5"/>
  <c r="AB140" i="5"/>
  <c r="AC140" i="5"/>
  <c r="AD140" i="5"/>
  <c r="AE140" i="5"/>
  <c r="AF140" i="5"/>
  <c r="AG140" i="5"/>
  <c r="AH140" i="5"/>
  <c r="AI140" i="5"/>
  <c r="AJ140" i="5"/>
  <c r="AK140" i="5"/>
  <c r="E142" i="5"/>
  <c r="F142" i="5"/>
  <c r="G142" i="5"/>
  <c r="H142" i="5"/>
  <c r="I142" i="5"/>
  <c r="J142" i="5"/>
  <c r="K142" i="5"/>
  <c r="L142" i="5"/>
  <c r="M142" i="5"/>
  <c r="N142" i="5"/>
  <c r="O142" i="5"/>
  <c r="P142" i="5"/>
  <c r="Q142" i="5"/>
  <c r="R142" i="5"/>
  <c r="S142" i="5"/>
  <c r="T142" i="5"/>
  <c r="U142" i="5"/>
  <c r="V142" i="5"/>
  <c r="W142" i="5"/>
  <c r="X142" i="5"/>
  <c r="Y142" i="5"/>
  <c r="Z142" i="5"/>
  <c r="AA142" i="5"/>
  <c r="AB142" i="5"/>
  <c r="AC142" i="5"/>
  <c r="AD142" i="5"/>
  <c r="AE142" i="5"/>
  <c r="AF142" i="5"/>
  <c r="AG142" i="5"/>
  <c r="AH142" i="5"/>
  <c r="AI142" i="5"/>
  <c r="AJ142" i="5"/>
  <c r="AK142" i="5"/>
  <c r="E144" i="5"/>
  <c r="F144" i="5"/>
  <c r="G144" i="5"/>
  <c r="H144" i="5"/>
  <c r="I144" i="5"/>
  <c r="J144" i="5"/>
  <c r="K144" i="5"/>
  <c r="L144" i="5"/>
  <c r="M144" i="5"/>
  <c r="N144" i="5"/>
  <c r="O144" i="5"/>
  <c r="P144" i="5"/>
  <c r="Q144" i="5"/>
  <c r="R144" i="5"/>
  <c r="S144" i="5"/>
  <c r="T144" i="5"/>
  <c r="U144" i="5"/>
  <c r="V144" i="5"/>
  <c r="W144" i="5"/>
  <c r="X144" i="5"/>
  <c r="Y144" i="5"/>
  <c r="Z144" i="5"/>
  <c r="AA144" i="5"/>
  <c r="AB144" i="5"/>
  <c r="AC144" i="5"/>
  <c r="AD144" i="5"/>
  <c r="AE144" i="5"/>
  <c r="AF144" i="5"/>
  <c r="AG144" i="5"/>
  <c r="AH144" i="5"/>
  <c r="AI144" i="5"/>
  <c r="AJ144" i="5"/>
  <c r="AK144" i="5"/>
  <c r="E147" i="5"/>
  <c r="F147" i="5"/>
  <c r="G147" i="5"/>
  <c r="H147" i="5"/>
  <c r="I147" i="5"/>
  <c r="J147" i="5"/>
  <c r="K147" i="5"/>
  <c r="L147" i="5"/>
  <c r="M147" i="5"/>
  <c r="N147" i="5"/>
  <c r="O147" i="5"/>
  <c r="P147" i="5"/>
  <c r="Q147" i="5"/>
  <c r="R147" i="5"/>
  <c r="S147" i="5"/>
  <c r="T147" i="5"/>
  <c r="U147" i="5"/>
  <c r="V147" i="5"/>
  <c r="W147" i="5"/>
  <c r="X147" i="5"/>
  <c r="Y147" i="5"/>
  <c r="Z147" i="5"/>
  <c r="AA147" i="5"/>
  <c r="AB147" i="5"/>
  <c r="AC147" i="5"/>
  <c r="AD147" i="5"/>
  <c r="AE147" i="5"/>
  <c r="AF147" i="5"/>
  <c r="AG147" i="5"/>
  <c r="AH147" i="5"/>
  <c r="AI147" i="5"/>
  <c r="AJ147" i="5"/>
  <c r="AK147" i="5"/>
  <c r="E149" i="5"/>
  <c r="F149" i="5"/>
  <c r="G149" i="5"/>
  <c r="H149" i="5"/>
  <c r="I149" i="5"/>
  <c r="J149" i="5"/>
  <c r="K149" i="5"/>
  <c r="L149" i="5"/>
  <c r="M149" i="5"/>
  <c r="N149" i="5"/>
  <c r="O149" i="5"/>
  <c r="P149" i="5"/>
  <c r="Q149" i="5"/>
  <c r="R149" i="5"/>
  <c r="S149" i="5"/>
  <c r="T149" i="5"/>
  <c r="U149" i="5"/>
  <c r="V149" i="5"/>
  <c r="W149" i="5"/>
  <c r="X149" i="5"/>
  <c r="Y149" i="5"/>
  <c r="Z149" i="5"/>
  <c r="AA149" i="5"/>
  <c r="AB149" i="5"/>
  <c r="AC149" i="5"/>
  <c r="AD149" i="5"/>
  <c r="AE149" i="5"/>
  <c r="AF149" i="5"/>
  <c r="AG149" i="5"/>
  <c r="AH149" i="5"/>
  <c r="AI149" i="5"/>
  <c r="AJ149" i="5"/>
  <c r="AK149" i="5"/>
  <c r="E151" i="5"/>
  <c r="F151" i="5"/>
  <c r="G151" i="5"/>
  <c r="H151" i="5"/>
  <c r="I151" i="5"/>
  <c r="J151" i="5"/>
  <c r="K151" i="5"/>
  <c r="L151" i="5"/>
  <c r="M151" i="5"/>
  <c r="N151" i="5"/>
  <c r="O151" i="5"/>
  <c r="P151" i="5"/>
  <c r="Q151" i="5"/>
  <c r="R151" i="5"/>
  <c r="S151" i="5"/>
  <c r="T151" i="5"/>
  <c r="U151" i="5"/>
  <c r="V151" i="5"/>
  <c r="W151" i="5"/>
  <c r="X151" i="5"/>
  <c r="Y151" i="5"/>
  <c r="Z151" i="5"/>
  <c r="AA151" i="5"/>
  <c r="AB151" i="5"/>
  <c r="AC151" i="5"/>
  <c r="AD151" i="5"/>
  <c r="AE151" i="5"/>
  <c r="AF151" i="5"/>
  <c r="AG151" i="5"/>
  <c r="AH151" i="5"/>
  <c r="AI151" i="5"/>
  <c r="AJ151" i="5"/>
  <c r="AK151" i="5"/>
  <c r="E154" i="5"/>
  <c r="F154" i="5"/>
  <c r="G154" i="5"/>
  <c r="H154" i="5"/>
  <c r="I154" i="5"/>
  <c r="J154" i="5"/>
  <c r="K154" i="5"/>
  <c r="L154" i="5"/>
  <c r="M154" i="5"/>
  <c r="N154" i="5"/>
  <c r="O154" i="5"/>
  <c r="P154" i="5"/>
  <c r="Q154" i="5"/>
  <c r="R154" i="5"/>
  <c r="S154" i="5"/>
  <c r="T154" i="5"/>
  <c r="U154" i="5"/>
  <c r="V154" i="5"/>
  <c r="W154" i="5"/>
  <c r="X154" i="5"/>
  <c r="Y154" i="5"/>
  <c r="Z154" i="5"/>
  <c r="AA154" i="5"/>
  <c r="AB154" i="5"/>
  <c r="AC154" i="5"/>
  <c r="AD154" i="5"/>
  <c r="AE154" i="5"/>
  <c r="AF154" i="5"/>
  <c r="AG154" i="5"/>
  <c r="AH154" i="5"/>
  <c r="AI154" i="5"/>
  <c r="AJ154" i="5"/>
  <c r="AK154" i="5"/>
  <c r="E156" i="5"/>
  <c r="F156" i="5"/>
  <c r="G156" i="5"/>
  <c r="H156" i="5"/>
  <c r="I156" i="5"/>
  <c r="J156" i="5"/>
  <c r="K156" i="5"/>
  <c r="L156" i="5"/>
  <c r="M156" i="5"/>
  <c r="N156" i="5"/>
  <c r="O156" i="5"/>
  <c r="P156" i="5"/>
  <c r="Q156" i="5"/>
  <c r="R156" i="5"/>
  <c r="S156" i="5"/>
  <c r="T156" i="5"/>
  <c r="U156" i="5"/>
  <c r="V156" i="5"/>
  <c r="W156" i="5"/>
  <c r="X156" i="5"/>
  <c r="Y156" i="5"/>
  <c r="Z156" i="5"/>
  <c r="AA156" i="5"/>
  <c r="AB156" i="5"/>
  <c r="AC156" i="5"/>
  <c r="AD156" i="5"/>
  <c r="AE156" i="5"/>
  <c r="AF156" i="5"/>
  <c r="AG156" i="5"/>
  <c r="AH156" i="5"/>
  <c r="AI156" i="5"/>
  <c r="AJ156" i="5"/>
  <c r="AK156" i="5"/>
  <c r="E160" i="5"/>
  <c r="F160" i="5"/>
  <c r="G160" i="5"/>
  <c r="H160" i="5"/>
  <c r="I160" i="5"/>
  <c r="J160" i="5"/>
  <c r="K160" i="5"/>
  <c r="L160" i="5"/>
  <c r="M160" i="5"/>
  <c r="N160" i="5"/>
  <c r="O160" i="5"/>
  <c r="P160" i="5"/>
  <c r="Q160" i="5"/>
  <c r="R160" i="5"/>
  <c r="S160" i="5"/>
  <c r="T160" i="5"/>
  <c r="U160" i="5"/>
  <c r="V160" i="5"/>
  <c r="W160" i="5"/>
  <c r="X160" i="5"/>
  <c r="Y160" i="5"/>
  <c r="Z160" i="5"/>
  <c r="AA160" i="5"/>
  <c r="AB160" i="5"/>
  <c r="AC160" i="5"/>
  <c r="AD160" i="5"/>
  <c r="AE160" i="5"/>
  <c r="AF160" i="5"/>
  <c r="AG160" i="5"/>
  <c r="AH160" i="5"/>
  <c r="AI160" i="5"/>
  <c r="AJ160" i="5"/>
  <c r="AK160" i="5"/>
  <c r="E202" i="5"/>
  <c r="F202" i="5"/>
  <c r="G202" i="5"/>
  <c r="H202" i="5"/>
  <c r="I202" i="5"/>
  <c r="J202" i="5"/>
  <c r="K202" i="5"/>
  <c r="L202" i="5"/>
  <c r="D10" i="4" s="1"/>
  <c r="M202" i="5"/>
  <c r="N202" i="5"/>
  <c r="I12" i="3" s="1"/>
  <c r="O202" i="5"/>
  <c r="P202" i="5"/>
  <c r="I14" i="3" s="1"/>
  <c r="Q202" i="5"/>
  <c r="R202" i="5"/>
  <c r="I16" i="3" s="1"/>
  <c r="S202" i="5"/>
  <c r="T202" i="5"/>
  <c r="I18" i="3" s="1"/>
  <c r="U202" i="5"/>
  <c r="V202" i="5"/>
  <c r="W202" i="5"/>
  <c r="X202" i="5"/>
  <c r="I22" i="3" s="1"/>
  <c r="Y202" i="5"/>
  <c r="Z202" i="5"/>
  <c r="I24" i="3" s="1"/>
  <c r="AA202" i="5"/>
  <c r="AB202" i="5"/>
  <c r="D26" i="4" s="1"/>
  <c r="AC202" i="5"/>
  <c r="AD202" i="5"/>
  <c r="I28" i="3" s="1"/>
  <c r="AE202" i="5"/>
  <c r="AF202" i="5"/>
  <c r="I30" i="3" s="1"/>
  <c r="AG202" i="5"/>
  <c r="AH202" i="5"/>
  <c r="I32" i="3" s="1"/>
  <c r="AI202" i="5"/>
  <c r="AJ202" i="5"/>
  <c r="I34" i="3" s="1"/>
  <c r="AK202" i="5"/>
  <c r="D185" i="5"/>
  <c r="C185" i="5"/>
  <c r="C184" i="5"/>
  <c r="C183" i="5"/>
  <c r="D181" i="5"/>
  <c r="D147" i="5"/>
  <c r="D140" i="5"/>
  <c r="D129" i="5"/>
  <c r="A30" i="3"/>
  <c r="A31" i="3"/>
  <c r="A32" i="3"/>
  <c r="A33" i="3"/>
  <c r="A34" i="3"/>
  <c r="A35" i="3"/>
  <c r="B30" i="4"/>
  <c r="B31" i="4"/>
  <c r="B32" i="4"/>
  <c r="B33" i="4"/>
  <c r="B34" i="4"/>
  <c r="B35" i="4"/>
  <c r="I9" i="3"/>
  <c r="D11" i="4"/>
  <c r="I13" i="3"/>
  <c r="I15" i="3"/>
  <c r="D17" i="4"/>
  <c r="D19" i="4"/>
  <c r="D21" i="4"/>
  <c r="D23" i="4"/>
  <c r="D25" i="4"/>
  <c r="I31" i="3"/>
  <c r="T31" i="3" s="1"/>
  <c r="I33" i="3"/>
  <c r="T33" i="3" s="1"/>
  <c r="I35" i="3"/>
  <c r="T35" i="3" s="1"/>
  <c r="A17" i="3"/>
  <c r="A18" i="3"/>
  <c r="A19" i="3"/>
  <c r="A20" i="3"/>
  <c r="A21" i="3"/>
  <c r="A22" i="3"/>
  <c r="A23" i="3"/>
  <c r="A24" i="3"/>
  <c r="A25" i="3"/>
  <c r="A26" i="3"/>
  <c r="A27" i="3"/>
  <c r="A28" i="3"/>
  <c r="A29" i="3"/>
  <c r="I17" i="3"/>
  <c r="B17" i="4"/>
  <c r="B18" i="4"/>
  <c r="B19" i="4"/>
  <c r="B20" i="4"/>
  <c r="B21" i="4"/>
  <c r="B22" i="4"/>
  <c r="B23" i="4"/>
  <c r="B24" i="4"/>
  <c r="B25" i="4"/>
  <c r="B26" i="4"/>
  <c r="B27" i="4"/>
  <c r="B28" i="4"/>
  <c r="B29" i="4"/>
  <c r="A12" i="3"/>
  <c r="A13" i="3"/>
  <c r="A14" i="3"/>
  <c r="A15" i="3"/>
  <c r="A16" i="3"/>
  <c r="B12" i="4"/>
  <c r="B13" i="4"/>
  <c r="B14" i="4"/>
  <c r="B15" i="4"/>
  <c r="B16" i="4"/>
  <c r="B11" i="4"/>
  <c r="A11" i="3"/>
  <c r="B9" i="4"/>
  <c r="B10" i="4"/>
  <c r="A9" i="3"/>
  <c r="A10" i="3"/>
  <c r="D142" i="5"/>
  <c r="D133" i="5"/>
  <c r="T17" i="3" l="1"/>
  <c r="T34" i="3"/>
  <c r="T32" i="3"/>
  <c r="T30" i="3"/>
  <c r="I26" i="3"/>
  <c r="T26" i="3" s="1"/>
  <c r="T24" i="3"/>
  <c r="T22" i="3"/>
  <c r="T28" i="3"/>
  <c r="T18" i="3"/>
  <c r="T16" i="3"/>
  <c r="T9" i="3"/>
  <c r="T14" i="3"/>
  <c r="T12" i="3"/>
  <c r="I25" i="3"/>
  <c r="T25" i="3" s="1"/>
  <c r="D22" i="4"/>
  <c r="D30" i="4"/>
  <c r="D28" i="4"/>
  <c r="D24" i="4"/>
  <c r="D18" i="4"/>
  <c r="D34" i="4"/>
  <c r="I21" i="3"/>
  <c r="T21" i="3" s="1"/>
  <c r="D32" i="4"/>
  <c r="D35" i="4"/>
  <c r="D33" i="4"/>
  <c r="D31" i="4"/>
  <c r="I23" i="3"/>
  <c r="T23" i="3" s="1"/>
  <c r="I19" i="3"/>
  <c r="T19" i="3" s="1"/>
  <c r="I20" i="3"/>
  <c r="T20" i="3" s="1"/>
  <c r="D20" i="4"/>
  <c r="I29" i="3"/>
  <c r="T29" i="3" s="1"/>
  <c r="D29" i="4"/>
  <c r="I27" i="3"/>
  <c r="T27" i="3" s="1"/>
  <c r="D27" i="4"/>
  <c r="T15" i="3"/>
  <c r="T13" i="3"/>
  <c r="I10" i="3"/>
  <c r="T10" i="3" s="1"/>
  <c r="D16" i="4"/>
  <c r="D15" i="4"/>
  <c r="D14" i="4"/>
  <c r="D13" i="4"/>
  <c r="D12" i="4"/>
  <c r="D9" i="4"/>
  <c r="I11" i="3"/>
  <c r="T11" i="3" s="1"/>
  <c r="A5" i="3"/>
  <c r="A6" i="3"/>
  <c r="A7" i="3"/>
  <c r="A8" i="3"/>
  <c r="B3" i="4"/>
  <c r="B4" i="4"/>
  <c r="B5" i="4"/>
  <c r="B6" i="4"/>
  <c r="B7" i="4"/>
  <c r="B8" i="4"/>
  <c r="D3" i="4"/>
  <c r="D4" i="4"/>
  <c r="I5" i="3"/>
  <c r="T5" i="3" s="1"/>
  <c r="I8" i="3"/>
  <c r="T8" i="3" s="1"/>
  <c r="D7" i="4" l="1"/>
  <c r="I6" i="3"/>
  <c r="T6" i="3" s="1"/>
  <c r="D5" i="4"/>
  <c r="I7" i="3"/>
  <c r="T7" i="3" s="1"/>
  <c r="D8" i="4"/>
  <c r="D6" i="4"/>
  <c r="I3" i="3"/>
  <c r="I4" i="3"/>
  <c r="D188" i="5" l="1"/>
  <c r="D187" i="5"/>
  <c r="D179" i="5"/>
  <c r="D149" i="5" l="1"/>
  <c r="A3" i="3" l="1"/>
  <c r="T3" i="3" s="1"/>
  <c r="A4" i="3"/>
  <c r="T4" i="3" s="1"/>
  <c r="D160" i="5"/>
  <c r="D156" i="5"/>
  <c r="D154" i="5"/>
  <c r="D151" i="5"/>
  <c r="D144" i="5"/>
  <c r="D135" i="5"/>
  <c r="D131" i="5"/>
  <c r="C188" i="5"/>
  <c r="C187" i="5"/>
  <c r="C181" i="5"/>
  <c r="C179" i="5"/>
  <c r="B2" i="4"/>
  <c r="D202" i="5"/>
  <c r="C160" i="5"/>
  <c r="C158" i="5"/>
  <c r="C156" i="5"/>
  <c r="C154" i="5"/>
  <c r="B152" i="5"/>
  <c r="BZ190" i="5" l="1"/>
  <c r="CD190" i="5"/>
  <c r="BI190" i="5"/>
  <c r="BK190" i="5"/>
  <c r="BM190" i="5"/>
  <c r="BO190" i="5"/>
  <c r="BQ190" i="5"/>
  <c r="BS190" i="5"/>
  <c r="BU190" i="5"/>
  <c r="BW190" i="5"/>
  <c r="BY190" i="5"/>
  <c r="AM190" i="5"/>
  <c r="AO190" i="5"/>
  <c r="AQ190" i="5"/>
  <c r="AS190" i="5"/>
  <c r="AU190" i="5"/>
  <c r="AW190" i="5"/>
  <c r="AY190" i="5"/>
  <c r="BA190" i="5"/>
  <c r="BC190" i="5"/>
  <c r="BE190" i="5"/>
  <c r="BG190" i="5"/>
  <c r="CB190" i="5"/>
  <c r="BH190" i="5"/>
  <c r="BJ190" i="5"/>
  <c r="BL190" i="5"/>
  <c r="BN190" i="5"/>
  <c r="BP190" i="5"/>
  <c r="BR190" i="5"/>
  <c r="BT190" i="5"/>
  <c r="BV190" i="5"/>
  <c r="BX190" i="5"/>
  <c r="AL190" i="5"/>
  <c r="AN190" i="5"/>
  <c r="AP190" i="5"/>
  <c r="AR190" i="5"/>
  <c r="AT190" i="5"/>
  <c r="AV190" i="5"/>
  <c r="AX190" i="5"/>
  <c r="AZ190" i="5"/>
  <c r="BB190" i="5"/>
  <c r="BF190" i="5"/>
  <c r="BD190" i="5"/>
  <c r="CC190" i="5"/>
  <c r="CA190" i="5"/>
  <c r="H190" i="5"/>
  <c r="L190" i="5"/>
  <c r="P190" i="5"/>
  <c r="T190" i="5"/>
  <c r="X190" i="5"/>
  <c r="AB190" i="5"/>
  <c r="AF190" i="5"/>
  <c r="AJ190" i="5"/>
  <c r="F190" i="5"/>
  <c r="J190" i="5"/>
  <c r="N190" i="5"/>
  <c r="R190" i="5"/>
  <c r="V190" i="5"/>
  <c r="Z190" i="5"/>
  <c r="AD190" i="5"/>
  <c r="AH190" i="5"/>
  <c r="D190" i="5"/>
  <c r="AI190" i="5"/>
  <c r="AE190" i="5"/>
  <c r="AA190" i="5"/>
  <c r="W190" i="5"/>
  <c r="S190" i="5"/>
  <c r="O190" i="5"/>
  <c r="K190" i="5"/>
  <c r="G190" i="5"/>
  <c r="AK190" i="5"/>
  <c r="AG190" i="5"/>
  <c r="AC190" i="5"/>
  <c r="Y190" i="5"/>
  <c r="U190" i="5"/>
  <c r="Q190" i="5"/>
  <c r="M190" i="5"/>
  <c r="I190" i="5"/>
  <c r="E190" i="5"/>
  <c r="C30" i="4"/>
  <c r="E30" i="2" s="1"/>
  <c r="C34" i="4"/>
  <c r="E34" i="2" s="1"/>
  <c r="C31" i="4"/>
  <c r="E31" i="2" s="1"/>
  <c r="C35" i="4"/>
  <c r="E35" i="2" s="1"/>
  <c r="C12" i="4"/>
  <c r="E12" i="2" s="1"/>
  <c r="C15" i="4"/>
  <c r="E15" i="2" s="1"/>
  <c r="D2" i="4"/>
  <c r="I2" i="3"/>
  <c r="B127" i="5"/>
  <c r="CC207" i="5" l="1"/>
  <c r="BF207" i="5"/>
  <c r="AZ207" i="5"/>
  <c r="AV207" i="5"/>
  <c r="AR207" i="5"/>
  <c r="AN207" i="5"/>
  <c r="BX207" i="5"/>
  <c r="BT207" i="5"/>
  <c r="BP207" i="5"/>
  <c r="BL207" i="5"/>
  <c r="BH207" i="5"/>
  <c r="BG207" i="5"/>
  <c r="BC207" i="5"/>
  <c r="AY207" i="5"/>
  <c r="AU207" i="5"/>
  <c r="AQ207" i="5"/>
  <c r="AM207" i="5"/>
  <c r="BW207" i="5"/>
  <c r="BS207" i="5"/>
  <c r="BO207" i="5"/>
  <c r="BK207" i="5"/>
  <c r="CD207" i="5"/>
  <c r="CA207" i="5"/>
  <c r="BD207" i="5"/>
  <c r="BB207" i="5"/>
  <c r="AX207" i="5"/>
  <c r="AT207" i="5"/>
  <c r="AP207" i="5"/>
  <c r="AL207" i="5"/>
  <c r="BV207" i="5"/>
  <c r="BR207" i="5"/>
  <c r="BN207" i="5"/>
  <c r="BJ207" i="5"/>
  <c r="CB207" i="5"/>
  <c r="BE207" i="5"/>
  <c r="BA207" i="5"/>
  <c r="AW207" i="5"/>
  <c r="AS207" i="5"/>
  <c r="AO207" i="5"/>
  <c r="BY207" i="5"/>
  <c r="BU207" i="5"/>
  <c r="BQ207" i="5"/>
  <c r="BM207" i="5"/>
  <c r="BI207" i="5"/>
  <c r="BZ207" i="5"/>
  <c r="E35" i="3"/>
  <c r="E34" i="3"/>
  <c r="E31" i="3"/>
  <c r="E30" i="3"/>
  <c r="J207" i="5"/>
  <c r="R207" i="5"/>
  <c r="G16" i="4" s="1"/>
  <c r="L16" i="3" s="1"/>
  <c r="W16" i="3" s="1"/>
  <c r="Z207" i="5"/>
  <c r="G24" i="4" s="1"/>
  <c r="L24" i="3" s="1"/>
  <c r="W24" i="3" s="1"/>
  <c r="AH207" i="5"/>
  <c r="G32" i="4" s="1"/>
  <c r="L32" i="3" s="1"/>
  <c r="W32" i="3" s="1"/>
  <c r="L207" i="5"/>
  <c r="G10" i="4" s="1"/>
  <c r="L10" i="3" s="1"/>
  <c r="W10" i="3" s="1"/>
  <c r="T207" i="5"/>
  <c r="G18" i="4" s="1"/>
  <c r="L18" i="3" s="1"/>
  <c r="W18" i="3" s="1"/>
  <c r="AB207" i="5"/>
  <c r="AJ207" i="5"/>
  <c r="G34" i="4" s="1"/>
  <c r="L34" i="3" s="1"/>
  <c r="W34" i="3" s="1"/>
  <c r="AG207" i="5"/>
  <c r="G31" i="4" s="1"/>
  <c r="L31" i="3" s="1"/>
  <c r="W31" i="3" s="1"/>
  <c r="Y207" i="5"/>
  <c r="G23" i="4" s="1"/>
  <c r="L23" i="3" s="1"/>
  <c r="W23" i="3" s="1"/>
  <c r="Q207" i="5"/>
  <c r="I207" i="5"/>
  <c r="AI207" i="5"/>
  <c r="G33" i="4" s="1"/>
  <c r="L33" i="3" s="1"/>
  <c r="W33" i="3" s="1"/>
  <c r="AA207" i="5"/>
  <c r="G25" i="4" s="1"/>
  <c r="L25" i="3" s="1"/>
  <c r="W25" i="3" s="1"/>
  <c r="S207" i="5"/>
  <c r="G17" i="4" s="1"/>
  <c r="L17" i="3" s="1"/>
  <c r="W17" i="3" s="1"/>
  <c r="K207" i="5"/>
  <c r="G9" i="4" s="1"/>
  <c r="L9" i="3" s="1"/>
  <c r="W9" i="3" s="1"/>
  <c r="C16" i="4"/>
  <c r="E16" i="2" s="1"/>
  <c r="C33" i="4"/>
  <c r="E33" i="2" s="1"/>
  <c r="C32" i="4"/>
  <c r="E32" i="2" s="1"/>
  <c r="F207" i="5"/>
  <c r="G4" i="4" s="1"/>
  <c r="N207" i="5"/>
  <c r="G12" i="4" s="1"/>
  <c r="L12" i="3" s="1"/>
  <c r="W12" i="3" s="1"/>
  <c r="V207" i="5"/>
  <c r="G20" i="4" s="1"/>
  <c r="L20" i="3" s="1"/>
  <c r="W20" i="3" s="1"/>
  <c r="AD207" i="5"/>
  <c r="G28" i="4" s="1"/>
  <c r="L28" i="3" s="1"/>
  <c r="W28" i="3" s="1"/>
  <c r="H207" i="5"/>
  <c r="P207" i="5"/>
  <c r="X207" i="5"/>
  <c r="G22" i="4" s="1"/>
  <c r="L22" i="3" s="1"/>
  <c r="W22" i="3" s="1"/>
  <c r="AF207" i="5"/>
  <c r="G30" i="4" s="1"/>
  <c r="L30" i="3" s="1"/>
  <c r="W30" i="3" s="1"/>
  <c r="AK207" i="5"/>
  <c r="G35" i="4" s="1"/>
  <c r="L35" i="3" s="1"/>
  <c r="W35" i="3" s="1"/>
  <c r="AC207" i="5"/>
  <c r="G27" i="4" s="1"/>
  <c r="L27" i="3" s="1"/>
  <c r="W27" i="3" s="1"/>
  <c r="U207" i="5"/>
  <c r="G19" i="4" s="1"/>
  <c r="L19" i="3" s="1"/>
  <c r="W19" i="3" s="1"/>
  <c r="M207" i="5"/>
  <c r="E207" i="5"/>
  <c r="G3" i="4" s="1"/>
  <c r="AE207" i="5"/>
  <c r="G29" i="4" s="1"/>
  <c r="L29" i="3" s="1"/>
  <c r="W29" i="3" s="1"/>
  <c r="W207" i="5"/>
  <c r="G21" i="4" s="1"/>
  <c r="L21" i="3" s="1"/>
  <c r="W21" i="3" s="1"/>
  <c r="O207" i="5"/>
  <c r="G13" i="4" s="1"/>
  <c r="L13" i="3" s="1"/>
  <c r="W13" i="3" s="1"/>
  <c r="G207" i="5"/>
  <c r="C23" i="4"/>
  <c r="E23" i="2" s="1"/>
  <c r="G15" i="4"/>
  <c r="L15" i="3" s="1"/>
  <c r="W15" i="3" s="1"/>
  <c r="C29" i="4"/>
  <c r="E29" i="2" s="1"/>
  <c r="C21" i="4"/>
  <c r="E21" i="2" s="1"/>
  <c r="C26" i="4"/>
  <c r="E26" i="2" s="1"/>
  <c r="G26" i="4"/>
  <c r="L26" i="3" s="1"/>
  <c r="W26" i="3" s="1"/>
  <c r="C22" i="4"/>
  <c r="E22" i="2" s="1"/>
  <c r="C18" i="4"/>
  <c r="E18" i="2" s="1"/>
  <c r="G14" i="4"/>
  <c r="L14" i="3" s="1"/>
  <c r="W14" i="3" s="1"/>
  <c r="C13" i="4"/>
  <c r="E13" i="2" s="1"/>
  <c r="C14" i="4"/>
  <c r="E14" i="2" s="1"/>
  <c r="C27" i="4"/>
  <c r="E27" i="2" s="1"/>
  <c r="C19" i="4"/>
  <c r="E19" i="2" s="1"/>
  <c r="C25" i="4"/>
  <c r="E25" i="2" s="1"/>
  <c r="C17" i="4"/>
  <c r="E17" i="2" s="1"/>
  <c r="C28" i="4"/>
  <c r="E28" i="2" s="1"/>
  <c r="C24" i="4"/>
  <c r="E24" i="2" s="1"/>
  <c r="C20" i="4"/>
  <c r="E20" i="2" s="1"/>
  <c r="G8" i="4"/>
  <c r="L8" i="3" s="1"/>
  <c r="W8" i="3" s="1"/>
  <c r="E12" i="3"/>
  <c r="E15" i="3"/>
  <c r="C11" i="4"/>
  <c r="E11" i="2" s="1"/>
  <c r="G11" i="4"/>
  <c r="L11" i="3" s="1"/>
  <c r="W11" i="3" s="1"/>
  <c r="C9" i="4"/>
  <c r="E9" i="2" s="1"/>
  <c r="C10" i="4"/>
  <c r="E10" i="2" s="1"/>
  <c r="C8" i="4"/>
  <c r="E8" i="2" s="1"/>
  <c r="C4" i="4"/>
  <c r="E4" i="2" s="1"/>
  <c r="C5" i="4"/>
  <c r="E5" i="2" s="1"/>
  <c r="C6" i="4"/>
  <c r="E6" i="2" s="1"/>
  <c r="C7" i="4"/>
  <c r="E7" i="2" s="1"/>
  <c r="C3" i="4"/>
  <c r="E3" i="2" s="1"/>
  <c r="C2" i="4"/>
  <c r="E2" i="2" s="1"/>
  <c r="D207" i="5"/>
  <c r="G2" i="4" s="1"/>
  <c r="L2" i="3" s="1"/>
  <c r="W2" i="3" s="1"/>
  <c r="C151" i="5"/>
  <c r="C149" i="5"/>
  <c r="C147" i="5"/>
  <c r="B145" i="5"/>
  <c r="C144" i="5"/>
  <c r="B138" i="5"/>
  <c r="C142" i="5"/>
  <c r="C140" i="5"/>
  <c r="C135" i="5"/>
  <c r="C133" i="5"/>
  <c r="C131" i="5"/>
  <c r="C129" i="5"/>
  <c r="AM162" i="5" s="1"/>
  <c r="AM169" i="5" s="1"/>
  <c r="BZ162" i="5" l="1"/>
  <c r="BZ169" i="5" s="1"/>
  <c r="BR162" i="5"/>
  <c r="BR169" i="5" s="1"/>
  <c r="BJ162" i="5"/>
  <c r="BJ169" i="5" s="1"/>
  <c r="BB162" i="5"/>
  <c r="BB169" i="5" s="1"/>
  <c r="AT162" i="5"/>
  <c r="AT169" i="5" s="1"/>
  <c r="CB162" i="5"/>
  <c r="CB169" i="5" s="1"/>
  <c r="BT162" i="5"/>
  <c r="BT169" i="5" s="1"/>
  <c r="BL162" i="5"/>
  <c r="BL169" i="5" s="1"/>
  <c r="BD162" i="5"/>
  <c r="BD169" i="5" s="1"/>
  <c r="AV162" i="5"/>
  <c r="AV169" i="5" s="1"/>
  <c r="AN162" i="5"/>
  <c r="AN169" i="5" s="1"/>
  <c r="CC162" i="5"/>
  <c r="CC169" i="5" s="1"/>
  <c r="BY162" i="5"/>
  <c r="BY169" i="5" s="1"/>
  <c r="BU162" i="5"/>
  <c r="BU169" i="5" s="1"/>
  <c r="BQ162" i="5"/>
  <c r="BQ169" i="5" s="1"/>
  <c r="BM162" i="5"/>
  <c r="BM169" i="5" s="1"/>
  <c r="BI162" i="5"/>
  <c r="BI169" i="5" s="1"/>
  <c r="BE162" i="5"/>
  <c r="BE169" i="5" s="1"/>
  <c r="BA162" i="5"/>
  <c r="BA169" i="5" s="1"/>
  <c r="AW162" i="5"/>
  <c r="AW169" i="5" s="1"/>
  <c r="AS162" i="5"/>
  <c r="AS169" i="5" s="1"/>
  <c r="AO162" i="5"/>
  <c r="AO169" i="5" s="1"/>
  <c r="CD162" i="5"/>
  <c r="CD169" i="5" s="1"/>
  <c r="BV162" i="5"/>
  <c r="BV169" i="5" s="1"/>
  <c r="BN162" i="5"/>
  <c r="BN169" i="5" s="1"/>
  <c r="BF162" i="5"/>
  <c r="BF169" i="5" s="1"/>
  <c r="AX162" i="5"/>
  <c r="AX169" i="5" s="1"/>
  <c r="AP162" i="5"/>
  <c r="AP169" i="5" s="1"/>
  <c r="BX162" i="5"/>
  <c r="BX169" i="5" s="1"/>
  <c r="BP162" i="5"/>
  <c r="BP169" i="5" s="1"/>
  <c r="BH162" i="5"/>
  <c r="BH169" i="5" s="1"/>
  <c r="AZ162" i="5"/>
  <c r="AZ169" i="5" s="1"/>
  <c r="AR162" i="5"/>
  <c r="AR169" i="5" s="1"/>
  <c r="AL162" i="5"/>
  <c r="AL169" i="5" s="1"/>
  <c r="CA162" i="5"/>
  <c r="CA169" i="5" s="1"/>
  <c r="BW162" i="5"/>
  <c r="BW169" i="5" s="1"/>
  <c r="BS162" i="5"/>
  <c r="BS169" i="5" s="1"/>
  <c r="BO162" i="5"/>
  <c r="BO169" i="5" s="1"/>
  <c r="BK162" i="5"/>
  <c r="BK169" i="5" s="1"/>
  <c r="BG162" i="5"/>
  <c r="BG169" i="5" s="1"/>
  <c r="BC162" i="5"/>
  <c r="BC169" i="5" s="1"/>
  <c r="AY162" i="5"/>
  <c r="AY169" i="5" s="1"/>
  <c r="AU162" i="5"/>
  <c r="AU169" i="5" s="1"/>
  <c r="AQ162" i="5"/>
  <c r="AQ169" i="5" s="1"/>
  <c r="H162" i="5"/>
  <c r="H169" i="5" s="1"/>
  <c r="E33" i="3"/>
  <c r="E32" i="3"/>
  <c r="E29" i="3"/>
  <c r="E28" i="3"/>
  <c r="E27" i="3"/>
  <c r="E26" i="3"/>
  <c r="E25" i="3"/>
  <c r="E24" i="3"/>
  <c r="E23" i="3"/>
  <c r="E22" i="3"/>
  <c r="E21" i="3"/>
  <c r="E20" i="3"/>
  <c r="E19" i="3"/>
  <c r="E18" i="3"/>
  <c r="E17" i="3"/>
  <c r="E13" i="3"/>
  <c r="E16" i="3"/>
  <c r="H205" i="5"/>
  <c r="I162" i="5"/>
  <c r="I169" i="5" s="1"/>
  <c r="Q162" i="5"/>
  <c r="Q169" i="5" s="1"/>
  <c r="Y162" i="5"/>
  <c r="Y169" i="5" s="1"/>
  <c r="AG162" i="5"/>
  <c r="AG169" i="5" s="1"/>
  <c r="J162" i="5"/>
  <c r="J169" i="5" s="1"/>
  <c r="Z162" i="5"/>
  <c r="Z169" i="5" s="1"/>
  <c r="G162" i="5"/>
  <c r="G169" i="5" s="1"/>
  <c r="O162" i="5"/>
  <c r="O169" i="5" s="1"/>
  <c r="W162" i="5"/>
  <c r="W169" i="5" s="1"/>
  <c r="AE162" i="5"/>
  <c r="AE169" i="5" s="1"/>
  <c r="F162" i="5"/>
  <c r="F169" i="5" s="1"/>
  <c r="V162" i="5"/>
  <c r="V169" i="5" s="1"/>
  <c r="AJ162" i="5"/>
  <c r="AJ169" i="5" s="1"/>
  <c r="T162" i="5"/>
  <c r="T169" i="5" s="1"/>
  <c r="AF162" i="5"/>
  <c r="AF169" i="5" s="1"/>
  <c r="P162" i="5"/>
  <c r="P169" i="5" s="1"/>
  <c r="E162" i="5"/>
  <c r="E169" i="5" s="1"/>
  <c r="M162" i="5"/>
  <c r="M169" i="5" s="1"/>
  <c r="U162" i="5"/>
  <c r="U169" i="5" s="1"/>
  <c r="AC162" i="5"/>
  <c r="AC169" i="5" s="1"/>
  <c r="AK162" i="5"/>
  <c r="AK169" i="5" s="1"/>
  <c r="R162" i="5"/>
  <c r="R169" i="5" s="1"/>
  <c r="AH162" i="5"/>
  <c r="AH169" i="5" s="1"/>
  <c r="K162" i="5"/>
  <c r="K169" i="5" s="1"/>
  <c r="S162" i="5"/>
  <c r="S169" i="5" s="1"/>
  <c r="AA162" i="5"/>
  <c r="AA169" i="5" s="1"/>
  <c r="AI162" i="5"/>
  <c r="AI169" i="5" s="1"/>
  <c r="N162" i="5"/>
  <c r="N169" i="5" s="1"/>
  <c r="AD162" i="5"/>
  <c r="AD169" i="5" s="1"/>
  <c r="AB162" i="5"/>
  <c r="AB169" i="5" s="1"/>
  <c r="L162" i="5"/>
  <c r="L169" i="5" s="1"/>
  <c r="X162" i="5"/>
  <c r="X169" i="5" s="1"/>
  <c r="E14" i="3"/>
  <c r="D162" i="5"/>
  <c r="D169" i="5" s="1"/>
  <c r="E11" i="3"/>
  <c r="E10" i="3"/>
  <c r="E9" i="3"/>
  <c r="E8" i="3"/>
  <c r="E7" i="3"/>
  <c r="E6" i="3"/>
  <c r="E5" i="3"/>
  <c r="G6" i="4"/>
  <c r="L6" i="3" s="1"/>
  <c r="W6" i="3" s="1"/>
  <c r="G5" i="4"/>
  <c r="L5" i="3" s="1"/>
  <c r="W5" i="3" s="1"/>
  <c r="G7" i="4"/>
  <c r="L7" i="3" s="1"/>
  <c r="W7" i="3" s="1"/>
  <c r="L3" i="3"/>
  <c r="W3" i="3" s="1"/>
  <c r="L4" i="3"/>
  <c r="W4" i="3" s="1"/>
  <c r="E4" i="3"/>
  <c r="E3" i="3"/>
  <c r="E2" i="3"/>
  <c r="X205" i="5" l="1"/>
  <c r="F22" i="4" s="1"/>
  <c r="K22" i="3" s="1"/>
  <c r="V22" i="3" s="1"/>
  <c r="AB205" i="5"/>
  <c r="F26" i="4" s="1"/>
  <c r="K26" i="3" s="1"/>
  <c r="V26" i="3" s="1"/>
  <c r="N205" i="5"/>
  <c r="AA205" i="5"/>
  <c r="F25" i="4" s="1"/>
  <c r="K25" i="3" s="1"/>
  <c r="V25" i="3" s="1"/>
  <c r="K205" i="5"/>
  <c r="R205" i="5"/>
  <c r="F16" i="4" s="1"/>
  <c r="K16" i="3" s="1"/>
  <c r="V16" i="3" s="1"/>
  <c r="AC205" i="5"/>
  <c r="M205" i="5"/>
  <c r="F11" i="4" s="1"/>
  <c r="K11" i="3" s="1"/>
  <c r="V11" i="3" s="1"/>
  <c r="P205" i="5"/>
  <c r="F14" i="4" s="1"/>
  <c r="K14" i="3" s="1"/>
  <c r="V14" i="3" s="1"/>
  <c r="T205" i="5"/>
  <c r="F18" i="4" s="1"/>
  <c r="K18" i="3" s="1"/>
  <c r="V18" i="3" s="1"/>
  <c r="V205" i="5"/>
  <c r="AE205" i="5"/>
  <c r="F29" i="4" s="1"/>
  <c r="K29" i="3" s="1"/>
  <c r="V29" i="3" s="1"/>
  <c r="O205" i="5"/>
  <c r="Z205" i="5"/>
  <c r="F24" i="4" s="1"/>
  <c r="K24" i="3" s="1"/>
  <c r="V24" i="3" s="1"/>
  <c r="AG205" i="5"/>
  <c r="Q205" i="5"/>
  <c r="F15" i="4" s="1"/>
  <c r="K15" i="3" s="1"/>
  <c r="V15" i="3" s="1"/>
  <c r="L205" i="5"/>
  <c r="AD205" i="5"/>
  <c r="F28" i="4" s="1"/>
  <c r="K28" i="3" s="1"/>
  <c r="V28" i="3" s="1"/>
  <c r="AI205" i="5"/>
  <c r="S205" i="5"/>
  <c r="F17" i="4" s="1"/>
  <c r="K17" i="3" s="1"/>
  <c r="V17" i="3" s="1"/>
  <c r="AH205" i="5"/>
  <c r="F32" i="4" s="1"/>
  <c r="K32" i="3" s="1"/>
  <c r="V32" i="3" s="1"/>
  <c r="AK205" i="5"/>
  <c r="F35" i="4" s="1"/>
  <c r="K35" i="3" s="1"/>
  <c r="V35" i="3" s="1"/>
  <c r="U205" i="5"/>
  <c r="E205" i="5"/>
  <c r="F3" i="4" s="1"/>
  <c r="AF205" i="5"/>
  <c r="F30" i="4" s="1"/>
  <c r="K30" i="3" s="1"/>
  <c r="V30" i="3" s="1"/>
  <c r="AJ205" i="5"/>
  <c r="F34" i="4" s="1"/>
  <c r="K34" i="3" s="1"/>
  <c r="V34" i="3" s="1"/>
  <c r="F205" i="5"/>
  <c r="F4" i="4" s="1"/>
  <c r="W205" i="5"/>
  <c r="F21" i="4" s="1"/>
  <c r="K21" i="3" s="1"/>
  <c r="V21" i="3" s="1"/>
  <c r="G205" i="5"/>
  <c r="F5" i="4" s="1"/>
  <c r="K5" i="3" s="1"/>
  <c r="V5" i="3" s="1"/>
  <c r="J205" i="5"/>
  <c r="F8" i="4" s="1"/>
  <c r="K8" i="3" s="1"/>
  <c r="V8" i="3" s="1"/>
  <c r="Y205" i="5"/>
  <c r="F23" i="4" s="1"/>
  <c r="K23" i="3" s="1"/>
  <c r="V23" i="3" s="1"/>
  <c r="I205" i="5"/>
  <c r="F12" i="4"/>
  <c r="K12" i="3" s="1"/>
  <c r="V12" i="3" s="1"/>
  <c r="A12" i="4"/>
  <c r="C12" i="2" s="1"/>
  <c r="F20" i="4"/>
  <c r="K20" i="3" s="1"/>
  <c r="V20" i="3" s="1"/>
  <c r="A20" i="4"/>
  <c r="C20" i="2" s="1"/>
  <c r="A28" i="4"/>
  <c r="C28" i="2" s="1"/>
  <c r="A15" i="4"/>
  <c r="C15" i="2" s="1"/>
  <c r="F31" i="4"/>
  <c r="K31" i="3" s="1"/>
  <c r="V31" i="3" s="1"/>
  <c r="A31" i="4"/>
  <c r="C31" i="2" s="1"/>
  <c r="F13" i="4"/>
  <c r="K13" i="3" s="1"/>
  <c r="V13" i="3" s="1"/>
  <c r="A13" i="4"/>
  <c r="C13" i="2" s="1"/>
  <c r="A29" i="4"/>
  <c r="C29" i="2" s="1"/>
  <c r="A14" i="4"/>
  <c r="C14" i="2" s="1"/>
  <c r="A22" i="4"/>
  <c r="C22" i="2" s="1"/>
  <c r="A30" i="4"/>
  <c r="C30" i="2" s="1"/>
  <c r="A3" i="4"/>
  <c r="C3" i="2" s="1"/>
  <c r="F19" i="4"/>
  <c r="K19" i="3" s="1"/>
  <c r="V19" i="3" s="1"/>
  <c r="A19" i="4"/>
  <c r="C19" i="2" s="1"/>
  <c r="A35" i="4"/>
  <c r="C35" i="2" s="1"/>
  <c r="A17" i="4"/>
  <c r="C17" i="2" s="1"/>
  <c r="F33" i="4"/>
  <c r="K33" i="3" s="1"/>
  <c r="V33" i="3" s="1"/>
  <c r="A33" i="4"/>
  <c r="C33" i="2" s="1"/>
  <c r="A8" i="4"/>
  <c r="C8" i="2" s="1"/>
  <c r="A16" i="4"/>
  <c r="C16" i="2" s="1"/>
  <c r="A24" i="4"/>
  <c r="C24" i="2" s="1"/>
  <c r="A32" i="4"/>
  <c r="C32" i="2" s="1"/>
  <c r="A23" i="4"/>
  <c r="C23" i="2" s="1"/>
  <c r="A5" i="4"/>
  <c r="C5" i="2" s="1"/>
  <c r="A21" i="4"/>
  <c r="C21" i="2" s="1"/>
  <c r="F10" i="4"/>
  <c r="K10" i="3" s="1"/>
  <c r="V10" i="3" s="1"/>
  <c r="A10" i="4"/>
  <c r="C10" i="2" s="1"/>
  <c r="A18" i="4"/>
  <c r="C18" i="2" s="1"/>
  <c r="A26" i="4"/>
  <c r="C26" i="2" s="1"/>
  <c r="A34" i="4"/>
  <c r="C34" i="2" s="1"/>
  <c r="A11" i="4"/>
  <c r="C11" i="2" s="1"/>
  <c r="F27" i="4"/>
  <c r="K27" i="3" s="1"/>
  <c r="V27" i="3" s="1"/>
  <c r="A27" i="4"/>
  <c r="C27" i="2" s="1"/>
  <c r="F9" i="4"/>
  <c r="K9" i="3" s="1"/>
  <c r="V9" i="3" s="1"/>
  <c r="A9" i="4"/>
  <c r="C9" i="2" s="1"/>
  <c r="A25" i="4"/>
  <c r="C25" i="2" s="1"/>
  <c r="A4" i="4"/>
  <c r="C4" i="2" s="1"/>
  <c r="D205" i="5"/>
  <c r="F2" i="4" s="1"/>
  <c r="K2" i="3" s="1"/>
  <c r="V2" i="3" s="1"/>
  <c r="A2" i="4"/>
  <c r="A2" i="3"/>
  <c r="C2" i="2" l="1"/>
  <c r="C2" i="3"/>
  <c r="C35" i="3"/>
  <c r="U35" i="3" s="1"/>
  <c r="C34" i="3"/>
  <c r="U34" i="3" s="1"/>
  <c r="C33" i="3"/>
  <c r="U33" i="3" s="1"/>
  <c r="C32" i="3"/>
  <c r="U32" i="3" s="1"/>
  <c r="C31" i="3"/>
  <c r="U31" i="3" s="1"/>
  <c r="C30" i="3"/>
  <c r="U30" i="3" s="1"/>
  <c r="C29" i="3"/>
  <c r="U29" i="3" s="1"/>
  <c r="C28" i="3"/>
  <c r="U28" i="3" s="1"/>
  <c r="C27" i="3"/>
  <c r="U27" i="3" s="1"/>
  <c r="C26" i="3"/>
  <c r="U26" i="3" s="1"/>
  <c r="C25" i="3"/>
  <c r="U25" i="3" s="1"/>
  <c r="C24" i="3"/>
  <c r="U24" i="3" s="1"/>
  <c r="C23" i="3"/>
  <c r="U23" i="3" s="1"/>
  <c r="C22" i="3"/>
  <c r="U22" i="3" s="1"/>
  <c r="C21" i="3"/>
  <c r="U21" i="3" s="1"/>
  <c r="C20" i="3"/>
  <c r="U20" i="3" s="1"/>
  <c r="C19" i="3"/>
  <c r="U19" i="3" s="1"/>
  <c r="C18" i="3"/>
  <c r="U18" i="3" s="1"/>
  <c r="C17" i="3"/>
  <c r="U17" i="3" s="1"/>
  <c r="C12" i="3"/>
  <c r="U12" i="3" s="1"/>
  <c r="C14" i="3"/>
  <c r="U14" i="3" s="1"/>
  <c r="C13" i="3"/>
  <c r="U13" i="3" s="1"/>
  <c r="C16" i="3"/>
  <c r="U16" i="3" s="1"/>
  <c r="C15" i="3"/>
  <c r="U15" i="3" s="1"/>
  <c r="C11" i="3"/>
  <c r="U11" i="3" s="1"/>
  <c r="C10" i="3"/>
  <c r="U10" i="3" s="1"/>
  <c r="C9" i="3"/>
  <c r="U9" i="3" s="1"/>
  <c r="C8" i="3"/>
  <c r="U8" i="3" s="1"/>
  <c r="C5" i="3"/>
  <c r="U5" i="3" s="1"/>
  <c r="A7" i="4"/>
  <c r="C7" i="2" s="1"/>
  <c r="A6" i="4"/>
  <c r="C6" i="2" s="1"/>
  <c r="F7" i="4"/>
  <c r="K7" i="3" s="1"/>
  <c r="V7" i="3" s="1"/>
  <c r="F6" i="4"/>
  <c r="K6" i="3" s="1"/>
  <c r="V6" i="3" s="1"/>
  <c r="K4" i="3"/>
  <c r="V4" i="3" s="1"/>
  <c r="K3" i="3"/>
  <c r="V3" i="3" s="1"/>
  <c r="C4" i="3"/>
  <c r="U4" i="3" s="1"/>
  <c r="C3" i="3"/>
  <c r="U3" i="3" s="1"/>
  <c r="U2" i="3"/>
  <c r="T2" i="3"/>
  <c r="C7" i="3" l="1"/>
  <c r="U7" i="3" s="1"/>
  <c r="C6" i="3"/>
  <c r="U6" i="3" s="1"/>
</calcChain>
</file>

<file path=xl/comments1.xml><?xml version="1.0" encoding="utf-8"?>
<comments xmlns="http://schemas.openxmlformats.org/spreadsheetml/2006/main">
  <authors>
    <author>SFK434</author>
  </authors>
  <commentList>
    <comment ref="B1" authorId="0" shapeId="0">
      <text>
        <r>
          <rPr>
            <sz val="8"/>
            <color indexed="81"/>
            <rFont val="Tahoma"/>
            <family val="2"/>
          </rPr>
          <t>User specs are separately loaded into QC, ignore this column when loading into QC</t>
        </r>
      </text>
    </comment>
    <comment ref="C1" authorId="0" shapeId="0">
      <text>
        <r>
          <rPr>
            <sz val="8"/>
            <color indexed="81"/>
            <rFont val="Tahoma"/>
            <family val="2"/>
          </rPr>
          <t>Appended to Test No to form Test Name uploaded to QC</t>
        </r>
      </text>
    </comment>
    <comment ref="D1" authorId="0" shapeId="0">
      <text>
        <r>
          <rPr>
            <sz val="8"/>
            <color indexed="81"/>
            <rFont val="Tahoma"/>
            <family val="2"/>
          </rPr>
          <t>Please place a "&lt;BR&gt;" at the beginning of each line</t>
        </r>
      </text>
    </comment>
    <comment ref="E1" authorId="0" shapeId="0">
      <text>
        <r>
          <rPr>
            <sz val="8"/>
            <color indexed="81"/>
            <rFont val="Tahoma"/>
            <family val="2"/>
          </rPr>
          <t>Test Scenario expected Result 
NOT TO BE LOADED INTO QC</t>
        </r>
      </text>
    </comment>
  </commentList>
</comments>
</file>

<file path=xl/comments2.xml><?xml version="1.0" encoding="utf-8"?>
<comments xmlns="http://schemas.openxmlformats.org/spreadsheetml/2006/main">
  <authors>
    <author>SFK434</author>
    <author>Sekar, Preethi</author>
    <author>Kant, Shashi</author>
  </authors>
  <commentList>
    <comment ref="B1" authorId="0" shapeId="0">
      <text>
        <r>
          <rPr>
            <sz val="8"/>
            <color indexed="81"/>
            <rFont val="Tahoma"/>
            <family val="2"/>
          </rPr>
          <t>User specs are separately loaded into QC, ignore this column when loading into QC</t>
        </r>
      </text>
    </comment>
    <comment ref="C1" authorId="0" shapeId="0">
      <text>
        <r>
          <rPr>
            <sz val="8"/>
            <color indexed="81"/>
            <rFont val="Tahoma"/>
            <family val="2"/>
          </rPr>
          <t>Appended to Test No to form Test Name uploaded to QC</t>
        </r>
      </text>
    </comment>
    <comment ref="D1" authorId="0" shapeId="0">
      <text>
        <r>
          <rPr>
            <sz val="8"/>
            <color indexed="81"/>
            <rFont val="Tahoma"/>
            <family val="2"/>
          </rPr>
          <t>Please place a "&lt;BR&gt;" at the beginning of each line</t>
        </r>
      </text>
    </comment>
    <comment ref="E1" authorId="0" shapeId="0">
      <text>
        <r>
          <rPr>
            <sz val="8"/>
            <color indexed="81"/>
            <rFont val="Tahoma"/>
            <family val="2"/>
          </rPr>
          <t>Test Scenario expected Result 
NOT TO BE LOADED INTO QC</t>
        </r>
      </text>
    </comment>
    <comment ref="G1" authorId="0" shapeId="0">
      <text>
        <r>
          <rPr>
            <sz val="8"/>
            <color indexed="81"/>
            <rFont val="Tahoma"/>
            <family val="2"/>
          </rPr>
          <t>Not to be loaded into QC</t>
        </r>
      </text>
    </comment>
    <comment ref="H1" authorId="1" shapeId="0">
      <text>
        <r>
          <rPr>
            <sz val="8"/>
            <color indexed="81"/>
            <rFont val="Tahoma"/>
            <family val="2"/>
          </rPr>
          <t xml:space="preserve">
Not to be loaded into QC</t>
        </r>
      </text>
    </comment>
    <comment ref="N1" authorId="2" shapeId="0">
      <text>
        <r>
          <rPr>
            <b/>
            <sz val="9"/>
            <color indexed="81"/>
            <rFont val="Tahoma"/>
            <family val="2"/>
          </rPr>
          <t>Kant, Shashi:</t>
        </r>
        <r>
          <rPr>
            <sz val="9"/>
            <color indexed="81"/>
            <rFont val="Tahoma"/>
            <family val="2"/>
          </rPr>
          <t xml:space="preserve">
Use Comments section to mention the FUNCTIONALITY</t>
        </r>
      </text>
    </comment>
  </commentList>
</comments>
</file>

<file path=xl/sharedStrings.xml><?xml version="1.0" encoding="utf-8"?>
<sst xmlns="http://schemas.openxmlformats.org/spreadsheetml/2006/main" count="3640" uniqueCount="894">
  <si>
    <t>Test No</t>
  </si>
  <si>
    <t>Description</t>
  </si>
  <si>
    <t xml:space="preserve">Priority </t>
  </si>
  <si>
    <t>Designer</t>
  </si>
  <si>
    <t>Status</t>
  </si>
  <si>
    <t>Subject</t>
  </si>
  <si>
    <t>Test Name</t>
  </si>
  <si>
    <t>Test Phase</t>
  </si>
  <si>
    <t>Step Name (Design Steps)</t>
  </si>
  <si>
    <t>Description (Design Steps)</t>
  </si>
  <si>
    <t>Expected (Design Steps)</t>
  </si>
  <si>
    <t>Service Category</t>
  </si>
  <si>
    <t>Service Component</t>
  </si>
  <si>
    <t>1-Critical</t>
  </si>
  <si>
    <t>Design</t>
  </si>
  <si>
    <t>02. (PIT) Program Integration Test</t>
  </si>
  <si>
    <t>Step 1</t>
  </si>
  <si>
    <t>05. Assessment</t>
  </si>
  <si>
    <t>05.33 Income Assessment (FAO/PPL/BBY)</t>
  </si>
  <si>
    <t>2-High</t>
  </si>
  <si>
    <t>Priority</t>
  </si>
  <si>
    <t>3-Medium</t>
  </si>
  <si>
    <t>4-Low</t>
  </si>
  <si>
    <t>01. Enquiry</t>
  </si>
  <si>
    <t>01.01 Generic Enquiry</t>
  </si>
  <si>
    <t>02. Registration</t>
  </si>
  <si>
    <t>01.02 Eligibility Entitlement Discussion</t>
  </si>
  <si>
    <t>03. Appointment</t>
  </si>
  <si>
    <t>01.03 Payment Estimation/Rate Estimators</t>
  </si>
  <si>
    <t>04. Identification</t>
  </si>
  <si>
    <t>01.04 Generic Docs</t>
  </si>
  <si>
    <t>01.05 EP63 - Display on Access DOC/FAL Reviews</t>
  </si>
  <si>
    <t>06. Notification</t>
  </si>
  <si>
    <t>02.01 Claim Lodgement</t>
  </si>
  <si>
    <t>07. Payment</t>
  </si>
  <si>
    <t>02.02 Coding/Verification of Customers Generic Details</t>
  </si>
  <si>
    <t>08. Third Parties</t>
  </si>
  <si>
    <t>02.03 Creating Customer Record / National Index</t>
  </si>
  <si>
    <t>09. Card</t>
  </si>
  <si>
    <t>02.04 Self Service Access Registration</t>
  </si>
  <si>
    <t>10. Referral</t>
  </si>
  <si>
    <t>02.05 Employer Registration</t>
  </si>
  <si>
    <t>11. Participation</t>
  </si>
  <si>
    <t>02.06 Customer Self Service Administration</t>
  </si>
  <si>
    <t>12. Review</t>
  </si>
  <si>
    <t>02.07 Basics Card / Income Management New Merchant</t>
  </si>
  <si>
    <t>13. Debts</t>
  </si>
  <si>
    <t>03.01 Booking Appointment</t>
  </si>
  <si>
    <t>14. Appeals</t>
  </si>
  <si>
    <t>03.02 Conduct Interview</t>
  </si>
  <si>
    <t>15. Forms/Letters/Information</t>
  </si>
  <si>
    <t>03.03 Interpreter Requirement</t>
  </si>
  <si>
    <t>16. Enabling Services</t>
  </si>
  <si>
    <t>03.04 Interview with Specialist</t>
  </si>
  <si>
    <t>03.05 Reschedule Appointment</t>
  </si>
  <si>
    <t>03.06 Demand Management Contact System</t>
  </si>
  <si>
    <t>04.01 Deny Access Facility</t>
  </si>
  <si>
    <t>04.02 Nominee Arrangements</t>
  </si>
  <si>
    <t>04.03 Power of Attorney</t>
  </si>
  <si>
    <t>04.04 Proof of ID (Abridged)</t>
  </si>
  <si>
    <t>04.05 Proof of ID (Complete)</t>
  </si>
  <si>
    <t>04.06 Tax File Number</t>
  </si>
  <si>
    <t>05.01 Accomodation Details</t>
  </si>
  <si>
    <t>05.02 Address Details</t>
  </si>
  <si>
    <t>05.03 Assurance of Support</t>
  </si>
  <si>
    <t>05.04 Away From Home</t>
  </si>
  <si>
    <t>05.05 Business Details</t>
  </si>
  <si>
    <t>05.06 Care Determination</t>
  </si>
  <si>
    <t>05.07 Caring Responsibilities</t>
  </si>
  <si>
    <t>05.08 Compensation Assessment</t>
  </si>
  <si>
    <t>05.09 Dependent Details</t>
  </si>
  <si>
    <t>05.10 Digital Television Assessment</t>
  </si>
  <si>
    <t>05.11 Employment</t>
  </si>
  <si>
    <t>05.12 Foreign Pension / Entitlements</t>
  </si>
  <si>
    <t>05.13 Homelessness Assessment</t>
  </si>
  <si>
    <t>05.14 Income Streams (Super etc)</t>
  </si>
  <si>
    <t>05.15 International Agreements</t>
  </si>
  <si>
    <t>05.16 Liquid Assets Waiting / Preclusion</t>
  </si>
  <si>
    <t>05.17 Managed Investments (Income &amp; Assets)</t>
  </si>
  <si>
    <t>05.18 Medical (Adult &amp; Child)</t>
  </si>
  <si>
    <t>05.19 Other Assets (Income &amp; Assets)</t>
  </si>
  <si>
    <t>05.20 Other Income (Income &amp; Assets)</t>
  </si>
  <si>
    <t>05.21 Parental Means Test</t>
  </si>
  <si>
    <t>05.22 Pension Bonus Scheme</t>
  </si>
  <si>
    <t>05.23 Qualifying Event</t>
  </si>
  <si>
    <t>05.24 Real Estate Details</t>
  </si>
  <si>
    <t>05.25 Relationship Status</t>
  </si>
  <si>
    <t>05.26 Residency Status</t>
  </si>
  <si>
    <t>05.27 Residential Care Assessments</t>
  </si>
  <si>
    <t>05.28 Savings (Income &amp; Assets)</t>
  </si>
  <si>
    <t>05.29 Shares (Income &amp; Assets)</t>
  </si>
  <si>
    <t>05.30 Student / Study</t>
  </si>
  <si>
    <t>05.31 Trust &amp; Companies</t>
  </si>
  <si>
    <t>05.32 Youth Independence Assessment</t>
  </si>
  <si>
    <t>05.34 Medical Consultation (HPAU)</t>
  </si>
  <si>
    <t>05.35 Geospatial Mapping</t>
  </si>
  <si>
    <t>05.36 Gifting</t>
  </si>
  <si>
    <t>05.37 Immunisation Details</t>
  </si>
  <si>
    <t>05.38 Child Care Details</t>
  </si>
  <si>
    <t>05.39 Pension Loan Scheme</t>
  </si>
  <si>
    <t>05.40 Teen Dental</t>
  </si>
  <si>
    <t>05.41 Paid Parental Leave Claimants</t>
  </si>
  <si>
    <t>05.42 Confirmation Services</t>
  </si>
  <si>
    <t>06.01 Accommodation</t>
  </si>
  <si>
    <t>06.02 Address</t>
  </si>
  <si>
    <t>06.03 Business Details</t>
  </si>
  <si>
    <t>06.04 Child / Student Income</t>
  </si>
  <si>
    <t>06.05 Child Arrangements (Shared Care / Leaving Care etc)</t>
  </si>
  <si>
    <t>06.06 Death Action</t>
  </si>
  <si>
    <t>06.07 FAO Income Estimates</t>
  </si>
  <si>
    <t>06.08 FAO Non Lodger Updates</t>
  </si>
  <si>
    <t>06.09 Foreign Pension / Entitlement Details</t>
  </si>
  <si>
    <t>06.10 Generic Customer Details</t>
  </si>
  <si>
    <t>06.11 Immunisation Details</t>
  </si>
  <si>
    <t>06.12 Imprisonment / Psych. Confinement</t>
  </si>
  <si>
    <t>06.13 Income (Earnings)</t>
  </si>
  <si>
    <t>06.14 Income Streams (Super etc)</t>
  </si>
  <si>
    <t>06.15 Maintenance</t>
  </si>
  <si>
    <t>06.16 Managed Investments (Income &amp; Assets)</t>
  </si>
  <si>
    <t>06.17 Medical Certificate</t>
  </si>
  <si>
    <t>06.18 Other Assets (Income &amp; Assets)</t>
  </si>
  <si>
    <t>06.19 Other Government Payments</t>
  </si>
  <si>
    <t>06.20 Other Income (Income &amp; Assets)</t>
  </si>
  <si>
    <t>06.21 Overseas Absences</t>
  </si>
  <si>
    <t>06.22 Parental Means Test</t>
  </si>
  <si>
    <t>06.23 Real Estate Details</t>
  </si>
  <si>
    <t>06.24 Relationship Status</t>
  </si>
  <si>
    <t>06.25 Savings (Income &amp; Assets)</t>
  </si>
  <si>
    <t>06.26 Shares (Income &amp; Assets)</t>
  </si>
  <si>
    <t>06.27 Study/Training Details</t>
  </si>
  <si>
    <t>06.28 Telephone/Internet Details</t>
  </si>
  <si>
    <t>06.29 Trust &amp; Companies - Notification</t>
  </si>
  <si>
    <t>06.30 Return to Work</t>
  </si>
  <si>
    <t>06.31 Termination of Employment</t>
  </si>
  <si>
    <t>06.32 DVA Updates</t>
  </si>
  <si>
    <t>06.33 Respite/Temp. Absences</t>
  </si>
  <si>
    <t>06.34 Paid Parental Leave Circumstances</t>
  </si>
  <si>
    <t>06.35 EP63 - Display on access DOC</t>
  </si>
  <si>
    <t>07.01 Advance Payment (FTB/MOB/Generic)</t>
  </si>
  <si>
    <t>07.02 Assurance Support (Release of Bank Guarantee)</t>
  </si>
  <si>
    <t>07.03 Cancellation of Entitlement</t>
  </si>
  <si>
    <t>07.04 Case Management</t>
  </si>
  <si>
    <t>07.05 Centrepay</t>
  </si>
  <si>
    <t>07.06 Child Care Payment Processing</t>
  </si>
  <si>
    <t>07.07 Child Support Agency Deductions</t>
  </si>
  <si>
    <t>07.08 Community Dev Employment Program (CDEP)</t>
  </si>
  <si>
    <t>07.09 Ex-gratia / Emergency Payments</t>
  </si>
  <si>
    <t>07.10 Income Management (All Measures)</t>
  </si>
  <si>
    <t>07.11 Immediate / Crisis /  Hardship Payment</t>
  </si>
  <si>
    <t>07.12 Lump Sum CCB/FTB</t>
  </si>
  <si>
    <t>07.13 Lump Sum Pension Supplement</t>
  </si>
  <si>
    <t>07.14 Payday Change</t>
  </si>
  <si>
    <t>07.15 Payment Destination Changes</t>
  </si>
  <si>
    <t>07.16 Payment Frequency/Apportioned Rate</t>
  </si>
  <si>
    <t>07.17 Quarantining/Income Management</t>
  </si>
  <si>
    <t>07.18 Special Employment Advance</t>
  </si>
  <si>
    <t>07.19 Suspension</t>
  </si>
  <si>
    <t>07.20 Tax</t>
  </si>
  <si>
    <t>07.21 Withholdings</t>
  </si>
  <si>
    <t>07.22 One Off Payment</t>
  </si>
  <si>
    <t>07.23 Returned/Re-Issue Payment</t>
  </si>
  <si>
    <t>07.24 Restoration</t>
  </si>
  <si>
    <t>07.25 Rate/CPI</t>
  </si>
  <si>
    <t>07.26 Supplements</t>
  </si>
  <si>
    <t>07.27 Paid Parental Leave Provider Role</t>
  </si>
  <si>
    <t>07.28 Education / Training Allowances</t>
  </si>
  <si>
    <t>07.29 Payment Allocation</t>
  </si>
  <si>
    <t>07.30 Payment Reconciliation</t>
  </si>
  <si>
    <t>07.31 Payment Strip &amp; Delivery</t>
  </si>
  <si>
    <t>07.32 Payment Rate &amp; Component</t>
  </si>
  <si>
    <t>07.33 Rent Deduction Scheme</t>
  </si>
  <si>
    <t>07.34 Other Deductions</t>
  </si>
  <si>
    <t>08.01 Basics Card / Income Management Merchant Updates</t>
  </si>
  <si>
    <t>08.02 Income Management - Child Protection / Cape York</t>
  </si>
  <si>
    <t>08.03 Income Management - Compulsory / Vulnerable</t>
  </si>
  <si>
    <t>08.04 Income Management - Compulsory Exemptions</t>
  </si>
  <si>
    <t>08.05 Income Management - Deductions</t>
  </si>
  <si>
    <t>08.06 Income Management - Voluntary</t>
  </si>
  <si>
    <t>08.07 Third Party Processing</t>
  </si>
  <si>
    <t>08.08 Third Party Payment Destination</t>
  </si>
  <si>
    <t>08.09 Payday Change - Employer</t>
  </si>
  <si>
    <t>08.10 Third Party Self Service Administration</t>
  </si>
  <si>
    <t>08.11 Third Party Compensation Updates</t>
  </si>
  <si>
    <t>08.12 Third Party Reports</t>
  </si>
  <si>
    <t>08.13 Third Party Reviews</t>
  </si>
  <si>
    <t>08.14 Income Management - Nominee IM (NIM)</t>
  </si>
  <si>
    <t>09.01 Concession Card Grant / Renewal</t>
  </si>
  <si>
    <t>09.02 Concession Card Re-Issue</t>
  </si>
  <si>
    <t>09.03 Interim Concession Card Issue</t>
  </si>
  <si>
    <t>09.04 Issue Basics Card</t>
  </si>
  <si>
    <t>09.05 EBT Card</t>
  </si>
  <si>
    <t>09.07 Concession Card Cancellation</t>
  </si>
  <si>
    <t>10.01 AMEP</t>
  </si>
  <si>
    <t>10.02 Employment Services Provider Referral/Connection</t>
  </si>
  <si>
    <t>10.03 External Program/Assistance</t>
  </si>
  <si>
    <t>10.04 Generic Referral</t>
  </si>
  <si>
    <t>10.05 Green Corps Referral</t>
  </si>
  <si>
    <t>10.06 Job Capacity Assessment Referral</t>
  </si>
  <si>
    <t>10.07 Welfare Assistance Referral</t>
  </si>
  <si>
    <t>10.08 Third Party Referral</t>
  </si>
  <si>
    <t>11.01 Activity Test</t>
  </si>
  <si>
    <t>11.02 Activity Test Exemption</t>
  </si>
  <si>
    <t>11.03 CDEP</t>
  </si>
  <si>
    <t>11.04 Employer Contact Certificates</t>
  </si>
  <si>
    <t>11.05 Employment Pathways Plan</t>
  </si>
  <si>
    <t>11.06 Employment Pathways Plan Review</t>
  </si>
  <si>
    <t>11.07 Employment Services Provider Registration</t>
  </si>
  <si>
    <t>11.08 Job Capacity Assessment</t>
  </si>
  <si>
    <t>11.09 Job Search Efforts</t>
  </si>
  <si>
    <t>11.10 Job Search Support Only Registrations (JSSO)</t>
  </si>
  <si>
    <t>11.11 Job Seeker Classification Instrument (JSCI)</t>
  </si>
  <si>
    <t>11.12 Job Seeker Diary Issue</t>
  </si>
  <si>
    <t>11.13 Job Seeker Diary Return</t>
  </si>
  <si>
    <t>11.14 Medical Certificates</t>
  </si>
  <si>
    <t>11.15 Participation Assessment (Non Serious Failure)</t>
  </si>
  <si>
    <t>11.16 Participation Assessment (Serious Failure)</t>
  </si>
  <si>
    <t>11.17 Participation Exemption</t>
  </si>
  <si>
    <t>11.18 Participation Interview</t>
  </si>
  <si>
    <t>11.19 Payment Stimulation</t>
  </si>
  <si>
    <t>11.20 Restricted Work Capacity</t>
  </si>
  <si>
    <t>11.21 School Enrolment &amp; Attendance</t>
  </si>
  <si>
    <t>11.22 Vulnerability Indicator</t>
  </si>
  <si>
    <t>11.23 Job Capacity Assessment (Approval)</t>
  </si>
  <si>
    <t>11.24 Reporting Frequency</t>
  </si>
  <si>
    <t>11.25 Education Participation</t>
  </si>
  <si>
    <t>12.01 EOY Review</t>
  </si>
  <si>
    <t>12.02 Activity Test Review</t>
  </si>
  <si>
    <t>12.03 AOS Reviews</t>
  </si>
  <si>
    <t>12.04 Carer Circumstance Review</t>
  </si>
  <si>
    <t>12.05 Child Review</t>
  </si>
  <si>
    <t>12.06 Compliance Reviews</t>
  </si>
  <si>
    <t>12.07 Department Corrective Services Review</t>
  </si>
  <si>
    <t>12.08 DHA Reviews</t>
  </si>
  <si>
    <t>12.09 DIAC Reviews</t>
  </si>
  <si>
    <t>12.10 End of Course Reviews</t>
  </si>
  <si>
    <t>12.11 Exceptional Circumstance Relief Payment Review</t>
  </si>
  <si>
    <t>12.12 International Review</t>
  </si>
  <si>
    <t>12.13 Income and Assets Review</t>
  </si>
  <si>
    <t>12.14 Income Stream Reviews</t>
  </si>
  <si>
    <t>12.16 Medical Reviews</t>
  </si>
  <si>
    <t>12.17 Mobility Allowance Review</t>
  </si>
  <si>
    <t>12.18 Parental Means Review</t>
  </si>
  <si>
    <t>12.19 Pilot Review</t>
  </si>
  <si>
    <t>12.20 Random Sample Review</t>
  </si>
  <si>
    <t>12.21 Rent Review</t>
  </si>
  <si>
    <t>12.22 Service Profiling</t>
  </si>
  <si>
    <t>12.23 Special Benefit Review</t>
  </si>
  <si>
    <t>12.24 Tip Off Review</t>
  </si>
  <si>
    <t>12.25 Vulnerability Review</t>
  </si>
  <si>
    <t>12.26 Income Recovery Subsidy Review</t>
  </si>
  <si>
    <t>12.27 FAO Reconciliation</t>
  </si>
  <si>
    <t>12.28 FAO Non-Lodger</t>
  </si>
  <si>
    <t>12.29 New Financial Year Assessment</t>
  </si>
  <si>
    <t>12.30 Prohibition</t>
  </si>
  <si>
    <t>12.31 Serious Non-Compliance</t>
  </si>
  <si>
    <t>12.32 Data Matching</t>
  </si>
  <si>
    <t>12.33 Long Term Reviews</t>
  </si>
  <si>
    <t>12.34 Income Management Reviews</t>
  </si>
  <si>
    <t>12.35 Basics Card Reviews</t>
  </si>
  <si>
    <t>12.36 EP63 - Customer Aggression - FAL Review</t>
  </si>
  <si>
    <t>12.37 Compensation Reviews</t>
  </si>
  <si>
    <t>13.01 Australia Post Commission</t>
  </si>
  <si>
    <t>13.02 Collector of Public Monies</t>
  </si>
  <si>
    <t>13.03 Compensation Recovery</t>
  </si>
  <si>
    <t>13.04 Debt Raising</t>
  </si>
  <si>
    <t>13.05 Debt Recovery</t>
  </si>
  <si>
    <t>13.06 Debt Repayments</t>
  </si>
  <si>
    <t>13.07 Garnishee arrangements</t>
  </si>
  <si>
    <t>13.08 Collection Agent Commission</t>
  </si>
  <si>
    <t>13.09 Prosecutions</t>
  </si>
  <si>
    <t>13.10 Recovery Fee (Admin Debts)</t>
  </si>
  <si>
    <t>14.01 Administrative Appeals Tribunal (AAT)</t>
  </si>
  <si>
    <t>14.02 Authorised Review Officer (ARO)</t>
  </si>
  <si>
    <t>14.03 Original Decision Maker (ODM)</t>
  </si>
  <si>
    <t>14.04 Social Security Appeals Tribunal (SSAT)</t>
  </si>
  <si>
    <t>14.05 Request for Fair Work Ombudsman</t>
  </si>
  <si>
    <t>14.06 Special Circumstances</t>
  </si>
  <si>
    <t>14.07 Ombudsman/Ministerial/NGO</t>
  </si>
  <si>
    <t>14.08 Court Appeals (Federal, Full Federal, Federal Magistrate, High)</t>
  </si>
  <si>
    <t>15.01 Duplicate Form Issue</t>
  </si>
  <si>
    <t>15.02 Early Release of Superannuation (Hardship Assessment)</t>
  </si>
  <si>
    <t>15.03 Issue Forms/Information Packs</t>
  </si>
  <si>
    <t>15.04 Issue Letter (Non System)</t>
  </si>
  <si>
    <t>15.05 Payment Summaries</t>
  </si>
  <si>
    <t>15.06 Request for Further Information</t>
  </si>
  <si>
    <t>15.07 Income Statements</t>
  </si>
  <si>
    <t>15.08 System Letter / Statement</t>
  </si>
  <si>
    <t>15.09 Online Mail</t>
  </si>
  <si>
    <t>15.10 Mailout</t>
  </si>
  <si>
    <t>15.11 Management Information (MI)</t>
  </si>
  <si>
    <t>16.01 Data Exchange</t>
  </si>
  <si>
    <t>16.02 Infrastructure / Common Desktop / Service Express (Kiosk)</t>
  </si>
  <si>
    <t>16.03 Scripts / Macros / Automation</t>
  </si>
  <si>
    <t>16.04 Internal Assurance / Quality Online (QOL)</t>
  </si>
  <si>
    <t>16.05 IT Service Management / Service Manager</t>
  </si>
  <si>
    <t>16.06 Income Security Integrated System (ISIS)</t>
  </si>
  <si>
    <t>16.07 Work Management</t>
  </si>
  <si>
    <t>16.08 Digitisation</t>
  </si>
  <si>
    <t>16.09 Human Services Intranet (Staff Facing)</t>
  </si>
  <si>
    <t>16.10 Quality Gates</t>
  </si>
  <si>
    <t>16.11 Janus Presentation Framework</t>
  </si>
  <si>
    <t>16.12 Security Access Management System (SAMS)</t>
  </si>
  <si>
    <t>16.13 Customer First</t>
  </si>
  <si>
    <t>16.14 Archive &amp; Records Management (CAR / ACE / HP TRIM)</t>
  </si>
  <si>
    <t>Automating</t>
  </si>
  <si>
    <t>Imported</t>
  </si>
  <si>
    <t>Ready</t>
  </si>
  <si>
    <t>Recorded</t>
  </si>
  <si>
    <t>Repair</t>
  </si>
  <si>
    <t>Purpose of Test</t>
  </si>
  <si>
    <t>Pre-requisites</t>
  </si>
  <si>
    <t>Expected Result</t>
  </si>
  <si>
    <t>Testname Description</t>
  </si>
  <si>
    <t>T</t>
  </si>
  <si>
    <t>S</t>
  </si>
  <si>
    <t>Expected result of the step</t>
  </si>
  <si>
    <t>R</t>
  </si>
  <si>
    <t>What to verify within that step</t>
  </si>
  <si>
    <t>Q</t>
  </si>
  <si>
    <t>Step number of the test</t>
  </si>
  <si>
    <t>P</t>
  </si>
  <si>
    <t>O</t>
  </si>
  <si>
    <t>N</t>
  </si>
  <si>
    <t>M</t>
  </si>
  <si>
    <t>Logon ID of the test designer</t>
  </si>
  <si>
    <t>L</t>
  </si>
  <si>
    <t>This field is formula based. Not required to modify this field</t>
  </si>
  <si>
    <t>K</t>
  </si>
  <si>
    <t>Any date specific comment for the test to carry out</t>
  </si>
  <si>
    <t>J</t>
  </si>
  <si>
    <t>Name of the test. This is comprised of 
&lt;System.Cluster.Functionality.Brief name of test&gt;</t>
  </si>
  <si>
    <t>I</t>
  </si>
  <si>
    <t>H</t>
  </si>
  <si>
    <t>G</t>
  </si>
  <si>
    <t>Priority of the test</t>
  </si>
  <si>
    <t>F</t>
  </si>
  <si>
    <t>E</t>
  </si>
  <si>
    <t>The pre conditions which should be available for this particular test to carry out</t>
  </si>
  <si>
    <t>D</t>
  </si>
  <si>
    <t>Short description of what scenario is this test for</t>
  </si>
  <si>
    <t>Purpose of test</t>
  </si>
  <si>
    <t>C</t>
  </si>
  <si>
    <t>B</t>
  </si>
  <si>
    <t>User Spec Reference</t>
  </si>
  <si>
    <t>A</t>
  </si>
  <si>
    <t>Please include the DMR number if the Spec name does not contain it</t>
  </si>
  <si>
    <t>User Spec Name &amp; Version</t>
  </si>
  <si>
    <t>Special instruction(s), if any</t>
  </si>
  <si>
    <t>Field</t>
  </si>
  <si>
    <t>Column</t>
  </si>
  <si>
    <t>You can type the number only, without preceeding zeros. The column format will automatically take the preceeding zeros</t>
  </si>
  <si>
    <t>Test case status</t>
  </si>
  <si>
    <t>Location of the folder in Quality Center</t>
  </si>
  <si>
    <t>This is used when the scenarios are being reviewed by the BA</t>
  </si>
  <si>
    <t>01. Unit Test</t>
  </si>
  <si>
    <t>03. (SIT) System/System Integration Test</t>
  </si>
  <si>
    <t>04. (PST) Performance and Stress Test</t>
  </si>
  <si>
    <t>05. (SAF) User/System Acceptance Test</t>
  </si>
  <si>
    <t>06. (QATF) Infrastructure Testing</t>
  </si>
  <si>
    <t>Reusable Test</t>
  </si>
  <si>
    <t>Y</t>
  </si>
  <si>
    <t>Comments</t>
  </si>
  <si>
    <t>Please mark this field as 'Y' or 'N' based on the reusability of the test</t>
  </si>
  <si>
    <t>U</t>
  </si>
  <si>
    <r>
      <t xml:space="preserve">Please mention how/where and in what circumstance can this test be re-used.
</t>
    </r>
    <r>
      <rPr>
        <b/>
        <sz val="11"/>
        <color theme="1"/>
        <rFont val="Calibri"/>
        <family val="2"/>
        <scheme val="minor"/>
      </rPr>
      <t>Mandatory field if the Reusable Test column is 'Y'.</t>
    </r>
  </si>
  <si>
    <t>Reusable</t>
  </si>
  <si>
    <t>Version</t>
  </si>
  <si>
    <t>Date</t>
  </si>
  <si>
    <t>Changes</t>
  </si>
  <si>
    <t>9.0</t>
  </si>
  <si>
    <t>Locked formula columns</t>
  </si>
  <si>
    <t>8.0</t>
  </si>
  <si>
    <t>-</t>
  </si>
  <si>
    <t>Description formula changed - removed 'Expected result' from test description</t>
  </si>
  <si>
    <t>7.0</t>
  </si>
  <si>
    <t>Added two more columns - Reusable tests and Comments</t>
  </si>
  <si>
    <t>Review Comments by System Analyst</t>
  </si>
  <si>
    <t>10.0</t>
  </si>
  <si>
    <t>KGS422</t>
  </si>
  <si>
    <t>SCL283</t>
  </si>
  <si>
    <t>SFK434</t>
  </si>
  <si>
    <t>VNW607</t>
  </si>
  <si>
    <t>VFV338</t>
  </si>
  <si>
    <t>ARM665</t>
  </si>
  <si>
    <t>PBK432</t>
  </si>
  <si>
    <t>Comments by Test Analyst</t>
  </si>
  <si>
    <r>
      <t xml:space="preserve">Please fill the spec reference, for the scenario/test case.
</t>
    </r>
    <r>
      <rPr>
        <b/>
        <sz val="11"/>
        <color theme="1"/>
        <rFont val="Calibri"/>
        <family val="2"/>
        <scheme val="minor"/>
      </rPr>
      <t>This field is Mandatory</t>
    </r>
  </si>
  <si>
    <t>Updates after review of "Regression Test scenarios".
1. Shuffled columns as per request
2. Set printable area
3. Modified Instructions sheet
4. Printable Area set
5. Text size increased
6. Header and Footer information for printing (File name, sheet name, page #)
7. Header repeated for printing purpose</t>
  </si>
  <si>
    <t>10.4</t>
  </si>
  <si>
    <t>Automatically copying of Test Cases into "Test Matrix" sheet along with:
1. Highlighting missing information (RED)
2. Highlighting duplicate information (YELLOW)
3. Page print formatting
4. Header &amp; Footer information for review purposes</t>
  </si>
  <si>
    <t>10.5</t>
  </si>
  <si>
    <t>Updated with following:
1. Set print area to fit all columns in one page
2. Fix error when highlight duplicates with long text
3. Fix wrap text for last row
4. Align text at Top</t>
  </si>
  <si>
    <t>Cells highlighted in Yellow in "Test Matrix" sheet</t>
  </si>
  <si>
    <t>Cells highlighted in RED in "Test Matrix" sheet</t>
  </si>
  <si>
    <t>The text is duplicate with another highlighted cell</t>
  </si>
  <si>
    <t>The text is missing information</t>
  </si>
  <si>
    <t>DMR &amp; Task Description</t>
  </si>
  <si>
    <t>Please provide the DMR and the scope of the test matrix against the user spec being referred to</t>
  </si>
  <si>
    <t>JGX395</t>
  </si>
  <si>
    <t>5-Very Low</t>
  </si>
  <si>
    <t>ACR439</t>
  </si>
  <si>
    <t>OGH400</t>
  </si>
  <si>
    <t>PKO889</t>
  </si>
  <si>
    <t>PLV214</t>
  </si>
  <si>
    <t>SHR875</t>
  </si>
  <si>
    <t>11.0</t>
  </si>
  <si>
    <t>1. Added a code to capture the logon and date/time of document modification/save
2. Modified formula to not to add extra 0 to test number where number exceeds 99</t>
  </si>
  <si>
    <t>12.0</t>
  </si>
  <si>
    <t>Type</t>
  </si>
  <si>
    <t>Test Version Control</t>
  </si>
  <si>
    <t>01</t>
  </si>
  <si>
    <t>02</t>
  </si>
  <si>
    <t>03</t>
  </si>
  <si>
    <t>04</t>
  </si>
  <si>
    <t>05</t>
  </si>
  <si>
    <t>06</t>
  </si>
  <si>
    <t>07</t>
  </si>
  <si>
    <t>08</t>
  </si>
  <si>
    <t>09</t>
  </si>
  <si>
    <t>10</t>
  </si>
  <si>
    <t>MANUAL</t>
  </si>
  <si>
    <t>The expectation from this test (For test review purpose only)</t>
  </si>
  <si>
    <t>Version control for test case (new field in ALM 12)</t>
  </si>
  <si>
    <t>Test type  (new field in ALM 12)</t>
  </si>
  <si>
    <t>1. Modified template to work for ALM 12.0</t>
  </si>
  <si>
    <t>BBO342</t>
  </si>
  <si>
    <t>KBK903</t>
  </si>
  <si>
    <t>SMN624</t>
  </si>
  <si>
    <t>SGQ093</t>
  </si>
  <si>
    <t>VPK544</t>
  </si>
  <si>
    <t>SMU369</t>
  </si>
  <si>
    <t>NJV439</t>
  </si>
  <si>
    <t>GKW268</t>
  </si>
  <si>
    <t>12.2</t>
  </si>
  <si>
    <t>1. Reordered columns as per ALM 12.0 with modifiable fields earlier and formula based fields at the end
2. Removed Fields not required anymore in ALM 12.0.
3. Restructured 'Instructions' sheet</t>
  </si>
  <si>
    <t>SJP205</t>
  </si>
  <si>
    <t>12.3</t>
  </si>
  <si>
    <t>1. Fixed problem with formula for Test Name
2. Updated Testers list.</t>
  </si>
  <si>
    <t>AAO388</t>
  </si>
  <si>
    <t>LMM338</t>
  </si>
  <si>
    <t>AGO333</t>
  </si>
  <si>
    <t>PSM487</t>
  </si>
  <si>
    <t>SMO566</t>
  </si>
  <si>
    <t>SNC965</t>
  </si>
  <si>
    <t>Z_TBA</t>
  </si>
  <si>
    <t>Step 2</t>
  </si>
  <si>
    <t>Step 3</t>
  </si>
  <si>
    <t>Test Scenario Description -&gt;</t>
  </si>
  <si>
    <t>Priority -&gt;</t>
  </si>
  <si>
    <t>Conditions</t>
  </si>
  <si>
    <t>Business Rule Criteria</t>
  </si>
  <si>
    <t>Condition 1</t>
  </si>
  <si>
    <t>Condition 2</t>
  </si>
  <si>
    <t>Condition 3</t>
  </si>
  <si>
    <t>13</t>
  </si>
  <si>
    <t>1. Added Decision table and test case parameterisation</t>
  </si>
  <si>
    <t>Data Set</t>
  </si>
  <si>
    <t>Test Data</t>
  </si>
  <si>
    <t>Attribute 1</t>
  </si>
  <si>
    <t>Expected Output</t>
  </si>
  <si>
    <t>Purpose</t>
  </si>
  <si>
    <t>Step Number</t>
  </si>
  <si>
    <t>Parameter 1</t>
  </si>
  <si>
    <t>Parameter 2</t>
  </si>
  <si>
    <t>Parameter 3</t>
  </si>
  <si>
    <t>Created based on conditions using IF statements</t>
  </si>
  <si>
    <t>Created based on parameters and test decription</t>
  </si>
  <si>
    <t>SA Comments</t>
  </si>
  <si>
    <t>Condition 4</t>
  </si>
  <si>
    <t xml:space="preserve">Test Steps - Description </t>
  </si>
  <si>
    <t xml:space="preserve">Test Steps - Expected </t>
  </si>
  <si>
    <t>Created based on parameters and test decription, cannot contain special characters</t>
  </si>
  <si>
    <t>Prerequisites</t>
  </si>
  <si>
    <t>Parameter 4</t>
  </si>
  <si>
    <t>Created based on parameters and test decription, use char(10) to add new line</t>
  </si>
  <si>
    <t>TEST NAME FINAL</t>
  </si>
  <si>
    <t>Test Name -&gt;</t>
  </si>
  <si>
    <t>PREREQUISITES FINAL</t>
  </si>
  <si>
    <t>Prerequisites -&gt;</t>
  </si>
  <si>
    <t>PURPOSE FINAL</t>
  </si>
  <si>
    <t>Purpose -&gt;</t>
  </si>
  <si>
    <t>Condition Parameters</t>
  </si>
  <si>
    <t>Test Steps - Description</t>
  </si>
  <si>
    <t>Test Steps - Expected Result</t>
  </si>
  <si>
    <t>EXPECTED RESULT FINAL</t>
  </si>
  <si>
    <t>Expected Result -&gt;</t>
  </si>
  <si>
    <t>Test Phase -&gt;</t>
  </si>
  <si>
    <t>Test Designer</t>
  </si>
  <si>
    <t>Project IDs</t>
  </si>
  <si>
    <t>1354, 1399</t>
  </si>
  <si>
    <t>RFCs</t>
  </si>
  <si>
    <t>Matrix Name/Version</t>
  </si>
  <si>
    <t>Release</t>
  </si>
  <si>
    <t>System Analyst</t>
  </si>
  <si>
    <t>Test Coverage Matrix-&lt;ProjectId&gt;-&lt;RFCs&gt;-&lt;Project Description&gt;-v0.1</t>
  </si>
  <si>
    <t>User Spec1- Name/Version</t>
  </si>
  <si>
    <t>User Spec2- Name/Version</t>
  </si>
  <si>
    <t>User Spec Reference -&gt;</t>
  </si>
  <si>
    <t>Verification Rules / Test Cases -&gt;</t>
  </si>
  <si>
    <t>TA Comments</t>
  </si>
  <si>
    <t>Review Comments</t>
  </si>
  <si>
    <t>Pre-Requisites</t>
  </si>
  <si>
    <t>Review comments by SA</t>
  </si>
  <si>
    <t>PIT/SIT</t>
  </si>
  <si>
    <t>User Specification Reference</t>
  </si>
  <si>
    <t>Review comments by TA</t>
  </si>
  <si>
    <t>Comments/RFC mapping</t>
  </si>
  <si>
    <t>Marital Status</t>
  </si>
  <si>
    <t>Partnered</t>
  </si>
  <si>
    <t>Single</t>
  </si>
  <si>
    <t>Residential Qualification</t>
  </si>
  <si>
    <t>AU citizen</t>
  </si>
  <si>
    <t>Circumstance Data Mapping</t>
  </si>
  <si>
    <t>My SQL Data Reference</t>
  </si>
  <si>
    <t>Benefit Type</t>
  </si>
  <si>
    <t>Claim Type</t>
  </si>
  <si>
    <t>Combined Income Limit</t>
  </si>
  <si>
    <t>Permanent Resident Visa Class</t>
  </si>
  <si>
    <t>Spouse/Partner Visa Class</t>
  </si>
  <si>
    <t>Temporary Visa Class</t>
  </si>
  <si>
    <t>Number of Child(ren)</t>
  </si>
  <si>
    <t>Age of Child</t>
  </si>
  <si>
    <t>Natural Care</t>
  </si>
  <si>
    <t>Principal Care Type</t>
  </si>
  <si>
    <t>Care Percentage</t>
  </si>
  <si>
    <t>100% of Customer's care</t>
  </si>
  <si>
    <t>Update Relationship</t>
  </si>
  <si>
    <t>UpdateResidency - (LoadClaimAggregateA)</t>
  </si>
  <si>
    <t>customerfamilyincome - UpdateIncomeEstimate</t>
  </si>
  <si>
    <t>NCL</t>
  </si>
  <si>
    <t>FTB</t>
  </si>
  <si>
    <t>Test Circumstance</t>
  </si>
  <si>
    <t>Input Circumstance</t>
  </si>
  <si>
    <t>Linked Records</t>
  </si>
  <si>
    <t>Special Category Visa Class</t>
  </si>
  <si>
    <t>Relationship Qualifier</t>
  </si>
  <si>
    <t>Customer and Partner common circumstances</t>
  </si>
  <si>
    <t>ILB</t>
  </si>
  <si>
    <t>ILC</t>
  </si>
  <si>
    <t>ILP</t>
  </si>
  <si>
    <t>TEB</t>
  </si>
  <si>
    <t>TEC</t>
  </si>
  <si>
    <t>TEP</t>
  </si>
  <si>
    <t>GAC</t>
  </si>
  <si>
    <t>GAP</t>
  </si>
  <si>
    <t>PSB</t>
  </si>
  <si>
    <t>PSC</t>
  </si>
  <si>
    <t>PSP</t>
  </si>
  <si>
    <t>REC</t>
  </si>
  <si>
    <t>REP</t>
  </si>
  <si>
    <t>Child  circumstances</t>
  </si>
  <si>
    <t>Customer  circumstances</t>
  </si>
  <si>
    <t>UpdateQualifierCode</t>
  </si>
  <si>
    <t xml:space="preserve">Direct Credit details  </t>
  </si>
  <si>
    <t>UpdatePaymentDestination - (LoadClaimAggregateA)</t>
  </si>
  <si>
    <t>Coded</t>
  </si>
  <si>
    <t>Coded Exemption - FNG</t>
  </si>
  <si>
    <t>Not Coded</t>
  </si>
  <si>
    <t>TFN details</t>
  </si>
  <si>
    <t>UpdateTFN - (LoadClaimAggregateA)</t>
  </si>
  <si>
    <t>Partner  circumstances</t>
  </si>
  <si>
    <t>Coded Exemption - PVI</t>
  </si>
  <si>
    <t>Coded Exemption - PUC</t>
  </si>
  <si>
    <t>UpdateAccomodation</t>
  </si>
  <si>
    <t>Home ownership code</t>
  </si>
  <si>
    <t>Home owner - HOM</t>
  </si>
  <si>
    <t>Less than $99,414 per yr</t>
  </si>
  <si>
    <t>Secondary Earner income</t>
  </si>
  <si>
    <t>UpdateTaxableIncomeEstimate - (customerfamilyincome)</t>
  </si>
  <si>
    <t>Primary Earner income</t>
  </si>
  <si>
    <t>More than $100,000</t>
  </si>
  <si>
    <t>Less than $100,000</t>
  </si>
  <si>
    <t>Less than $21,499</t>
  </si>
  <si>
    <t>More than $ 27,613</t>
  </si>
  <si>
    <t>More than $99,414 per yr</t>
  </si>
  <si>
    <t>&lt;= 5yr</t>
  </si>
  <si>
    <t>Behavior / Data group</t>
  </si>
  <si>
    <t>Action 1</t>
  </si>
  <si>
    <t>Benefit Status</t>
  </si>
  <si>
    <t>REJ-INC</t>
  </si>
  <si>
    <t>REJ-RNP</t>
  </si>
  <si>
    <t>REJ-NRQ</t>
  </si>
  <si>
    <t>NEF-BAN</t>
  </si>
  <si>
    <t>NEF-NTC</t>
  </si>
  <si>
    <t>NEF-NTP</t>
  </si>
  <si>
    <t>NEF-NTB</t>
  </si>
  <si>
    <t>Action 2</t>
  </si>
  <si>
    <t>Review created on FAL screen</t>
  </si>
  <si>
    <t>Action 3</t>
  </si>
  <si>
    <t>FTB(A)</t>
  </si>
  <si>
    <t>FTB(B)</t>
  </si>
  <si>
    <t>All</t>
  </si>
  <si>
    <t>Nil</t>
  </si>
  <si>
    <t>Child Eligibility</t>
  </si>
  <si>
    <t>Section 1</t>
  </si>
  <si>
    <t>FTB Master Specification</t>
  </si>
  <si>
    <t>Blank</t>
  </si>
  <si>
    <t>Action 4</t>
  </si>
  <si>
    <t>Direct credit circ.Exempt FNG</t>
  </si>
  <si>
    <t>Direct credit circ.Not Coded</t>
  </si>
  <si>
    <t>TFN circ.PTR TFN exempt PVI</t>
  </si>
  <si>
    <t>TFN circ.PTR TFN exempt PUC</t>
  </si>
  <si>
    <t>TFN circ.PTR TFN not coded</t>
  </si>
  <si>
    <t>TFN circ.not coded and PTR TFN coded</t>
  </si>
  <si>
    <t>TFN circ.not coded and PTR TFN exempt PVI</t>
  </si>
  <si>
    <t>TFN circ.not coded and PTR TFN exempt PUC</t>
  </si>
  <si>
    <t>TFN circ.not coded and PTR TFN not coded</t>
  </si>
  <si>
    <t>Design Steps</t>
  </si>
  <si>
    <t>Design Steps - Exp Res</t>
  </si>
  <si>
    <t>VAPI-XP-TEST</t>
  </si>
  <si>
    <t>Step 4</t>
  </si>
  <si>
    <t>Step 5</t>
  </si>
  <si>
    <t>Step 6</t>
  </si>
  <si>
    <t>Step 7</t>
  </si>
  <si>
    <t>Step 8</t>
  </si>
  <si>
    <t>Step 9</t>
  </si>
  <si>
    <t>Step 10</t>
  </si>
  <si>
    <t>Income circ.Sec Inc LT Limit.Pri Inc LT Limit.Combined INC GT Limit</t>
  </si>
  <si>
    <t>Income circ.Sec Inc LT Limit.Pri Inc GT Limit.Combined INC GT Limit</t>
  </si>
  <si>
    <t>Income circ.Sec Inc GT Limit.Pri Inc LT Limit.Combined INC LT Limit</t>
  </si>
  <si>
    <t>Income circ.Sec Inc GT Limit.Pri Inc LT Limit.Combined INC GT Limit</t>
  </si>
  <si>
    <t>Income circ.Sec Inc GT Limit.Pri Inc GT Limit.Combined INC GT Limit</t>
  </si>
  <si>
    <t>Step 11</t>
  </si>
  <si>
    <t>Step 12</t>
  </si>
  <si>
    <t>Step 13</t>
  </si>
  <si>
    <t>Step 14</t>
  </si>
  <si>
    <t>Step 15</t>
  </si>
  <si>
    <t>Relationship qualifier circ.ILB</t>
  </si>
  <si>
    <t>Relationship qualifier circ.ILC</t>
  </si>
  <si>
    <t>Relationship qualifier circ.ILP</t>
  </si>
  <si>
    <t>Relationship qualifier circ.TEB</t>
  </si>
  <si>
    <t>Relationship qualifier circ.TEC</t>
  </si>
  <si>
    <t>Relationship qualifier circ.TEP</t>
  </si>
  <si>
    <t>Relationship qualifier circ.GAC</t>
  </si>
  <si>
    <t>Relationship qualifier circ.GAP</t>
  </si>
  <si>
    <t>Relationship qualifier circ.PSB</t>
  </si>
  <si>
    <t>Relationship qualifier circ.PSC</t>
  </si>
  <si>
    <t>Relationship qualifier circ.PSP</t>
  </si>
  <si>
    <t>Relationship qualifier circ.REC</t>
  </si>
  <si>
    <t>Relationship qualifier circ.REP</t>
  </si>
  <si>
    <t>Customer FTB (A) Status</t>
  </si>
  <si>
    <t>CUR</t>
  </si>
  <si>
    <t>CAN-INC</t>
  </si>
  <si>
    <t>NULL</t>
  </si>
  <si>
    <t>Customer FTB (B) Status</t>
  </si>
  <si>
    <t>REJ-IEU</t>
  </si>
  <si>
    <t>Action 5</t>
  </si>
  <si>
    <t>Action 6</t>
  </si>
  <si>
    <t>Customer RA Status</t>
  </si>
  <si>
    <t>N-HOM</t>
  </si>
  <si>
    <t>N-NULL</t>
  </si>
  <si>
    <t>TFN - EXEMPTION REVIEW (TEX)</t>
  </si>
  <si>
    <t>Step 16</t>
  </si>
  <si>
    <t>Step 17</t>
  </si>
  <si>
    <t>Step 18</t>
  </si>
  <si>
    <t>Step 19</t>
  </si>
  <si>
    <t>Step 20</t>
  </si>
  <si>
    <t>Step 21</t>
  </si>
  <si>
    <t>Step 22</t>
  </si>
  <si>
    <t>Step 23</t>
  </si>
  <si>
    <t>Step 24</t>
  </si>
  <si>
    <t>Step 25</t>
  </si>
  <si>
    <t>Step 26</t>
  </si>
  <si>
    <t>Step 27</t>
  </si>
  <si>
    <t>Step 28</t>
  </si>
  <si>
    <t>Residency Circ.Citizen.SPV</t>
  </si>
  <si>
    <t>Residency Circ.Citizen.TPV</t>
  </si>
  <si>
    <t>Residency Circ.SPV.Citizen</t>
  </si>
  <si>
    <t>Residency Circ.TPV.Citizen</t>
  </si>
  <si>
    <t>Residency Circ.SPV.TPV</t>
  </si>
  <si>
    <t>Residency Circ.TPV.SPV</t>
  </si>
  <si>
    <t>Step 29</t>
  </si>
  <si>
    <t>Step 30</t>
  </si>
  <si>
    <t>Step 31</t>
  </si>
  <si>
    <t>Step 32</t>
  </si>
  <si>
    <t>Step 33</t>
  </si>
  <si>
    <t>Step 34</t>
  </si>
  <si>
    <t>TFN - Grace Period</t>
  </si>
  <si>
    <t>Related Circumstance</t>
  </si>
  <si>
    <t>AU citzen.ALL</t>
  </si>
  <si>
    <t>AU citzen.Direct credit circ.Exempt FNG</t>
  </si>
  <si>
    <t>AU citzen.Direct credit circ.Not Coded</t>
  </si>
  <si>
    <t>AU citzen.TFN circ.Not coded</t>
  </si>
  <si>
    <t>AU citzen.Income circ. Income above threshold</t>
  </si>
  <si>
    <t>AU citzen.Relation type circ. adoptive parent</t>
  </si>
  <si>
    <t>AU citzen.Relation type circ.foster carer</t>
  </si>
  <si>
    <t>AU citzenRelation type circ.Other</t>
  </si>
  <si>
    <t xml:space="preserve">AU citzenRelation type circ.grandParent </t>
  </si>
  <si>
    <t>Permanent Resident Visa.Direct credit circ.Exempt FNG</t>
  </si>
  <si>
    <t>Permanent Resident Visa.Direct credit circ.Not Coded</t>
  </si>
  <si>
    <t>Permanent Resident Visa.TFN circ.Not coded</t>
  </si>
  <si>
    <t>Permanent Resident Visa.Income circ. Income above threshold</t>
  </si>
  <si>
    <t>Permanent Resident VisaRelation type circ.step parent</t>
  </si>
  <si>
    <t>Permanent Resident Visa.Relation type circ.adoptive parent</t>
  </si>
  <si>
    <t>Permanent Resident Visa.Relation type circ.Foster Carer</t>
  </si>
  <si>
    <t>Permanent Resident Visa.Relation type circ.other</t>
  </si>
  <si>
    <t>Permanent Resident Visa.Relation type circ.grandParent</t>
  </si>
  <si>
    <t>Permanent Resident Visa.Relation type circ.Foster carer</t>
  </si>
  <si>
    <t>Permanent Resident Visa.Relation type circ.grand parent</t>
  </si>
  <si>
    <t>Temporary Visa.Direct credit circ.Exempt FNG</t>
  </si>
  <si>
    <t>Temporary Visa.Direct credit circ.Not Coded</t>
  </si>
  <si>
    <t>Temporary Visa.TFN circ.Not coded</t>
  </si>
  <si>
    <t>Temporary Visa.Income circ. Income above threshold</t>
  </si>
  <si>
    <t>Temporary VisaRelation type circ.step parent</t>
  </si>
  <si>
    <t>Temporary Visa.Relation type circadoptive parent</t>
  </si>
  <si>
    <t>Temporary Visa.Relation type circ.foster carer</t>
  </si>
  <si>
    <t>Temporary Visa.Relation type circ.other</t>
  </si>
  <si>
    <t>Temporary Visa.Relation type circ.grandparent</t>
  </si>
  <si>
    <t>Special Category Visa.Direct credit circ.Exempt FNG</t>
  </si>
  <si>
    <t>Special Category Visa.Direct credit circ.Not Coded</t>
  </si>
  <si>
    <t>Special Category Visa.TFN circ.Not coded</t>
  </si>
  <si>
    <t>Special Category Visa.Income circ. Income above threshold</t>
  </si>
  <si>
    <t>Special Category Visa.Relation type circ.step parent</t>
  </si>
  <si>
    <t>Special Category Visa.Relation type circ.adoptive parent</t>
  </si>
  <si>
    <t>Special Category Visa.Relation type circ.foster carer</t>
  </si>
  <si>
    <t>Special Category Visa.Relation type circ.other</t>
  </si>
  <si>
    <t>Special Category Visa.Relation type circ.grandParent</t>
  </si>
  <si>
    <t>Condition 5</t>
  </si>
  <si>
    <t>NA</t>
  </si>
  <si>
    <t>AGG_SIN_CIRC10</t>
  </si>
  <si>
    <t>AGG_SIN_CIRC1</t>
  </si>
  <si>
    <t>AGG_SIN_CIRC2</t>
  </si>
  <si>
    <t>AGG_SIN_CIRC3</t>
  </si>
  <si>
    <t>AGG_SIN_CIRC4</t>
  </si>
  <si>
    <t>AGG_SIN_CIRC5</t>
  </si>
  <si>
    <t>AGG_SIN_CIRC6</t>
  </si>
  <si>
    <t>AGG_SIN_CIRC7</t>
  </si>
  <si>
    <t>AGG_SIN_CIRC8</t>
  </si>
  <si>
    <t>AGG_SIN_CIRC9</t>
  </si>
  <si>
    <t>AGG_SIN_CIRC11</t>
  </si>
  <si>
    <t>AGG_SIN_CIRC12</t>
  </si>
  <si>
    <t>AGG_SIN_CIRC13</t>
  </si>
  <si>
    <t>AGG_SIN_CIRC14</t>
  </si>
  <si>
    <t>AGG_SIN_CIRC15</t>
  </si>
  <si>
    <t>AGG_SIN_CIRC16</t>
  </si>
  <si>
    <t>AGG_SIN_CIRC17</t>
  </si>
  <si>
    <t>AGG_SIN_CIRC18</t>
  </si>
  <si>
    <t>AGG_SIN_CIRC19</t>
  </si>
  <si>
    <t>AGG_SIN_CIRC20</t>
  </si>
  <si>
    <t>AGG_SIN_CIRC21</t>
  </si>
  <si>
    <t>AGG_SIN_CIRC22</t>
  </si>
  <si>
    <t>AGG_SIN_CIRC23</t>
  </si>
  <si>
    <t>AGG_SIN_CIRC24</t>
  </si>
  <si>
    <t>AGG_SIN_CIRC25</t>
  </si>
  <si>
    <t>AGG_SIN_CIRC26</t>
  </si>
  <si>
    <t>AGG_SIN_CIRC27</t>
  </si>
  <si>
    <t>AGG_SIN_CIRC28</t>
  </si>
  <si>
    <t>AGG_SIN_CIRC29</t>
  </si>
  <si>
    <t>AGG_SIN_CIRC30</t>
  </si>
  <si>
    <t>AGG_SIN_CIRC31</t>
  </si>
  <si>
    <t>AGG_SIN_CIRC32</t>
  </si>
  <si>
    <t>AGG_SIN_CIRC33</t>
  </si>
  <si>
    <t>AGG_SIN_CIRC34</t>
  </si>
  <si>
    <t>AGG_SIN_CIRC35</t>
  </si>
  <si>
    <t>AGG_SIN_CIRC36</t>
  </si>
  <si>
    <t>AGG_SIN_CIRC37</t>
  </si>
  <si>
    <t>AGG_SIN_CIRC38</t>
  </si>
  <si>
    <t>AGG_SIN_CIRC39</t>
  </si>
  <si>
    <t>AGG_SIN_CIRC40</t>
  </si>
  <si>
    <t>AGG_SIN_CIRC41</t>
  </si>
  <si>
    <t>AGG_SIN_CIRC42</t>
  </si>
  <si>
    <t>AGG_SIN_CIRC43</t>
  </si>
  <si>
    <t>AGG_SIN_CIRC44</t>
  </si>
  <si>
    <t>AGG_SIN_CIRC45</t>
  </si>
  <si>
    <t>AGG_CIRC1</t>
  </si>
  <si>
    <t>AGG_CIRC2</t>
  </si>
  <si>
    <t>AGG_CIRC3</t>
  </si>
  <si>
    <t>AGG_CIRC4</t>
  </si>
  <si>
    <t>AGG_CIRC5</t>
  </si>
  <si>
    <t>AGG_CIRC6</t>
  </si>
  <si>
    <t>AGG_CIRC7</t>
  </si>
  <si>
    <t>AGG_CIRC8</t>
  </si>
  <si>
    <t>AGG_CIRC9</t>
  </si>
  <si>
    <t>AGG_CIRC10</t>
  </si>
  <si>
    <t>AGG_CIRC11</t>
  </si>
  <si>
    <t>AGG_CIRC12</t>
  </si>
  <si>
    <t>AGG_CIRC13</t>
  </si>
  <si>
    <t>AGG_CIRC14</t>
  </si>
  <si>
    <t>AGG_CIRC15</t>
  </si>
  <si>
    <t>AGG_CIRC16</t>
  </si>
  <si>
    <t>AGG_CIRC17</t>
  </si>
  <si>
    <t>AGG_CIRC18</t>
  </si>
  <si>
    <t>AGG_CIRC19</t>
  </si>
  <si>
    <t>AGG_CIRC20</t>
  </si>
  <si>
    <t>AGG_CIRC21</t>
  </si>
  <si>
    <t>AGG_CIRC22</t>
  </si>
  <si>
    <t>AGG_CIRC23</t>
  </si>
  <si>
    <t>AGG_CIRC24</t>
  </si>
  <si>
    <t>AGG_CIRC25</t>
  </si>
  <si>
    <t>AGG_CIRC26</t>
  </si>
  <si>
    <t>AGG_CIRC27</t>
  </si>
  <si>
    <t>AGG_CIRC28</t>
  </si>
  <si>
    <t>AGG_CIRC29</t>
  </si>
  <si>
    <t>AGG_CIRC30</t>
  </si>
  <si>
    <t>AGG_CIRC31</t>
  </si>
  <si>
    <t>AGG_CIRC32</t>
  </si>
  <si>
    <t>AGG_CIRC33</t>
  </si>
  <si>
    <t>AGG_CIRC34</t>
  </si>
  <si>
    <t>Step Parent</t>
  </si>
  <si>
    <t xml:space="preserve">Adoptive Parent </t>
  </si>
  <si>
    <t>Foster carer</t>
  </si>
  <si>
    <t>Other</t>
  </si>
  <si>
    <t>GrandParent</t>
  </si>
  <si>
    <t>Section 2</t>
  </si>
  <si>
    <t>Section 3</t>
  </si>
  <si>
    <t>Section 4</t>
  </si>
  <si>
    <t>Section 5</t>
  </si>
  <si>
    <t>Section 6</t>
  </si>
  <si>
    <t>Section 7</t>
  </si>
  <si>
    <t>Section 8</t>
  </si>
  <si>
    <t>Section 9</t>
  </si>
  <si>
    <t>Section 10</t>
  </si>
  <si>
    <t>Section 11</t>
  </si>
  <si>
    <t>Section 12</t>
  </si>
  <si>
    <t>Section 13</t>
  </si>
  <si>
    <t>Section 14</t>
  </si>
  <si>
    <t>Section 15</t>
  </si>
  <si>
    <t>Section 16</t>
  </si>
  <si>
    <t>Section 17</t>
  </si>
  <si>
    <t>Section 18</t>
  </si>
  <si>
    <t>Section 19</t>
  </si>
  <si>
    <t>Section 20</t>
  </si>
  <si>
    <t>Section 21</t>
  </si>
  <si>
    <t>Section 22</t>
  </si>
  <si>
    <t>Section 23</t>
  </si>
  <si>
    <t>Section 24</t>
  </si>
  <si>
    <t>Section 25</t>
  </si>
  <si>
    <t>Section 26</t>
  </si>
  <si>
    <t>Section 27</t>
  </si>
  <si>
    <t>Section 28</t>
  </si>
  <si>
    <t>Section 29</t>
  </si>
  <si>
    <t>Section 30</t>
  </si>
  <si>
    <t>Section 31</t>
  </si>
  <si>
    <t>Section 32</t>
  </si>
  <si>
    <t>Section 33</t>
  </si>
  <si>
    <t>Section 34</t>
  </si>
  <si>
    <t>Section 35</t>
  </si>
  <si>
    <t>Step 35</t>
  </si>
  <si>
    <t>Section 36</t>
  </si>
  <si>
    <t>Step 36</t>
  </si>
  <si>
    <t>Section 37</t>
  </si>
  <si>
    <t>Step 37</t>
  </si>
  <si>
    <t>Section 38</t>
  </si>
  <si>
    <t>Step 38</t>
  </si>
  <si>
    <t>Section 39</t>
  </si>
  <si>
    <t>Step 39</t>
  </si>
  <si>
    <t>Section 40</t>
  </si>
  <si>
    <t>Step 40</t>
  </si>
  <si>
    <t>Section 41</t>
  </si>
  <si>
    <t>Step 41</t>
  </si>
  <si>
    <t>Section 42</t>
  </si>
  <si>
    <t>Step 42</t>
  </si>
  <si>
    <t>Section 43</t>
  </si>
  <si>
    <t>Step 43</t>
  </si>
  <si>
    <t>Section 44</t>
  </si>
  <si>
    <t>Step 44</t>
  </si>
  <si>
    <t>Section 45</t>
  </si>
  <si>
    <t>Step 45</t>
  </si>
  <si>
    <t>Section 46</t>
  </si>
  <si>
    <t>Step 46</t>
  </si>
  <si>
    <t>Step 47</t>
  </si>
  <si>
    <t>Step 48</t>
  </si>
  <si>
    <t>Step 49</t>
  </si>
  <si>
    <t>Step 50</t>
  </si>
  <si>
    <t>Step 51</t>
  </si>
  <si>
    <t>Step 52</t>
  </si>
  <si>
    <t>Step 53</t>
  </si>
  <si>
    <t>Step 54</t>
  </si>
  <si>
    <t>Step 55</t>
  </si>
  <si>
    <t>Step 56</t>
  </si>
  <si>
    <t>Step 57</t>
  </si>
  <si>
    <t>Step 58</t>
  </si>
  <si>
    <t>Step 59</t>
  </si>
  <si>
    <t>Step 60</t>
  </si>
  <si>
    <t>Step 61</t>
  </si>
  <si>
    <t>Step 62</t>
  </si>
  <si>
    <t>Step 63</t>
  </si>
  <si>
    <t>Step 64</t>
  </si>
  <si>
    <t>Step 65</t>
  </si>
  <si>
    <t>Step 66</t>
  </si>
  <si>
    <t>Step 67</t>
  </si>
  <si>
    <t>Step 68</t>
  </si>
  <si>
    <t>Step 69</t>
  </si>
  <si>
    <t>Step 70</t>
  </si>
  <si>
    <t>Step 71</t>
  </si>
  <si>
    <t>Step 72</t>
  </si>
  <si>
    <t>Step 73</t>
  </si>
  <si>
    <t>Step 74</t>
  </si>
  <si>
    <t>Step 75</t>
  </si>
  <si>
    <t>Step 76</t>
  </si>
  <si>
    <t>Step 77</t>
  </si>
  <si>
    <t>Step 78</t>
  </si>
  <si>
    <t>Step 79</t>
  </si>
  <si>
    <t>Automation\FPS\FTB Regression Test\Customer_Assessor_NCL</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</si>
</sst>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
    <numFmt numFmtId="165" formatCode="00#"/>
    <numFmt numFmtId="166" formatCode="[$-C09]dd\-mmm\-yy;@"/>
  </numFmts>
  <fonts count="26">
    <font>
      <sz val="11"/>
      <color theme="1"/>
      <name val="Calibri"/>
      <family val="2"/>
      <scheme val="minor"/>
    </font>
    <font>
      <sz val="11"/>
      <color theme="1"/>
      <name val="Calibri"/>
      <family val="2"/>
      <scheme val="minor"/>
    </font>
    <font>
      <b/>
      <sz val="11"/>
      <color theme="1"/>
      <name val="Calibri"/>
      <family val="2"/>
      <scheme val="minor"/>
    </font>
    <font>
      <sz val="11"/>
      <name val="Calibri"/>
      <family val="2"/>
      <scheme val="minor"/>
    </font>
    <font>
      <u/>
      <sz val="10"/>
      <color theme="10"/>
      <name val="Arial"/>
      <family val="2"/>
    </font>
    <font>
      <sz val="12"/>
      <name val="Arial"/>
      <family val="2"/>
    </font>
    <font>
      <sz val="10"/>
      <name val="Arial "/>
    </font>
    <font>
      <sz val="10"/>
      <name val="Arial"/>
      <family val="2"/>
    </font>
    <font>
      <sz val="11"/>
      <name val="Calibri"/>
      <family val="2"/>
    </font>
    <font>
      <sz val="8"/>
      <color indexed="81"/>
      <name val="Tahoma"/>
      <family val="2"/>
    </font>
    <font>
      <sz val="12"/>
      <name val="Calibri"/>
      <family val="2"/>
      <scheme val="minor"/>
    </font>
    <font>
      <sz val="9"/>
      <color indexed="81"/>
      <name val="Tahoma"/>
      <family val="2"/>
    </font>
    <font>
      <b/>
      <sz val="9"/>
      <color indexed="81"/>
      <name val="Tahoma"/>
      <family val="2"/>
    </font>
    <font>
      <b/>
      <sz val="11"/>
      <name val="Calibri"/>
      <family val="2"/>
      <scheme val="minor"/>
    </font>
    <font>
      <u/>
      <sz val="11"/>
      <color theme="10"/>
      <name val="Calibri"/>
      <family val="2"/>
      <scheme val="minor"/>
    </font>
    <font>
      <sz val="12"/>
      <color theme="1"/>
      <name val="Calibri"/>
      <family val="2"/>
      <scheme val="minor"/>
    </font>
    <font>
      <sz val="10"/>
      <name val="Calibri"/>
      <family val="2"/>
      <scheme val="minor"/>
    </font>
    <font>
      <b/>
      <sz val="12"/>
      <color theme="1"/>
      <name val="Calibri"/>
      <family val="2"/>
      <scheme val="minor"/>
    </font>
    <font>
      <b/>
      <sz val="12"/>
      <name val="Calibri"/>
      <family val="2"/>
      <scheme val="minor"/>
    </font>
    <font>
      <sz val="10"/>
      <color theme="1"/>
      <name val="Calibri"/>
      <family val="2"/>
      <scheme val="minor"/>
    </font>
    <font>
      <b/>
      <sz val="10"/>
      <name val="Calibri"/>
      <family val="2"/>
      <scheme val="minor"/>
    </font>
    <font>
      <b/>
      <sz val="10"/>
      <color theme="1"/>
      <name val="Calibri"/>
      <family val="2"/>
      <scheme val="minor"/>
    </font>
    <font>
      <b/>
      <sz val="10"/>
      <color theme="0"/>
      <name val="Calibri"/>
      <family val="2"/>
      <scheme val="minor"/>
    </font>
    <font>
      <sz val="10"/>
      <color theme="0"/>
      <name val="Calibri"/>
      <family val="2"/>
      <scheme val="minor"/>
    </font>
    <font>
      <b/>
      <sz val="11"/>
      <color theme="0"/>
      <name val="Calibri"/>
      <family val="2"/>
      <scheme val="minor"/>
    </font>
    <font>
      <sz val="11"/>
      <color theme="0"/>
      <name val="Calibri"/>
      <family val="2"/>
      <scheme val="minor"/>
    </font>
  </fonts>
  <fills count="42">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theme="0" tint="-0.14999847407452621"/>
        <bgColor indexed="64"/>
      </patternFill>
    </fill>
    <fill>
      <patternFill patternType="solid">
        <fgColor rgb="FFFF0000"/>
        <bgColor indexed="64"/>
      </patternFill>
    </fill>
    <fill>
      <patternFill patternType="solid">
        <fgColor rgb="FFFFFF00"/>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0" tint="-0.34998626667073579"/>
        <bgColor indexed="64"/>
      </patternFill>
    </fill>
    <fill>
      <patternFill patternType="solid">
        <fgColor rgb="FFB2C0A8"/>
        <bgColor indexed="64"/>
      </patternFill>
    </fill>
    <fill>
      <patternFill patternType="solid">
        <fgColor theme="2" tint="-0.499984740745262"/>
        <bgColor indexed="64"/>
      </patternFill>
    </fill>
    <fill>
      <patternFill patternType="solid">
        <fgColor theme="2" tint="-9.9978637043366805E-2"/>
        <bgColor indexed="64"/>
      </patternFill>
    </fill>
    <fill>
      <patternFill patternType="solid">
        <fgColor rgb="FF836582"/>
        <bgColor indexed="64"/>
      </patternFill>
    </fill>
    <fill>
      <patternFill patternType="solid">
        <fgColor rgb="FFD9CDD9"/>
        <bgColor indexed="64"/>
      </patternFill>
    </fill>
    <fill>
      <patternFill patternType="solid">
        <fgColor theme="3" tint="-0.249977111117893"/>
        <bgColor indexed="64"/>
      </patternFill>
    </fill>
    <fill>
      <patternFill patternType="solid">
        <fgColor theme="3" tint="0.39997558519241921"/>
        <bgColor indexed="64"/>
      </patternFill>
    </fill>
    <fill>
      <patternFill patternType="solid">
        <fgColor theme="7" tint="0.79998168889431442"/>
        <bgColor indexed="64"/>
      </patternFill>
    </fill>
    <fill>
      <patternFill patternType="solid">
        <fgColor rgb="FF92D050"/>
        <bgColor indexed="64"/>
      </patternFill>
    </fill>
    <fill>
      <patternFill patternType="solid">
        <fgColor theme="9" tint="-0.249977111117893"/>
        <bgColor indexed="64"/>
      </patternFill>
    </fill>
    <fill>
      <patternFill patternType="solid">
        <fgColor theme="8" tint="-0.499984740745262"/>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BC1BB"/>
        <bgColor indexed="64"/>
      </patternFill>
    </fill>
    <fill>
      <patternFill patternType="solid">
        <fgColor theme="0" tint="-4.9989318521683403E-2"/>
        <bgColor indexed="64"/>
      </patternFill>
    </fill>
    <fill>
      <gradientFill degree="90">
        <stop position="0">
          <color rgb="FF92D050"/>
        </stop>
        <stop position="1">
          <color rgb="FF00B050"/>
        </stop>
      </gradientFill>
    </fill>
    <fill>
      <patternFill patternType="solid">
        <fgColor theme="6" tint="0.79998168889431442"/>
        <bgColor auto="1"/>
      </patternFill>
    </fill>
    <fill>
      <gradientFill degree="90">
        <stop position="0">
          <color rgb="FFFDE9D9"/>
        </stop>
        <stop position="1">
          <color rgb="FFDDD4FC"/>
        </stop>
      </gradientFill>
    </fill>
    <fill>
      <gradientFill degree="90">
        <stop position="0">
          <color theme="2"/>
        </stop>
        <stop position="1">
          <color theme="0"/>
        </stop>
      </gradientFill>
    </fill>
    <fill>
      <gradientFill degree="90">
        <stop position="0">
          <color theme="2"/>
        </stop>
        <stop position="1">
          <color rgb="FFFFC9FF"/>
        </stop>
      </gradientFill>
    </fill>
    <fill>
      <gradientFill degree="270">
        <stop position="0">
          <color theme="0"/>
        </stop>
        <stop position="1">
          <color rgb="FFFFC9FF"/>
        </stop>
      </gradientFill>
    </fill>
    <fill>
      <gradientFill degree="270">
        <stop position="0">
          <color theme="4" tint="0.40000610370189521"/>
        </stop>
        <stop position="1">
          <color theme="4"/>
        </stop>
      </gradientFill>
    </fill>
    <fill>
      <gradientFill degree="270">
        <stop position="0">
          <color rgb="FF002774"/>
        </stop>
        <stop position="1">
          <color rgb="FF002060"/>
        </stop>
      </gradientFill>
    </fill>
    <fill>
      <gradientFill degree="270">
        <stop position="0">
          <color rgb="FF60497A"/>
        </stop>
        <stop position="1">
          <color rgb="FF513D67"/>
        </stop>
      </gradientFill>
    </fill>
    <fill>
      <gradientFill degree="90">
        <stop position="0">
          <color theme="2" tint="-0.74901577806939912"/>
        </stop>
        <stop position="1">
          <color rgb="FF565130"/>
        </stop>
      </gradientFill>
    </fill>
    <fill>
      <gradientFill degree="90">
        <stop position="0">
          <color rgb="FF718761"/>
        </stop>
        <stop position="1">
          <color rgb="FF7C946A"/>
        </stop>
      </gradientFill>
    </fill>
    <fill>
      <gradientFill degree="270">
        <stop position="0">
          <color rgb="FF7A5D99"/>
        </stop>
        <stop position="1">
          <color rgb="FF60497A"/>
        </stop>
      </gradientFill>
    </fill>
    <fill>
      <patternFill patternType="solid">
        <fgColor rgb="FFF99F95"/>
        <bgColor indexed="64"/>
      </patternFill>
    </fill>
    <fill>
      <patternFill patternType="solid">
        <fgColor rgb="FF00B050"/>
        <bgColor indexed="64"/>
      </patternFill>
    </fill>
    <fill>
      <gradientFill degree="270">
        <stop position="0">
          <color theme="6" tint="-0.49803155613879818"/>
        </stop>
        <stop position="1">
          <color rgb="FF435422"/>
        </stop>
      </gradientFill>
    </fill>
    <fill>
      <gradientFill degree="90">
        <stop position="0">
          <color rgb="FF708B39"/>
        </stop>
        <stop position="1">
          <color rgb="FF83A442"/>
        </stop>
      </gradientFill>
    </fill>
  </fills>
  <borders count="4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theme="0"/>
      </left>
      <right style="thin">
        <color theme="0"/>
      </right>
      <top style="thin">
        <color theme="0"/>
      </top>
      <bottom style="thin">
        <color theme="0"/>
      </bottom>
      <diagonal/>
    </border>
    <border>
      <left/>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8238BA"/>
      </left>
      <right style="thin">
        <color rgb="FF8238BA"/>
      </right>
      <top style="thin">
        <color rgb="FF8238BA"/>
      </top>
      <bottom style="thin">
        <color rgb="FF8238BA"/>
      </bottom>
      <diagonal/>
    </border>
    <border>
      <left style="thin">
        <color rgb="FF8238BA"/>
      </left>
      <right/>
      <top style="thin">
        <color rgb="FF8238BA"/>
      </top>
      <bottom style="thin">
        <color rgb="FF8238BA"/>
      </bottom>
      <diagonal/>
    </border>
    <border>
      <left/>
      <right/>
      <top style="thin">
        <color rgb="FF8238BA"/>
      </top>
      <bottom style="thin">
        <color rgb="FF8238BA"/>
      </bottom>
      <diagonal/>
    </border>
    <border>
      <left/>
      <right style="thin">
        <color rgb="FF8238BA"/>
      </right>
      <top style="thin">
        <color rgb="FF8238BA"/>
      </top>
      <bottom style="thin">
        <color rgb="FF8238BA"/>
      </bottom>
      <diagonal/>
    </border>
    <border>
      <left style="thin">
        <color indexed="64"/>
      </left>
      <right/>
      <top/>
      <bottom/>
      <diagonal/>
    </border>
    <border>
      <left/>
      <right style="thin">
        <color indexed="64"/>
      </right>
      <top/>
      <bottom style="thin">
        <color indexed="64"/>
      </bottom>
      <diagonal/>
    </border>
    <border>
      <left/>
      <right style="thin">
        <color indexed="64"/>
      </right>
      <top/>
      <bottom/>
      <diagonal/>
    </border>
    <border>
      <left style="thin">
        <color indexed="64"/>
      </left>
      <right/>
      <top style="thin">
        <color indexed="64"/>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right style="medium">
        <color indexed="64"/>
      </right>
      <top style="thin">
        <color indexed="64"/>
      </top>
      <bottom style="thin">
        <color indexed="64"/>
      </bottom>
      <diagonal/>
    </border>
    <border>
      <left/>
      <right/>
      <top style="thin">
        <color indexed="64"/>
      </top>
      <bottom/>
      <diagonal/>
    </border>
  </borders>
  <cellStyleXfs count="8945">
    <xf numFmtId="0" fontId="0" fillId="0" borderId="0"/>
    <xf numFmtId="0" fontId="4"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5" fillId="0" borderId="0"/>
    <xf numFmtId="0" fontId="5" fillId="0" borderId="0"/>
    <xf numFmtId="0" fontId="7"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7" fillId="0" borderId="0"/>
    <xf numFmtId="0" fontId="1" fillId="0" borderId="0"/>
    <xf numFmtId="0" fontId="7" fillId="0" borderId="0"/>
    <xf numFmtId="0" fontId="1" fillId="0" borderId="0"/>
    <xf numFmtId="0" fontId="7"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8"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7" fillId="0" borderId="0"/>
    <xf numFmtId="0" fontId="7" fillId="0" borderId="0"/>
    <xf numFmtId="0" fontId="7"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6" fillId="0" borderId="0"/>
    <xf numFmtId="0" fontId="1" fillId="0" borderId="0"/>
    <xf numFmtId="0" fontId="5" fillId="0" borderId="0"/>
    <xf numFmtId="0" fontId="1"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0" fontId="1"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5"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6"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1" fillId="0" borderId="0"/>
    <xf numFmtId="0" fontId="5" fillId="0" borderId="0"/>
    <xf numFmtId="0" fontId="1" fillId="0" borderId="0"/>
    <xf numFmtId="0" fontId="1" fillId="0" borderId="0"/>
    <xf numFmtId="0" fontId="1"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6" fillId="0" borderId="0"/>
    <xf numFmtId="0" fontId="5"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6" fillId="0" borderId="0"/>
    <xf numFmtId="0" fontId="5" fillId="0" borderId="0"/>
    <xf numFmtId="0" fontId="5" fillId="0" borderId="0"/>
    <xf numFmtId="0" fontId="1" fillId="0" borderId="0"/>
    <xf numFmtId="0" fontId="1" fillId="0" borderId="0"/>
    <xf numFmtId="0" fontId="1" fillId="0" borderId="0"/>
    <xf numFmtId="0" fontId="5" fillId="0" borderId="0"/>
    <xf numFmtId="0" fontId="5" fillId="0" borderId="0"/>
    <xf numFmtId="0" fontId="6" fillId="0" borderId="0"/>
    <xf numFmtId="0" fontId="1" fillId="0" borderId="0"/>
    <xf numFmtId="0" fontId="5" fillId="0" borderId="0"/>
    <xf numFmtId="0" fontId="5" fillId="0" borderId="0"/>
    <xf numFmtId="0" fontId="5" fillId="0" borderId="0"/>
    <xf numFmtId="0" fontId="5" fillId="0" borderId="0"/>
    <xf numFmtId="0" fontId="5" fillId="0" borderId="0"/>
    <xf numFmtId="0" fontId="6"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5" fillId="0" borderId="0"/>
    <xf numFmtId="0" fontId="5" fillId="0" borderId="0"/>
    <xf numFmtId="0" fontId="6"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7" fillId="0" borderId="0"/>
    <xf numFmtId="0" fontId="7"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6" fillId="0" borderId="0"/>
    <xf numFmtId="0" fontId="6" fillId="0" borderId="0"/>
    <xf numFmtId="0" fontId="6" fillId="0" borderId="0"/>
    <xf numFmtId="0" fontId="5" fillId="0" borderId="0"/>
    <xf numFmtId="0" fontId="7" fillId="0" borderId="0"/>
    <xf numFmtId="0" fontId="5"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5" fillId="0" borderId="0"/>
    <xf numFmtId="0" fontId="7"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7" fillId="0" borderId="0"/>
    <xf numFmtId="0" fontId="7" fillId="0" borderId="0"/>
    <xf numFmtId="0" fontId="7" fillId="0" borderId="0"/>
    <xf numFmtId="0" fontId="7" fillId="0" borderId="0"/>
    <xf numFmtId="0" fontId="7" fillId="0" borderId="0"/>
    <xf numFmtId="0" fontId="5"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7" fillId="0" borderId="0"/>
    <xf numFmtId="0" fontId="7" fillId="0" borderId="0"/>
    <xf numFmtId="0" fontId="7"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4" fillId="0" borderId="0" applyNumberFormat="0" applyFill="0" applyBorder="0" applyAlignment="0" applyProtection="0"/>
  </cellStyleXfs>
  <cellXfs count="266">
    <xf numFmtId="0" fontId="0" fillId="0" borderId="0" xfId="0"/>
    <xf numFmtId="0" fontId="2" fillId="0" borderId="0" xfId="0" applyFont="1"/>
    <xf numFmtId="0" fontId="0" fillId="0" borderId="1" xfId="0" applyBorder="1" applyAlignment="1">
      <alignment wrapText="1"/>
    </xf>
    <xf numFmtId="0" fontId="2" fillId="4" borderId="1" xfId="0" applyFont="1" applyFill="1" applyBorder="1" applyAlignment="1">
      <alignment wrapText="1"/>
    </xf>
    <xf numFmtId="0" fontId="0" fillId="4" borderId="4" xfId="0" applyFill="1" applyBorder="1"/>
    <xf numFmtId="0" fontId="0" fillId="0" borderId="1" xfId="0" applyFill="1" applyBorder="1" applyAlignment="1">
      <alignment wrapText="1"/>
    </xf>
    <xf numFmtId="0" fontId="2" fillId="0" borderId="1" xfId="0" applyFont="1" applyFill="1" applyBorder="1" applyAlignment="1">
      <alignment wrapText="1"/>
    </xf>
    <xf numFmtId="165" fontId="0" fillId="0" borderId="0" xfId="0" applyNumberFormat="1" applyFont="1" applyFill="1" applyAlignment="1" applyProtection="1">
      <alignment vertical="top" wrapText="1"/>
      <protection locked="0"/>
    </xf>
    <xf numFmtId="0" fontId="0" fillId="0" borderId="0" xfId="0" applyFont="1" applyFill="1" applyAlignment="1" applyProtection="1">
      <alignment vertical="top" wrapText="1"/>
      <protection locked="0"/>
    </xf>
    <xf numFmtId="164" fontId="0" fillId="0" borderId="0" xfId="0" applyNumberFormat="1" applyFont="1" applyFill="1" applyAlignment="1" applyProtection="1">
      <alignment vertical="top" wrapText="1"/>
      <protection locked="0"/>
    </xf>
    <xf numFmtId="0" fontId="0" fillId="0" borderId="0" xfId="0" applyFont="1" applyFill="1" applyAlignment="1" applyProtection="1">
      <alignment vertical="top" wrapText="1"/>
    </xf>
    <xf numFmtId="165" fontId="0" fillId="0" borderId="0" xfId="0" applyNumberFormat="1" applyFont="1" applyFill="1" applyAlignment="1" applyProtection="1">
      <alignment vertical="top" wrapText="1"/>
    </xf>
    <xf numFmtId="49" fontId="0" fillId="0" borderId="0" xfId="0" applyNumberFormat="1" applyProtection="1">
      <protection locked="0"/>
    </xf>
    <xf numFmtId="166" fontId="0" fillId="0" borderId="0" xfId="0" applyNumberFormat="1" applyProtection="1">
      <protection locked="0"/>
    </xf>
    <xf numFmtId="166" fontId="0" fillId="0" borderId="0" xfId="0" applyNumberFormat="1"/>
    <xf numFmtId="49" fontId="0" fillId="0" borderId="0" xfId="0" applyNumberFormat="1" applyAlignment="1" applyProtection="1">
      <alignment wrapText="1"/>
      <protection locked="0"/>
    </xf>
    <xf numFmtId="0" fontId="0" fillId="0" borderId="0" xfId="0" applyFill="1" applyBorder="1" applyAlignment="1">
      <alignment wrapText="1"/>
    </xf>
    <xf numFmtId="0" fontId="0" fillId="7" borderId="0" xfId="0" applyFill="1"/>
    <xf numFmtId="0" fontId="0" fillId="8" borderId="0" xfId="0" applyFill="1"/>
    <xf numFmtId="0" fontId="0" fillId="9" borderId="0" xfId="0" applyFill="1"/>
    <xf numFmtId="0" fontId="2" fillId="10" borderId="0" xfId="0" applyFont="1" applyFill="1"/>
    <xf numFmtId="49" fontId="0" fillId="0" borderId="0" xfId="0" applyNumberFormat="1"/>
    <xf numFmtId="0" fontId="3" fillId="0" borderId="0" xfId="0" applyFont="1" applyFill="1" applyAlignment="1" applyProtection="1">
      <alignment vertical="top" wrapText="1"/>
      <protection locked="0"/>
    </xf>
    <xf numFmtId="0" fontId="0" fillId="0" borderId="0" xfId="0" applyAlignment="1">
      <alignment horizontal="left" vertical="top" wrapText="1"/>
    </xf>
    <xf numFmtId="0" fontId="0" fillId="0" borderId="0" xfId="0" applyAlignment="1">
      <alignment horizontal="left" vertical="top"/>
    </xf>
    <xf numFmtId="0" fontId="2" fillId="19" borderId="8" xfId="0" applyFont="1" applyFill="1" applyBorder="1" applyAlignment="1">
      <alignment horizontal="left" vertical="top" wrapText="1"/>
    </xf>
    <xf numFmtId="0" fontId="2" fillId="19" borderId="9" xfId="0" applyFont="1" applyFill="1" applyBorder="1" applyAlignment="1">
      <alignment horizontal="left" vertical="top" wrapText="1"/>
    </xf>
    <xf numFmtId="0" fontId="2" fillId="19" borderId="10" xfId="0" applyFont="1" applyFill="1" applyBorder="1" applyAlignment="1">
      <alignment horizontal="left" vertical="top" wrapText="1"/>
    </xf>
    <xf numFmtId="0" fontId="0" fillId="0" borderId="12" xfId="0" quotePrefix="1" applyBorder="1" applyAlignment="1">
      <alignment horizontal="left" vertical="top" wrapText="1"/>
    </xf>
    <xf numFmtId="0" fontId="0" fillId="0" borderId="13" xfId="0" quotePrefix="1" applyBorder="1" applyAlignment="1">
      <alignment horizontal="left" vertical="top" wrapText="1"/>
    </xf>
    <xf numFmtId="0" fontId="0" fillId="0" borderId="11" xfId="0" quotePrefix="1" applyBorder="1" applyAlignment="1">
      <alignment horizontal="left" vertical="top" wrapText="1"/>
    </xf>
    <xf numFmtId="0" fontId="15" fillId="0" borderId="1" xfId="0" applyFont="1" applyFill="1" applyBorder="1" applyAlignment="1">
      <alignment horizontal="left" vertical="top" wrapText="1"/>
    </xf>
    <xf numFmtId="0" fontId="0" fillId="2" borderId="0" xfId="0" applyFill="1"/>
    <xf numFmtId="3" fontId="16" fillId="27" borderId="14" xfId="0" applyNumberFormat="1" applyFont="1" applyFill="1" applyBorder="1" applyAlignment="1" applyProtection="1">
      <alignment horizontal="left" vertical="center" wrapText="1"/>
      <protection locked="0"/>
    </xf>
    <xf numFmtId="3" fontId="16" fillId="9" borderId="14" xfId="0" applyNumberFormat="1" applyFont="1" applyFill="1" applyBorder="1" applyAlignment="1" applyProtection="1">
      <alignment horizontal="left" vertical="center" wrapText="1"/>
      <protection locked="0"/>
    </xf>
    <xf numFmtId="3" fontId="16" fillId="2" borderId="0" xfId="0" applyNumberFormat="1" applyFont="1" applyFill="1" applyBorder="1" applyAlignment="1" applyProtection="1">
      <alignment horizontal="left" vertical="center" wrapText="1"/>
      <protection locked="0"/>
    </xf>
    <xf numFmtId="164" fontId="10" fillId="25" borderId="14" xfId="0" quotePrefix="1" applyNumberFormat="1" applyFont="1" applyFill="1" applyBorder="1" applyAlignment="1" applyProtection="1">
      <alignment vertical="top" wrapText="1"/>
      <protection locked="0"/>
    </xf>
    <xf numFmtId="0" fontId="10" fillId="25" borderId="14" xfId="0" applyFont="1" applyFill="1" applyBorder="1" applyAlignment="1" applyProtection="1">
      <alignment vertical="top" wrapText="1"/>
      <protection locked="0"/>
    </xf>
    <xf numFmtId="0" fontId="10" fillId="25" borderId="14" xfId="0" applyNumberFormat="1" applyFont="1" applyFill="1" applyBorder="1" applyAlignment="1" applyProtection="1">
      <alignment vertical="top" wrapText="1"/>
      <protection locked="0"/>
    </xf>
    <xf numFmtId="0" fontId="10" fillId="25" borderId="14" xfId="0" quotePrefix="1" applyFont="1" applyFill="1" applyBorder="1" applyAlignment="1" applyProtection="1">
      <alignment vertical="top" wrapText="1"/>
      <protection locked="0"/>
    </xf>
    <xf numFmtId="3" fontId="16" fillId="2" borderId="18" xfId="0" applyNumberFormat="1" applyFont="1" applyFill="1" applyBorder="1" applyAlignment="1" applyProtection="1">
      <alignment horizontal="left" vertical="center" wrapText="1"/>
      <protection locked="0"/>
    </xf>
    <xf numFmtId="0" fontId="3" fillId="18" borderId="14" xfId="0" applyFont="1" applyFill="1" applyBorder="1" applyAlignment="1" applyProtection="1">
      <alignment vertical="top" wrapText="1"/>
      <protection locked="0"/>
    </xf>
    <xf numFmtId="165" fontId="18" fillId="28" borderId="14" xfId="0" applyNumberFormat="1" applyFont="1" applyFill="1" applyBorder="1" applyAlignment="1" applyProtection="1">
      <alignment horizontal="center" vertical="center" wrapText="1"/>
      <protection locked="0"/>
    </xf>
    <xf numFmtId="0" fontId="18" fillId="28" borderId="14" xfId="0" applyFont="1" applyFill="1" applyBorder="1" applyAlignment="1" applyProtection="1">
      <alignment horizontal="center" vertical="center" wrapText="1"/>
      <protection locked="0"/>
    </xf>
    <xf numFmtId="0" fontId="3" fillId="25" borderId="14" xfId="0" applyFont="1" applyFill="1" applyBorder="1" applyAlignment="1" applyProtection="1">
      <alignment vertical="top" wrapText="1"/>
    </xf>
    <xf numFmtId="0" fontId="13" fillId="29" borderId="14" xfId="0" applyFont="1" applyFill="1" applyBorder="1" applyAlignment="1" applyProtection="1">
      <alignment vertical="center" wrapText="1"/>
    </xf>
    <xf numFmtId="0" fontId="0" fillId="2" borderId="0" xfId="0" applyFont="1" applyFill="1" applyAlignment="1" applyProtection="1">
      <alignment vertical="top" wrapText="1"/>
      <protection locked="0"/>
    </xf>
    <xf numFmtId="0" fontId="0" fillId="2" borderId="0" xfId="0" applyFill="1" applyProtection="1">
      <protection locked="0"/>
    </xf>
    <xf numFmtId="0" fontId="0" fillId="2" borderId="0" xfId="0" applyFill="1" applyProtection="1"/>
    <xf numFmtId="3" fontId="16" fillId="26" borderId="14" xfId="0" applyNumberFormat="1" applyFont="1" applyFill="1" applyBorder="1" applyAlignment="1" applyProtection="1">
      <alignment vertical="center" wrapText="1"/>
    </xf>
    <xf numFmtId="0" fontId="0" fillId="2" borderId="0" xfId="0" applyFill="1" applyBorder="1" applyProtection="1"/>
    <xf numFmtId="0" fontId="18" fillId="30" borderId="14" xfId="0" applyFont="1" applyFill="1" applyBorder="1" applyAlignment="1" applyProtection="1">
      <alignment horizontal="center" vertical="center" wrapText="1"/>
    </xf>
    <xf numFmtId="0" fontId="17" fillId="31" borderId="14" xfId="0" applyFont="1" applyFill="1" applyBorder="1" applyAlignment="1">
      <alignment horizontal="center" vertical="center" wrapText="1"/>
    </xf>
    <xf numFmtId="0" fontId="19" fillId="2" borderId="0" xfId="0" applyFont="1" applyFill="1" applyBorder="1" applyAlignment="1" applyProtection="1">
      <alignment vertical="center" wrapText="1"/>
      <protection locked="0"/>
    </xf>
    <xf numFmtId="0" fontId="21" fillId="11" borderId="1" xfId="0" applyFont="1" applyFill="1" applyBorder="1" applyAlignment="1">
      <alignment horizontal="center" wrapText="1"/>
    </xf>
    <xf numFmtId="0" fontId="19" fillId="2" borderId="0" xfId="0" applyFont="1" applyFill="1" applyAlignment="1">
      <alignment wrapText="1"/>
    </xf>
    <xf numFmtId="0" fontId="19" fillId="2" borderId="0" xfId="0" applyFont="1" applyFill="1"/>
    <xf numFmtId="0" fontId="16" fillId="15" borderId="1" xfId="8944" applyFont="1" applyFill="1" applyBorder="1" applyAlignment="1">
      <alignment horizontal="center"/>
    </xf>
    <xf numFmtId="0" fontId="22" fillId="33" borderId="3" xfId="0" applyFont="1" applyFill="1" applyBorder="1" applyAlignment="1">
      <alignment vertical="center" wrapText="1"/>
    </xf>
    <xf numFmtId="0" fontId="22" fillId="32" borderId="2" xfId="0" applyFont="1" applyFill="1" applyBorder="1" applyAlignment="1">
      <alignment wrapText="1"/>
    </xf>
    <xf numFmtId="0" fontId="22" fillId="32" borderId="1" xfId="0" applyFont="1" applyFill="1" applyBorder="1" applyAlignment="1">
      <alignment wrapText="1"/>
    </xf>
    <xf numFmtId="0" fontId="19" fillId="2" borderId="0" xfId="0" applyFont="1" applyFill="1" applyBorder="1" applyAlignment="1">
      <alignment horizontal="center"/>
    </xf>
    <xf numFmtId="0" fontId="19" fillId="7" borderId="2" xfId="0" applyFont="1" applyFill="1" applyBorder="1" applyAlignment="1">
      <alignment wrapText="1"/>
    </xf>
    <xf numFmtId="0" fontId="21" fillId="2" borderId="33" xfId="0" applyFont="1" applyFill="1" applyBorder="1" applyAlignment="1">
      <alignment horizontal="center" vertical="center"/>
    </xf>
    <xf numFmtId="0" fontId="21" fillId="2" borderId="23" xfId="0" applyFont="1" applyFill="1" applyBorder="1" applyAlignment="1">
      <alignment horizontal="center" vertical="center"/>
    </xf>
    <xf numFmtId="0" fontId="21" fillId="2" borderId="29" xfId="0" applyFont="1" applyFill="1" applyBorder="1" applyAlignment="1">
      <alignment horizontal="center" vertical="center"/>
    </xf>
    <xf numFmtId="0" fontId="21" fillId="2" borderId="28" xfId="0" applyFont="1" applyFill="1" applyBorder="1" applyAlignment="1">
      <alignment horizontal="center" vertical="center"/>
    </xf>
    <xf numFmtId="0" fontId="21" fillId="2" borderId="32" xfId="0" applyFont="1" applyFill="1" applyBorder="1" applyAlignment="1">
      <alignment horizontal="center" vertical="center"/>
    </xf>
    <xf numFmtId="0" fontId="19" fillId="7" borderId="21" xfId="0" applyFont="1" applyFill="1" applyBorder="1" applyAlignment="1">
      <alignment wrapText="1"/>
    </xf>
    <xf numFmtId="0" fontId="21" fillId="2" borderId="34" xfId="0" applyFont="1" applyFill="1" applyBorder="1" applyAlignment="1">
      <alignment horizontal="center" vertical="center"/>
    </xf>
    <xf numFmtId="0" fontId="21" fillId="2" borderId="24" xfId="0" applyFont="1" applyFill="1" applyBorder="1" applyAlignment="1">
      <alignment horizontal="center" vertical="center"/>
    </xf>
    <xf numFmtId="0" fontId="21" fillId="2" borderId="26" xfId="0" applyFont="1" applyFill="1" applyBorder="1" applyAlignment="1">
      <alignment horizontal="center" vertical="center"/>
    </xf>
    <xf numFmtId="0" fontId="21" fillId="2" borderId="1" xfId="0" applyFont="1" applyFill="1" applyBorder="1" applyAlignment="1">
      <alignment horizontal="center" vertical="center"/>
    </xf>
    <xf numFmtId="0" fontId="21" fillId="2" borderId="2" xfId="0" applyFont="1" applyFill="1" applyBorder="1" applyAlignment="1">
      <alignment horizontal="center" vertical="center"/>
    </xf>
    <xf numFmtId="0" fontId="21" fillId="38" borderId="34" xfId="0" applyFont="1" applyFill="1" applyBorder="1" applyAlignment="1">
      <alignment vertical="center"/>
    </xf>
    <xf numFmtId="0" fontId="19" fillId="38" borderId="24" xfId="0" applyFont="1" applyFill="1" applyBorder="1" applyAlignment="1">
      <alignment vertical="center"/>
    </xf>
    <xf numFmtId="0" fontId="19" fillId="38" borderId="26" xfId="0" applyFont="1" applyFill="1" applyBorder="1" applyAlignment="1">
      <alignment vertical="center"/>
    </xf>
    <xf numFmtId="0" fontId="19" fillId="38" borderId="1" xfId="0" applyFont="1" applyFill="1" applyBorder="1" applyAlignment="1">
      <alignment vertical="center"/>
    </xf>
    <xf numFmtId="0" fontId="19" fillId="38" borderId="2" xfId="0" applyFont="1" applyFill="1" applyBorder="1" applyAlignment="1">
      <alignment vertical="center"/>
    </xf>
    <xf numFmtId="0" fontId="22" fillId="32" borderId="3" xfId="0" applyFont="1" applyFill="1" applyBorder="1" applyAlignment="1">
      <alignment wrapText="1"/>
    </xf>
    <xf numFmtId="0" fontId="22" fillId="32" borderId="22" xfId="0" applyFont="1" applyFill="1" applyBorder="1" applyAlignment="1">
      <alignment wrapText="1"/>
    </xf>
    <xf numFmtId="0" fontId="21" fillId="2" borderId="34" xfId="0" applyFont="1" applyFill="1" applyBorder="1" applyAlignment="1">
      <alignment horizontal="center"/>
    </xf>
    <xf numFmtId="0" fontId="21" fillId="2" borderId="24" xfId="0" applyFont="1" applyFill="1" applyBorder="1" applyAlignment="1">
      <alignment horizontal="center"/>
    </xf>
    <xf numFmtId="0" fontId="21" fillId="2" borderId="26" xfId="0" applyFont="1" applyFill="1" applyBorder="1" applyAlignment="1">
      <alignment horizontal="center"/>
    </xf>
    <xf numFmtId="0" fontId="21" fillId="2" borderId="1" xfId="0" applyFont="1" applyFill="1" applyBorder="1" applyAlignment="1">
      <alignment horizontal="center"/>
    </xf>
    <xf numFmtId="0" fontId="21" fillId="2" borderId="2" xfId="0" applyFont="1" applyFill="1" applyBorder="1" applyAlignment="1">
      <alignment horizontal="center"/>
    </xf>
    <xf numFmtId="0" fontId="19" fillId="7" borderId="22" xfId="0" applyFont="1" applyFill="1" applyBorder="1" applyAlignment="1">
      <alignment wrapText="1"/>
    </xf>
    <xf numFmtId="0" fontId="21" fillId="0" borderId="1" xfId="0" applyFont="1" applyFill="1" applyBorder="1" applyAlignment="1">
      <alignment horizontal="center" vertical="center"/>
    </xf>
    <xf numFmtId="0" fontId="21" fillId="0" borderId="24" xfId="0" applyFont="1" applyFill="1" applyBorder="1" applyAlignment="1">
      <alignment horizontal="center" vertical="center"/>
    </xf>
    <xf numFmtId="0" fontId="21" fillId="2" borderId="20" xfId="0" applyFont="1" applyFill="1" applyBorder="1" applyAlignment="1">
      <alignment horizontal="center" vertical="center" wrapText="1"/>
    </xf>
    <xf numFmtId="0" fontId="21" fillId="2" borderId="0" xfId="0" applyFont="1" applyFill="1" applyBorder="1" applyAlignment="1">
      <alignment horizontal="center" vertical="center" wrapText="1"/>
    </xf>
    <xf numFmtId="0" fontId="19" fillId="2" borderId="34" xfId="0" applyFont="1" applyFill="1" applyBorder="1" applyAlignment="1">
      <alignment horizontal="center"/>
    </xf>
    <xf numFmtId="0" fontId="19" fillId="2" borderId="24" xfId="0" applyFont="1" applyFill="1" applyBorder="1" applyAlignment="1">
      <alignment horizontal="center"/>
    </xf>
    <xf numFmtId="0" fontId="19" fillId="2" borderId="26" xfId="0" applyFont="1" applyFill="1" applyBorder="1" applyAlignment="1">
      <alignment horizontal="center"/>
    </xf>
    <xf numFmtId="0" fontId="19" fillId="2" borderId="1" xfId="0" applyFont="1" applyFill="1" applyBorder="1" applyAlignment="1">
      <alignment horizontal="center"/>
    </xf>
    <xf numFmtId="0" fontId="19" fillId="2" borderId="2" xfId="0" applyFont="1" applyFill="1" applyBorder="1" applyAlignment="1">
      <alignment horizontal="center"/>
    </xf>
    <xf numFmtId="0" fontId="21" fillId="6" borderId="34" xfId="0" applyFont="1" applyFill="1" applyBorder="1" applyAlignment="1">
      <alignment horizontal="center" vertical="center"/>
    </xf>
    <xf numFmtId="0" fontId="21" fillId="6" borderId="24" xfId="0" applyFont="1" applyFill="1" applyBorder="1" applyAlignment="1">
      <alignment horizontal="center" vertical="center"/>
    </xf>
    <xf numFmtId="0" fontId="21" fillId="6" borderId="26" xfId="0" applyFont="1" applyFill="1" applyBorder="1" applyAlignment="1">
      <alignment horizontal="center" vertical="center"/>
    </xf>
    <xf numFmtId="0" fontId="21" fillId="6" borderId="1" xfId="0" applyFont="1" applyFill="1" applyBorder="1" applyAlignment="1">
      <alignment horizontal="center" vertical="center"/>
    </xf>
    <xf numFmtId="0" fontId="21" fillId="6" borderId="2" xfId="0" applyFont="1" applyFill="1" applyBorder="1" applyAlignment="1">
      <alignment horizontal="center" vertical="center"/>
    </xf>
    <xf numFmtId="0" fontId="21" fillId="38" borderId="24" xfId="0" applyFont="1" applyFill="1" applyBorder="1" applyAlignment="1">
      <alignment vertical="center"/>
    </xf>
    <xf numFmtId="0" fontId="21" fillId="38" borderId="26" xfId="0" applyFont="1" applyFill="1" applyBorder="1" applyAlignment="1">
      <alignment vertical="center"/>
    </xf>
    <xf numFmtId="0" fontId="19" fillId="7" borderId="2" xfId="0" applyFont="1" applyFill="1" applyBorder="1" applyAlignment="1">
      <alignment horizontal="left" wrapText="1"/>
    </xf>
    <xf numFmtId="0" fontId="20" fillId="2" borderId="34" xfId="0" applyFont="1" applyFill="1" applyBorder="1" applyAlignment="1">
      <alignment horizontal="center" vertical="center"/>
    </xf>
    <xf numFmtId="0" fontId="20" fillId="2" borderId="24" xfId="0" applyFont="1" applyFill="1" applyBorder="1" applyAlignment="1">
      <alignment horizontal="center" vertical="center"/>
    </xf>
    <xf numFmtId="0" fontId="20" fillId="2" borderId="26" xfId="0" applyFont="1" applyFill="1" applyBorder="1" applyAlignment="1">
      <alignment horizontal="center" vertical="center"/>
    </xf>
    <xf numFmtId="0" fontId="20" fillId="2" borderId="6" xfId="0" applyFont="1" applyFill="1" applyBorder="1" applyAlignment="1">
      <alignment horizontal="center" vertical="center"/>
    </xf>
    <xf numFmtId="0" fontId="20" fillId="2" borderId="1" xfId="0" applyFont="1" applyFill="1" applyBorder="1" applyAlignment="1">
      <alignment horizontal="center" vertical="center"/>
    </xf>
    <xf numFmtId="0" fontId="20" fillId="2" borderId="2" xfId="0" applyFont="1" applyFill="1" applyBorder="1" applyAlignment="1">
      <alignment horizontal="center" vertical="center"/>
    </xf>
    <xf numFmtId="0" fontId="22" fillId="2" borderId="0" xfId="0" applyFont="1" applyFill="1" applyBorder="1" applyAlignment="1">
      <alignment wrapText="1"/>
    </xf>
    <xf numFmtId="0" fontId="21" fillId="2" borderId="35" xfId="0" applyFont="1" applyFill="1" applyBorder="1" applyAlignment="1">
      <alignment horizontal="center" vertical="center"/>
    </xf>
    <xf numFmtId="0" fontId="21" fillId="2" borderId="25" xfId="0" applyFont="1" applyFill="1" applyBorder="1" applyAlignment="1">
      <alignment horizontal="center" vertical="center"/>
    </xf>
    <xf numFmtId="0" fontId="21" fillId="2" borderId="31" xfId="0" applyFont="1" applyFill="1" applyBorder="1" applyAlignment="1">
      <alignment horizontal="center" vertical="center"/>
    </xf>
    <xf numFmtId="0" fontId="21" fillId="2" borderId="30" xfId="0" applyFont="1" applyFill="1" applyBorder="1" applyAlignment="1">
      <alignment horizontal="center" vertical="center"/>
    </xf>
    <xf numFmtId="0" fontId="21" fillId="2" borderId="36" xfId="0" applyFont="1" applyFill="1" applyBorder="1" applyAlignment="1">
      <alignment horizontal="center" vertical="center"/>
    </xf>
    <xf numFmtId="0" fontId="21" fillId="0" borderId="25" xfId="0" applyFont="1" applyFill="1" applyBorder="1" applyAlignment="1">
      <alignment horizontal="center" vertical="center"/>
    </xf>
    <xf numFmtId="0" fontId="21" fillId="0" borderId="30" xfId="0" applyFont="1" applyFill="1" applyBorder="1" applyAlignment="1">
      <alignment horizontal="center" vertical="center"/>
    </xf>
    <xf numFmtId="0" fontId="19" fillId="7" borderId="0" xfId="0" applyFont="1" applyFill="1" applyBorder="1" applyAlignment="1">
      <alignment wrapText="1"/>
    </xf>
    <xf numFmtId="0" fontId="20" fillId="2" borderId="0" xfId="0" applyFont="1" applyFill="1" applyBorder="1" applyAlignment="1">
      <alignment horizontal="center" vertical="center"/>
    </xf>
    <xf numFmtId="0" fontId="22" fillId="34" borderId="2" xfId="0" applyFont="1" applyFill="1" applyBorder="1" applyAlignment="1">
      <alignment horizontal="center" vertical="center" wrapText="1"/>
    </xf>
    <xf numFmtId="0" fontId="22" fillId="34" borderId="1" xfId="0" applyFont="1" applyFill="1" applyBorder="1" applyAlignment="1">
      <alignment horizontal="center" vertical="center" wrapText="1"/>
    </xf>
    <xf numFmtId="0" fontId="19" fillId="2" borderId="0" xfId="0" applyFont="1" applyFill="1" applyBorder="1"/>
    <xf numFmtId="0" fontId="22" fillId="37" borderId="2" xfId="0" applyFont="1" applyFill="1" applyBorder="1" applyAlignment="1">
      <alignment wrapText="1"/>
    </xf>
    <xf numFmtId="0" fontId="22" fillId="37" borderId="1" xfId="0" applyFont="1" applyFill="1" applyBorder="1" applyAlignment="1">
      <alignment wrapText="1"/>
    </xf>
    <xf numFmtId="0" fontId="19" fillId="2" borderId="0" xfId="0" applyFont="1" applyFill="1" applyBorder="1" applyAlignment="1">
      <alignment horizontal="center" vertical="center"/>
    </xf>
    <xf numFmtId="0" fontId="19" fillId="2" borderId="0" xfId="0" applyFont="1" applyFill="1" applyBorder="1" applyAlignment="1">
      <alignment horizontal="center" vertical="center" wrapText="1"/>
    </xf>
    <xf numFmtId="0" fontId="19" fillId="2" borderId="1" xfId="0" applyFont="1" applyFill="1" applyBorder="1" applyAlignment="1">
      <alignment horizontal="center" vertical="center" wrapText="1"/>
    </xf>
    <xf numFmtId="0" fontId="19" fillId="2" borderId="2" xfId="0" applyFont="1" applyFill="1" applyBorder="1" applyAlignment="1">
      <alignment horizontal="center" vertical="center" wrapText="1"/>
    </xf>
    <xf numFmtId="0" fontId="23" fillId="2" borderId="0" xfId="0" applyFont="1" applyFill="1" applyBorder="1" applyAlignment="1">
      <alignment horizontal="center" vertical="center"/>
    </xf>
    <xf numFmtId="0" fontId="19" fillId="2" borderId="0" xfId="0" applyFont="1" applyFill="1" applyBorder="1" applyAlignment="1">
      <alignment wrapText="1"/>
    </xf>
    <xf numFmtId="0" fontId="20" fillId="2" borderId="0" xfId="0" applyFont="1" applyFill="1" applyBorder="1" applyAlignment="1">
      <alignment horizontal="center" vertical="center" wrapText="1"/>
    </xf>
    <xf numFmtId="0" fontId="20" fillId="2" borderId="1" xfId="0" applyFont="1" applyFill="1" applyBorder="1" applyAlignment="1">
      <alignment horizontal="center" vertical="center" wrapText="1"/>
    </xf>
    <xf numFmtId="0" fontId="19" fillId="2" borderId="5" xfId="0" applyFont="1" applyFill="1" applyBorder="1" applyAlignment="1">
      <alignment wrapText="1"/>
    </xf>
    <xf numFmtId="0" fontId="22" fillId="16" borderId="3" xfId="0" applyFont="1" applyFill="1" applyBorder="1" applyAlignment="1">
      <alignment vertical="center" wrapText="1"/>
    </xf>
    <xf numFmtId="0" fontId="22" fillId="17" borderId="1" xfId="0" applyFont="1" applyFill="1" applyBorder="1" applyAlignment="1">
      <alignment wrapText="1"/>
    </xf>
    <xf numFmtId="0" fontId="21" fillId="2" borderId="7" xfId="0" applyFont="1" applyFill="1" applyBorder="1" applyAlignment="1">
      <alignment horizontal="center" vertical="center" wrapText="1"/>
    </xf>
    <xf numFmtId="0" fontId="19" fillId="7" borderId="1" xfId="0" applyFont="1" applyFill="1" applyBorder="1" applyAlignment="1">
      <alignment wrapText="1"/>
    </xf>
    <xf numFmtId="0" fontId="16" fillId="2" borderId="0" xfId="0" applyFont="1" applyFill="1" applyBorder="1" applyAlignment="1">
      <alignment horizontal="center" vertical="center"/>
    </xf>
    <xf numFmtId="0" fontId="22" fillId="20" borderId="1" xfId="0" applyFont="1" applyFill="1" applyBorder="1" applyAlignment="1">
      <alignment horizontal="left" vertical="center" wrapText="1"/>
    </xf>
    <xf numFmtId="0" fontId="20" fillId="22" borderId="1" xfId="0" applyFont="1" applyFill="1" applyBorder="1" applyAlignment="1">
      <alignment wrapText="1"/>
    </xf>
    <xf numFmtId="0" fontId="20" fillId="23" borderId="1" xfId="0" applyFont="1" applyFill="1" applyBorder="1" applyAlignment="1">
      <alignment wrapText="1"/>
    </xf>
    <xf numFmtId="0" fontId="16" fillId="2" borderId="1" xfId="0" applyFont="1" applyFill="1" applyBorder="1" applyAlignment="1">
      <alignment horizontal="center" vertical="center" wrapText="1"/>
    </xf>
    <xf numFmtId="0" fontId="16" fillId="23" borderId="1" xfId="0" applyFont="1" applyFill="1" applyBorder="1" applyAlignment="1">
      <alignment wrapText="1"/>
    </xf>
    <xf numFmtId="0" fontId="22" fillId="21" borderId="1" xfId="0" applyFont="1" applyFill="1" applyBorder="1" applyAlignment="1">
      <alignment horizontal="left" vertical="center" wrapText="1"/>
    </xf>
    <xf numFmtId="0" fontId="23" fillId="2" borderId="1" xfId="0" applyFont="1" applyFill="1" applyBorder="1" applyAlignment="1">
      <alignment horizontal="center" vertical="center" wrapText="1"/>
    </xf>
    <xf numFmtId="0" fontId="19" fillId="3" borderId="1" xfId="0" applyFont="1" applyFill="1" applyBorder="1" applyAlignment="1">
      <alignment wrapText="1"/>
    </xf>
    <xf numFmtId="0" fontId="0" fillId="2" borderId="0" xfId="0" applyFont="1" applyFill="1"/>
    <xf numFmtId="0" fontId="24" fillId="40" borderId="2" xfId="0" applyFont="1" applyFill="1" applyBorder="1" applyAlignment="1">
      <alignment horizontal="center" vertical="center" wrapText="1"/>
    </xf>
    <xf numFmtId="0" fontId="0" fillId="2" borderId="0" xfId="0" applyFont="1" applyFill="1" applyBorder="1"/>
    <xf numFmtId="0" fontId="24" fillId="41" borderId="2" xfId="0" applyFont="1" applyFill="1" applyBorder="1" applyAlignment="1">
      <alignment wrapText="1"/>
    </xf>
    <xf numFmtId="0" fontId="0" fillId="2" borderId="0" xfId="0" applyFont="1" applyFill="1" applyBorder="1" applyAlignment="1">
      <alignment horizontal="center" vertical="center"/>
    </xf>
    <xf numFmtId="0" fontId="0" fillId="2" borderId="0" xfId="0" applyFont="1" applyFill="1" applyBorder="1" applyAlignment="1">
      <alignment horizontal="center" vertical="center" wrapText="1"/>
    </xf>
    <xf numFmtId="0" fontId="13" fillId="2" borderId="1" xfId="0" applyFont="1" applyFill="1" applyBorder="1" applyAlignment="1">
      <alignment horizontal="center" vertical="center"/>
    </xf>
    <xf numFmtId="0" fontId="2" fillId="2" borderId="1" xfId="0" applyFont="1" applyFill="1" applyBorder="1" applyAlignment="1">
      <alignment horizontal="center" vertical="center"/>
    </xf>
    <xf numFmtId="0" fontId="25" fillId="2" borderId="1" xfId="0" applyFont="1" applyFill="1" applyBorder="1" applyAlignment="1">
      <alignment horizontal="center" vertical="center"/>
    </xf>
    <xf numFmtId="0" fontId="21" fillId="2" borderId="7" xfId="0" applyFont="1" applyFill="1" applyBorder="1" applyAlignment="1">
      <alignment horizontal="center" vertical="center" wrapText="1"/>
    </xf>
    <xf numFmtId="0" fontId="20" fillId="2" borderId="6" xfId="0" applyFont="1" applyFill="1" applyBorder="1" applyAlignment="1">
      <alignment horizontal="left" vertical="center" wrapText="1"/>
    </xf>
    <xf numFmtId="0" fontId="16" fillId="13" borderId="1" xfId="8944" applyFont="1" applyFill="1" applyBorder="1" applyAlignment="1">
      <alignment wrapText="1"/>
    </xf>
    <xf numFmtId="0" fontId="20" fillId="2" borderId="6" xfId="0" applyFont="1" applyFill="1" applyBorder="1" applyAlignment="1">
      <alignment horizontal="left" vertical="center"/>
    </xf>
    <xf numFmtId="0" fontId="20" fillId="2" borderId="6" xfId="0" applyFont="1" applyFill="1" applyBorder="1" applyAlignment="1">
      <alignment horizontal="left" vertical="top" wrapText="1"/>
    </xf>
    <xf numFmtId="0" fontId="21" fillId="2" borderId="7" xfId="0" applyFont="1" applyFill="1" applyBorder="1" applyAlignment="1">
      <alignment horizontal="center" vertical="center" wrapText="1"/>
    </xf>
    <xf numFmtId="0" fontId="19" fillId="0" borderId="20" xfId="0" applyFont="1" applyBorder="1" applyAlignment="1">
      <alignment horizontal="center" vertical="center" wrapText="1"/>
    </xf>
    <xf numFmtId="0" fontId="21" fillId="38" borderId="1" xfId="0" applyFont="1" applyFill="1" applyBorder="1" applyAlignment="1">
      <alignment vertical="center"/>
    </xf>
    <xf numFmtId="0" fontId="16" fillId="13" borderId="1" xfId="8944" applyFont="1" applyFill="1" applyBorder="1" applyAlignment="1">
      <alignment horizontal="center"/>
    </xf>
    <xf numFmtId="0" fontId="16" fillId="24" borderId="1" xfId="8944" applyFont="1" applyFill="1" applyBorder="1" applyAlignment="1">
      <alignment horizontal="center"/>
    </xf>
    <xf numFmtId="0" fontId="21" fillId="0" borderId="26" xfId="0" applyFont="1" applyFill="1" applyBorder="1" applyAlignment="1">
      <alignment horizontal="center" vertical="center"/>
    </xf>
    <xf numFmtId="0" fontId="21" fillId="0" borderId="31" xfId="0" applyFont="1" applyFill="1" applyBorder="1" applyAlignment="1">
      <alignment horizontal="center" vertical="center"/>
    </xf>
    <xf numFmtId="0" fontId="16" fillId="13" borderId="1" xfId="8944" applyFont="1" applyFill="1" applyBorder="1" applyAlignment="1">
      <alignment horizontal="center" wrapText="1"/>
    </xf>
    <xf numFmtId="0" fontId="19" fillId="18" borderId="2" xfId="0" applyFont="1" applyFill="1" applyBorder="1" applyAlignment="1">
      <alignment wrapText="1"/>
    </xf>
    <xf numFmtId="0" fontId="0" fillId="9" borderId="2" xfId="0" applyFont="1" applyFill="1" applyBorder="1" applyAlignment="1">
      <alignment wrapText="1"/>
    </xf>
    <xf numFmtId="0" fontId="19" fillId="2" borderId="33" xfId="0" applyFont="1" applyFill="1" applyBorder="1" applyAlignment="1">
      <alignment horizontal="center" vertical="center" wrapText="1"/>
    </xf>
    <xf numFmtId="0" fontId="19" fillId="2" borderId="34" xfId="0" applyFont="1" applyFill="1" applyBorder="1" applyAlignment="1">
      <alignment horizontal="center" vertical="center" wrapText="1"/>
    </xf>
    <xf numFmtId="0" fontId="19" fillId="2" borderId="37" xfId="0" applyFont="1" applyFill="1" applyBorder="1"/>
    <xf numFmtId="0" fontId="0" fillId="2" borderId="37" xfId="0" applyFont="1" applyFill="1" applyBorder="1"/>
    <xf numFmtId="0" fontId="0" fillId="2" borderId="37" xfId="0" applyFont="1" applyFill="1" applyBorder="1" applyAlignment="1">
      <alignment horizontal="center" vertical="center"/>
    </xf>
    <xf numFmtId="0" fontId="19" fillId="2" borderId="24" xfId="0" applyFont="1" applyFill="1" applyBorder="1" applyAlignment="1">
      <alignment horizontal="center" vertical="center" wrapText="1"/>
    </xf>
    <xf numFmtId="0" fontId="19" fillId="2" borderId="26" xfId="0" applyFont="1" applyFill="1" applyBorder="1" applyAlignment="1">
      <alignment horizontal="center" vertical="center" wrapText="1"/>
    </xf>
    <xf numFmtId="0" fontId="19" fillId="2" borderId="38" xfId="0" applyFont="1" applyFill="1" applyBorder="1"/>
    <xf numFmtId="0" fontId="19" fillId="2" borderId="39" xfId="0" applyFont="1" applyFill="1" applyBorder="1"/>
    <xf numFmtId="0" fontId="0" fillId="2" borderId="38" xfId="0" applyFont="1" applyFill="1" applyBorder="1"/>
    <xf numFmtId="0" fontId="0" fillId="2" borderId="39" xfId="0" applyFont="1" applyFill="1" applyBorder="1"/>
    <xf numFmtId="0" fontId="0" fillId="2" borderId="38" xfId="0" applyFont="1" applyFill="1" applyBorder="1" applyAlignment="1">
      <alignment horizontal="center" vertical="center"/>
    </xf>
    <xf numFmtId="0" fontId="0" fillId="2" borderId="39" xfId="0" applyFont="1" applyFill="1" applyBorder="1" applyAlignment="1">
      <alignment horizontal="center" vertical="center"/>
    </xf>
    <xf numFmtId="0" fontId="2" fillId="2" borderId="24" xfId="0" applyFont="1" applyFill="1" applyBorder="1" applyAlignment="1">
      <alignment horizontal="center" vertical="center"/>
    </xf>
    <xf numFmtId="0" fontId="13" fillId="2" borderId="24" xfId="0" applyFont="1" applyFill="1" applyBorder="1" applyAlignment="1">
      <alignment horizontal="center" vertical="center"/>
    </xf>
    <xf numFmtId="0" fontId="13" fillId="2" borderId="26" xfId="0" applyFont="1" applyFill="1" applyBorder="1" applyAlignment="1">
      <alignment horizontal="center" vertical="center"/>
    </xf>
    <xf numFmtId="0" fontId="25" fillId="2" borderId="26" xfId="0" applyFont="1" applyFill="1" applyBorder="1" applyAlignment="1">
      <alignment horizontal="center" vertical="center"/>
    </xf>
    <xf numFmtId="0" fontId="25" fillId="2" borderId="24" xfId="0" applyFont="1" applyFill="1" applyBorder="1" applyAlignment="1">
      <alignment horizontal="center" vertical="center"/>
    </xf>
    <xf numFmtId="0" fontId="0" fillId="2" borderId="34" xfId="0" applyFont="1" applyFill="1" applyBorder="1" applyAlignment="1">
      <alignment horizontal="center" vertical="center"/>
    </xf>
    <xf numFmtId="0" fontId="0" fillId="2" borderId="24" xfId="0" applyFont="1" applyFill="1" applyBorder="1" applyAlignment="1">
      <alignment horizontal="center" vertical="center"/>
    </xf>
    <xf numFmtId="0" fontId="3" fillId="2" borderId="34" xfId="0" applyFont="1" applyFill="1" applyBorder="1" applyAlignment="1">
      <alignment horizontal="center" vertical="center"/>
    </xf>
    <xf numFmtId="0" fontId="3" fillId="2" borderId="24" xfId="0" applyFont="1" applyFill="1" applyBorder="1" applyAlignment="1">
      <alignment horizontal="center" vertical="center"/>
    </xf>
    <xf numFmtId="0" fontId="0" fillId="2" borderId="26" xfId="0" applyFont="1" applyFill="1" applyBorder="1" applyAlignment="1">
      <alignment horizontal="center" vertical="center"/>
    </xf>
    <xf numFmtId="0" fontId="0" fillId="2" borderId="35" xfId="0" applyFont="1" applyFill="1" applyBorder="1" applyAlignment="1">
      <alignment horizontal="center" vertical="center"/>
    </xf>
    <xf numFmtId="0" fontId="0" fillId="2" borderId="25" xfId="0" applyFont="1" applyFill="1" applyBorder="1" applyAlignment="1">
      <alignment horizontal="center" vertical="center"/>
    </xf>
    <xf numFmtId="0" fontId="0" fillId="2" borderId="31" xfId="0" applyFont="1" applyFill="1" applyBorder="1" applyAlignment="1">
      <alignment horizontal="center" vertical="center"/>
    </xf>
    <xf numFmtId="0" fontId="3" fillId="2" borderId="1" xfId="0" applyFont="1" applyFill="1" applyBorder="1" applyAlignment="1">
      <alignment horizontal="center" vertical="center"/>
    </xf>
    <xf numFmtId="0" fontId="3" fillId="2" borderId="26" xfId="0" applyFont="1" applyFill="1" applyBorder="1" applyAlignment="1">
      <alignment horizontal="center" vertical="center"/>
    </xf>
    <xf numFmtId="0" fontId="0" fillId="2" borderId="1" xfId="0" applyFont="1" applyFill="1" applyBorder="1" applyAlignment="1">
      <alignment horizontal="center" vertical="center"/>
    </xf>
    <xf numFmtId="0" fontId="25" fillId="2" borderId="34" xfId="0" applyFont="1" applyFill="1" applyBorder="1" applyAlignment="1">
      <alignment horizontal="center" vertical="center"/>
    </xf>
    <xf numFmtId="0" fontId="0" fillId="0" borderId="1" xfId="0" applyFont="1" applyFill="1" applyBorder="1" applyAlignment="1">
      <alignment horizontal="center" vertical="center"/>
    </xf>
    <xf numFmtId="0" fontId="0" fillId="0" borderId="24" xfId="0" applyFont="1" applyFill="1" applyBorder="1" applyAlignment="1">
      <alignment horizontal="center" vertical="center"/>
    </xf>
    <xf numFmtId="0" fontId="0" fillId="2" borderId="30" xfId="0" applyFont="1" applyFill="1" applyBorder="1" applyAlignment="1">
      <alignment horizontal="center" vertical="center"/>
    </xf>
    <xf numFmtId="0" fontId="3" fillId="2" borderId="2" xfId="0" applyFont="1" applyFill="1" applyBorder="1" applyAlignment="1">
      <alignment horizontal="center" vertical="center"/>
    </xf>
    <xf numFmtId="0" fontId="0" fillId="0" borderId="2" xfId="0" applyFont="1" applyFill="1" applyBorder="1" applyAlignment="1">
      <alignment horizontal="center" vertical="center"/>
    </xf>
    <xf numFmtId="0" fontId="13" fillId="2" borderId="2" xfId="0" applyFont="1" applyFill="1" applyBorder="1" applyAlignment="1">
      <alignment horizontal="center" vertical="center"/>
    </xf>
    <xf numFmtId="0" fontId="25" fillId="2" borderId="2" xfId="0" applyFont="1" applyFill="1" applyBorder="1" applyAlignment="1">
      <alignment horizontal="center" vertical="center"/>
    </xf>
    <xf numFmtId="0" fontId="2" fillId="2" borderId="2" xfId="0" applyFont="1" applyFill="1" applyBorder="1" applyAlignment="1">
      <alignment horizontal="center" vertical="center"/>
    </xf>
    <xf numFmtId="0" fontId="0" fillId="2" borderId="2" xfId="0" applyFont="1" applyFill="1" applyBorder="1" applyAlignment="1">
      <alignment horizontal="center" vertical="center"/>
    </xf>
    <xf numFmtId="0" fontId="0" fillId="2" borderId="36" xfId="0" applyFont="1" applyFill="1" applyBorder="1" applyAlignment="1">
      <alignment horizontal="center" vertical="center"/>
    </xf>
    <xf numFmtId="0" fontId="19" fillId="2" borderId="25" xfId="0" applyFont="1" applyFill="1" applyBorder="1" applyAlignment="1">
      <alignment horizontal="center" vertical="center" wrapText="1"/>
    </xf>
    <xf numFmtId="0" fontId="19" fillId="2" borderId="30" xfId="0" applyFont="1" applyFill="1" applyBorder="1" applyAlignment="1">
      <alignment horizontal="center" vertical="center" wrapText="1"/>
    </xf>
    <xf numFmtId="0" fontId="19" fillId="2" borderId="31" xfId="0" applyFont="1" applyFill="1" applyBorder="1" applyAlignment="1">
      <alignment horizontal="center" vertical="center" wrapText="1"/>
    </xf>
    <xf numFmtId="0" fontId="19" fillId="2" borderId="35" xfId="0" applyFont="1" applyFill="1" applyBorder="1" applyAlignment="1">
      <alignment horizontal="center" vertical="center" wrapText="1"/>
    </xf>
    <xf numFmtId="0" fontId="19" fillId="2" borderId="36" xfId="0" applyFont="1" applyFill="1" applyBorder="1" applyAlignment="1">
      <alignment horizontal="center" vertical="center" wrapText="1"/>
    </xf>
    <xf numFmtId="0" fontId="3" fillId="2" borderId="25" xfId="0" applyFont="1" applyFill="1" applyBorder="1" applyAlignment="1">
      <alignment horizontal="center" vertical="center"/>
    </xf>
    <xf numFmtId="0" fontId="3" fillId="2" borderId="30" xfId="0" applyFont="1" applyFill="1" applyBorder="1" applyAlignment="1">
      <alignment horizontal="center" vertical="center"/>
    </xf>
    <xf numFmtId="0" fontId="3" fillId="2" borderId="31" xfId="0" applyFont="1" applyFill="1" applyBorder="1" applyAlignment="1">
      <alignment horizontal="center" vertical="center"/>
    </xf>
    <xf numFmtId="0" fontId="21" fillId="0" borderId="1" xfId="0" applyFont="1" applyFill="1" applyBorder="1" applyAlignment="1">
      <alignment horizontal="center" vertical="center" wrapText="1"/>
    </xf>
    <xf numFmtId="0" fontId="21" fillId="2" borderId="7" xfId="0" applyFont="1" applyFill="1" applyBorder="1" applyAlignment="1">
      <alignment horizontal="center" vertical="center" wrapText="1"/>
    </xf>
    <xf numFmtId="0" fontId="21" fillId="38" borderId="2" xfId="0" applyFont="1" applyFill="1" applyBorder="1" applyAlignment="1">
      <alignment vertical="center"/>
    </xf>
    <xf numFmtId="0" fontId="21" fillId="0" borderId="2" xfId="0" applyFont="1" applyFill="1" applyBorder="1" applyAlignment="1">
      <alignment horizontal="center" vertical="center"/>
    </xf>
    <xf numFmtId="0" fontId="3" fillId="2" borderId="36" xfId="0" applyFont="1" applyFill="1" applyBorder="1" applyAlignment="1">
      <alignment horizontal="center" vertical="center"/>
    </xf>
    <xf numFmtId="0" fontId="19" fillId="2" borderId="1" xfId="0" applyFont="1" applyFill="1" applyBorder="1"/>
    <xf numFmtId="0" fontId="19" fillId="2" borderId="1" xfId="0" applyFont="1" applyFill="1" applyBorder="1" applyAlignment="1">
      <alignment horizontal="center" vertical="center"/>
    </xf>
    <xf numFmtId="0" fontId="0" fillId="2" borderId="1" xfId="0" applyFont="1" applyFill="1" applyBorder="1"/>
    <xf numFmtId="0" fontId="0" fillId="39" borderId="0" xfId="0" applyFill="1" applyAlignment="1" applyProtection="1">
      <alignment horizontal="center"/>
    </xf>
    <xf numFmtId="3" fontId="16" fillId="27" borderId="15" xfId="0" applyNumberFormat="1" applyFont="1" applyFill="1" applyBorder="1" applyAlignment="1" applyProtection="1">
      <alignment horizontal="left" vertical="center" wrapText="1"/>
      <protection locked="0"/>
    </xf>
    <xf numFmtId="3" fontId="16" fillId="27" borderId="16" xfId="0" applyNumberFormat="1" applyFont="1" applyFill="1" applyBorder="1" applyAlignment="1" applyProtection="1">
      <alignment horizontal="left" vertical="center" wrapText="1"/>
      <protection locked="0"/>
    </xf>
    <xf numFmtId="3" fontId="16" fillId="27" borderId="17" xfId="0" applyNumberFormat="1" applyFont="1" applyFill="1" applyBorder="1" applyAlignment="1" applyProtection="1">
      <alignment horizontal="left" vertical="center" wrapText="1"/>
      <protection locked="0"/>
    </xf>
    <xf numFmtId="0" fontId="16" fillId="9" borderId="15" xfId="0" applyFont="1" applyFill="1" applyBorder="1" applyAlignment="1" applyProtection="1">
      <alignment horizontal="left" vertical="center" wrapText="1"/>
      <protection locked="0"/>
    </xf>
    <xf numFmtId="0" fontId="16" fillId="9" borderId="17" xfId="0" applyFont="1" applyFill="1" applyBorder="1" applyAlignment="1" applyProtection="1">
      <alignment horizontal="left" vertical="center" wrapText="1"/>
      <protection locked="0"/>
    </xf>
    <xf numFmtId="0" fontId="20" fillId="2" borderId="21" xfId="0" applyFont="1" applyFill="1" applyBorder="1" applyAlignment="1">
      <alignment horizontal="center" vertical="center"/>
    </xf>
    <xf numFmtId="0" fontId="0" fillId="0" borderId="41" xfId="0" applyBorder="1" applyAlignment="1"/>
    <xf numFmtId="0" fontId="0" fillId="0" borderId="7" xfId="0" applyBorder="1" applyAlignment="1"/>
    <xf numFmtId="0" fontId="0" fillId="0" borderId="18" xfId="0" applyBorder="1" applyAlignment="1"/>
    <xf numFmtId="0" fontId="0" fillId="0" borderId="0" xfId="0" applyAlignment="1"/>
    <xf numFmtId="0" fontId="0" fillId="0" borderId="20" xfId="0" applyBorder="1" applyAlignment="1"/>
    <xf numFmtId="0" fontId="0" fillId="0" borderId="22" xfId="0" applyBorder="1" applyAlignment="1"/>
    <xf numFmtId="0" fontId="0" fillId="0" borderId="5" xfId="0" applyBorder="1" applyAlignment="1"/>
    <xf numFmtId="0" fontId="0" fillId="0" borderId="19" xfId="0" applyBorder="1" applyAlignment="1"/>
    <xf numFmtId="0" fontId="21" fillId="38" borderId="1" xfId="0" applyFont="1" applyFill="1" applyBorder="1" applyAlignment="1">
      <alignment horizontal="center" vertical="center" wrapText="1"/>
    </xf>
    <xf numFmtId="0" fontId="21" fillId="38" borderId="2" xfId="0" applyFont="1" applyFill="1" applyBorder="1" applyAlignment="1">
      <alignment horizontal="center" vertical="center" wrapText="1"/>
    </xf>
    <xf numFmtId="0" fontId="21" fillId="2" borderId="7" xfId="0" applyFont="1" applyFill="1" applyBorder="1" applyAlignment="1">
      <alignment horizontal="center" vertical="center" wrapText="1"/>
    </xf>
    <xf numFmtId="0" fontId="21" fillId="2" borderId="20" xfId="0" applyFont="1" applyFill="1" applyBorder="1" applyAlignment="1">
      <alignment horizontal="center" vertical="center" wrapText="1"/>
    </xf>
    <xf numFmtId="0" fontId="21" fillId="2" borderId="19" xfId="0" applyFont="1" applyFill="1" applyBorder="1" applyAlignment="1">
      <alignment horizontal="center" vertical="center" wrapText="1"/>
    </xf>
    <xf numFmtId="0" fontId="19" fillId="0" borderId="20" xfId="0" applyFont="1" applyBorder="1" applyAlignment="1">
      <alignment horizontal="center" vertical="center" wrapText="1"/>
    </xf>
    <xf numFmtId="0" fontId="21" fillId="38" borderId="5" xfId="0" applyFont="1" applyFill="1" applyBorder="1" applyAlignment="1">
      <alignment horizontal="center" vertical="center" wrapText="1"/>
    </xf>
    <xf numFmtId="0" fontId="19" fillId="2" borderId="2" xfId="0" applyFont="1" applyFill="1" applyBorder="1" applyAlignment="1">
      <alignment horizontal="left" wrapText="1"/>
    </xf>
    <xf numFmtId="0" fontId="19" fillId="2" borderId="6" xfId="0" applyFont="1" applyFill="1" applyBorder="1" applyAlignment="1">
      <alignment horizontal="left" wrapText="1"/>
    </xf>
    <xf numFmtId="0" fontId="22" fillId="35" borderId="2" xfId="0" applyFont="1" applyFill="1" applyBorder="1" applyAlignment="1">
      <alignment horizontal="left" vertical="center" wrapText="1"/>
    </xf>
    <xf numFmtId="0" fontId="22" fillId="35" borderId="6" xfId="0" applyFont="1" applyFill="1" applyBorder="1" applyAlignment="1">
      <alignment horizontal="left" vertical="center" wrapText="1"/>
    </xf>
    <xf numFmtId="0" fontId="21" fillId="38" borderId="27" xfId="0" applyFont="1" applyFill="1" applyBorder="1" applyAlignment="1">
      <alignment horizontal="center" vertical="center" wrapText="1"/>
    </xf>
    <xf numFmtId="0" fontId="20" fillId="36" borderId="1" xfId="0" applyFont="1" applyFill="1" applyBorder="1" applyAlignment="1">
      <alignment horizontal="left" vertical="center" wrapText="1"/>
    </xf>
    <xf numFmtId="0" fontId="20" fillId="12" borderId="1" xfId="0" applyFont="1" applyFill="1" applyBorder="1" applyAlignment="1">
      <alignment horizontal="left" vertical="center" wrapText="1"/>
    </xf>
    <xf numFmtId="0" fontId="20" fillId="12" borderId="2" xfId="0" applyFont="1" applyFill="1" applyBorder="1" applyAlignment="1">
      <alignment horizontal="left" vertical="center" wrapText="1"/>
    </xf>
    <xf numFmtId="0" fontId="20" fillId="12" borderId="6" xfId="0" applyFont="1" applyFill="1" applyBorder="1" applyAlignment="1">
      <alignment horizontal="left" vertical="center" wrapText="1"/>
    </xf>
    <xf numFmtId="0" fontId="20" fillId="14" borderId="1" xfId="0" applyFont="1" applyFill="1" applyBorder="1" applyAlignment="1">
      <alignment horizontal="left" vertical="center" wrapText="1"/>
    </xf>
    <xf numFmtId="0" fontId="20" fillId="38" borderId="2" xfId="0" applyFont="1" applyFill="1" applyBorder="1" applyAlignment="1">
      <alignment horizontal="left" vertical="center" wrapText="1"/>
    </xf>
    <xf numFmtId="0" fontId="20" fillId="38" borderId="6" xfId="0" applyFont="1" applyFill="1" applyBorder="1" applyAlignment="1">
      <alignment horizontal="left" vertical="center" wrapText="1"/>
    </xf>
    <xf numFmtId="0" fontId="20" fillId="2" borderId="7" xfId="0" applyFont="1" applyFill="1" applyBorder="1" applyAlignment="1">
      <alignment horizontal="center" vertical="center" wrapText="1"/>
    </xf>
    <xf numFmtId="0" fontId="20" fillId="2" borderId="20" xfId="0" applyFont="1" applyFill="1" applyBorder="1" applyAlignment="1">
      <alignment horizontal="center" vertical="center" wrapText="1"/>
    </xf>
    <xf numFmtId="0" fontId="21" fillId="38" borderId="40" xfId="0" applyFont="1" applyFill="1" applyBorder="1" applyAlignment="1">
      <alignment horizontal="center" vertical="center" wrapText="1"/>
    </xf>
    <xf numFmtId="0" fontId="0" fillId="6" borderId="0" xfId="0" applyFill="1" applyAlignment="1">
      <alignment horizontal="left" wrapText="1"/>
    </xf>
    <xf numFmtId="0" fontId="0" fillId="5" borderId="0" xfId="0" applyFill="1" applyAlignment="1">
      <alignment horizontal="left" wrapText="1"/>
    </xf>
  </cellXfs>
  <cellStyles count="8945">
    <cellStyle name="Hyperlink" xfId="8944" builtinId="8"/>
    <cellStyle name="Hyperlink 2" xfId="1"/>
    <cellStyle name="Normal" xfId="0" builtinId="0"/>
    <cellStyle name="Normal 10" xfId="2"/>
    <cellStyle name="Normal 10 10" xfId="3"/>
    <cellStyle name="Normal 10 11" xfId="4"/>
    <cellStyle name="Normal 10 12" xfId="5"/>
    <cellStyle name="Normal 10 13" xfId="6"/>
    <cellStyle name="Normal 10 14" xfId="7"/>
    <cellStyle name="Normal 10 15" xfId="8"/>
    <cellStyle name="Normal 10 16" xfId="9"/>
    <cellStyle name="Normal 10 17" xfId="10"/>
    <cellStyle name="Normal 10 18" xfId="11"/>
    <cellStyle name="Normal 10 19" xfId="12"/>
    <cellStyle name="Normal 10 2" xfId="13"/>
    <cellStyle name="Normal 10 2 10" xfId="14"/>
    <cellStyle name="Normal 10 2 11" xfId="15"/>
    <cellStyle name="Normal 10 2 12" xfId="16"/>
    <cellStyle name="Normal 10 2 13" xfId="17"/>
    <cellStyle name="Normal 10 2 2" xfId="18"/>
    <cellStyle name="Normal 10 2 3" xfId="19"/>
    <cellStyle name="Normal 10 2 4" xfId="20"/>
    <cellStyle name="Normal 10 2 5" xfId="21"/>
    <cellStyle name="Normal 10 2 6" xfId="22"/>
    <cellStyle name="Normal 10 2 7" xfId="23"/>
    <cellStyle name="Normal 10 2 8" xfId="24"/>
    <cellStyle name="Normal 10 2 9" xfId="25"/>
    <cellStyle name="Normal 10 20" xfId="26"/>
    <cellStyle name="Normal 10 21" xfId="27"/>
    <cellStyle name="Normal 10 22" xfId="28"/>
    <cellStyle name="Normal 10 23" xfId="29"/>
    <cellStyle name="Normal 10 24" xfId="30"/>
    <cellStyle name="Normal 10 25" xfId="31"/>
    <cellStyle name="Normal 10 26" xfId="32"/>
    <cellStyle name="Normal 10 27" xfId="33"/>
    <cellStyle name="Normal 10 28" xfId="34"/>
    <cellStyle name="Normal 10 29" xfId="35"/>
    <cellStyle name="Normal 10 3" xfId="36"/>
    <cellStyle name="Normal 10 3 10" xfId="37"/>
    <cellStyle name="Normal 10 3 11" xfId="38"/>
    <cellStyle name="Normal 10 3 12" xfId="39"/>
    <cellStyle name="Normal 10 3 13" xfId="40"/>
    <cellStyle name="Normal 10 3 2" xfId="41"/>
    <cellStyle name="Normal 10 3 3" xfId="42"/>
    <cellStyle name="Normal 10 3 4" xfId="43"/>
    <cellStyle name="Normal 10 3 5" xfId="44"/>
    <cellStyle name="Normal 10 3 6" xfId="45"/>
    <cellStyle name="Normal 10 3 7" xfId="46"/>
    <cellStyle name="Normal 10 3 8" xfId="47"/>
    <cellStyle name="Normal 10 3 9" xfId="48"/>
    <cellStyle name="Normal 10 30" xfId="49"/>
    <cellStyle name="Normal 10 31" xfId="50"/>
    <cellStyle name="Normal 10 4" xfId="51"/>
    <cellStyle name="Normal 10 4 10" xfId="52"/>
    <cellStyle name="Normal 10 4 11" xfId="53"/>
    <cellStyle name="Normal 10 4 12" xfId="54"/>
    <cellStyle name="Normal 10 4 13" xfId="55"/>
    <cellStyle name="Normal 10 4 2" xfId="56"/>
    <cellStyle name="Normal 10 4 3" xfId="57"/>
    <cellStyle name="Normal 10 4 4" xfId="58"/>
    <cellStyle name="Normal 10 4 5" xfId="59"/>
    <cellStyle name="Normal 10 4 6" xfId="60"/>
    <cellStyle name="Normal 10 4 7" xfId="61"/>
    <cellStyle name="Normal 10 4 8" xfId="62"/>
    <cellStyle name="Normal 10 4 9" xfId="63"/>
    <cellStyle name="Normal 10 5" xfId="64"/>
    <cellStyle name="Normal 10 5 10" xfId="65"/>
    <cellStyle name="Normal 10 5 11" xfId="66"/>
    <cellStyle name="Normal 10 5 12" xfId="67"/>
    <cellStyle name="Normal 10 5 13" xfId="68"/>
    <cellStyle name="Normal 10 5 2" xfId="69"/>
    <cellStyle name="Normal 10 5 3" xfId="70"/>
    <cellStyle name="Normal 10 5 4" xfId="71"/>
    <cellStyle name="Normal 10 5 5" xfId="72"/>
    <cellStyle name="Normal 10 5 6" xfId="73"/>
    <cellStyle name="Normal 10 5 7" xfId="74"/>
    <cellStyle name="Normal 10 5 8" xfId="75"/>
    <cellStyle name="Normal 10 5 9" xfId="76"/>
    <cellStyle name="Normal 10 6" xfId="77"/>
    <cellStyle name="Normal 10 6 10" xfId="78"/>
    <cellStyle name="Normal 10 6 11" xfId="79"/>
    <cellStyle name="Normal 10 6 12" xfId="80"/>
    <cellStyle name="Normal 10 6 13" xfId="81"/>
    <cellStyle name="Normal 10 6 2" xfId="82"/>
    <cellStyle name="Normal 10 6 3" xfId="83"/>
    <cellStyle name="Normal 10 6 4" xfId="84"/>
    <cellStyle name="Normal 10 6 5" xfId="85"/>
    <cellStyle name="Normal 10 6 6" xfId="86"/>
    <cellStyle name="Normal 10 6 7" xfId="87"/>
    <cellStyle name="Normal 10 6 8" xfId="88"/>
    <cellStyle name="Normal 10 6 9" xfId="89"/>
    <cellStyle name="Normal 10 7" xfId="90"/>
    <cellStyle name="Normal 10 7 10" xfId="91"/>
    <cellStyle name="Normal 10 7 11" xfId="92"/>
    <cellStyle name="Normal 10 7 12" xfId="93"/>
    <cellStyle name="Normal 10 7 13" xfId="94"/>
    <cellStyle name="Normal 10 7 2" xfId="95"/>
    <cellStyle name="Normal 10 7 3" xfId="96"/>
    <cellStyle name="Normal 10 7 4" xfId="97"/>
    <cellStyle name="Normal 10 7 5" xfId="98"/>
    <cellStyle name="Normal 10 7 6" xfId="99"/>
    <cellStyle name="Normal 10 7 7" xfId="100"/>
    <cellStyle name="Normal 10 7 8" xfId="101"/>
    <cellStyle name="Normal 10 7 9" xfId="102"/>
    <cellStyle name="Normal 10 8" xfId="103"/>
    <cellStyle name="Normal 10 8 10" xfId="104"/>
    <cellStyle name="Normal 10 8 11" xfId="105"/>
    <cellStyle name="Normal 10 8 12" xfId="106"/>
    <cellStyle name="Normal 10 8 13" xfId="107"/>
    <cellStyle name="Normal 10 8 2" xfId="108"/>
    <cellStyle name="Normal 10 8 3" xfId="109"/>
    <cellStyle name="Normal 10 8 4" xfId="110"/>
    <cellStyle name="Normal 10 8 5" xfId="111"/>
    <cellStyle name="Normal 10 8 6" xfId="112"/>
    <cellStyle name="Normal 10 8 7" xfId="113"/>
    <cellStyle name="Normal 10 8 8" xfId="114"/>
    <cellStyle name="Normal 10 8 9" xfId="115"/>
    <cellStyle name="Normal 10 9" xfId="116"/>
    <cellStyle name="Normal 11" xfId="117"/>
    <cellStyle name="Normal 11 10" xfId="118"/>
    <cellStyle name="Normal 11 11" xfId="119"/>
    <cellStyle name="Normal 11 12" xfId="120"/>
    <cellStyle name="Normal 11 13" xfId="121"/>
    <cellStyle name="Normal 11 14" xfId="122"/>
    <cellStyle name="Normal 11 15" xfId="123"/>
    <cellStyle name="Normal 11 16" xfId="124"/>
    <cellStyle name="Normal 11 17" xfId="125"/>
    <cellStyle name="Normal 11 18" xfId="126"/>
    <cellStyle name="Normal 11 19" xfId="127"/>
    <cellStyle name="Normal 11 2" xfId="128"/>
    <cellStyle name="Normal 11 2 10" xfId="129"/>
    <cellStyle name="Normal 11 2 11" xfId="130"/>
    <cellStyle name="Normal 11 2 12" xfId="131"/>
    <cellStyle name="Normal 11 2 13" xfId="132"/>
    <cellStyle name="Normal 11 2 2" xfId="133"/>
    <cellStyle name="Normal 11 2 3" xfId="134"/>
    <cellStyle name="Normal 11 2 4" xfId="135"/>
    <cellStyle name="Normal 11 2 5" xfId="136"/>
    <cellStyle name="Normal 11 2 6" xfId="137"/>
    <cellStyle name="Normal 11 2 7" xfId="138"/>
    <cellStyle name="Normal 11 2 8" xfId="139"/>
    <cellStyle name="Normal 11 2 9" xfId="140"/>
    <cellStyle name="Normal 11 20" xfId="141"/>
    <cellStyle name="Normal 11 21" xfId="142"/>
    <cellStyle name="Normal 11 22" xfId="143"/>
    <cellStyle name="Normal 11 23" xfId="144"/>
    <cellStyle name="Normal 11 24" xfId="145"/>
    <cellStyle name="Normal 11 25" xfId="146"/>
    <cellStyle name="Normal 11 26" xfId="147"/>
    <cellStyle name="Normal 11 27" xfId="148"/>
    <cellStyle name="Normal 11 28" xfId="149"/>
    <cellStyle name="Normal 11 29" xfId="150"/>
    <cellStyle name="Normal 11 3" xfId="151"/>
    <cellStyle name="Normal 11 3 10" xfId="152"/>
    <cellStyle name="Normal 11 3 11" xfId="153"/>
    <cellStyle name="Normal 11 3 12" xfId="154"/>
    <cellStyle name="Normal 11 3 13" xfId="155"/>
    <cellStyle name="Normal 11 3 2" xfId="156"/>
    <cellStyle name="Normal 11 3 3" xfId="157"/>
    <cellStyle name="Normal 11 3 4" xfId="158"/>
    <cellStyle name="Normal 11 3 5" xfId="159"/>
    <cellStyle name="Normal 11 3 6" xfId="160"/>
    <cellStyle name="Normal 11 3 7" xfId="161"/>
    <cellStyle name="Normal 11 3 8" xfId="162"/>
    <cellStyle name="Normal 11 3 9" xfId="163"/>
    <cellStyle name="Normal 11 30" xfId="164"/>
    <cellStyle name="Normal 11 31" xfId="165"/>
    <cellStyle name="Normal 11 4" xfId="166"/>
    <cellStyle name="Normal 11 4 10" xfId="167"/>
    <cellStyle name="Normal 11 4 11" xfId="168"/>
    <cellStyle name="Normal 11 4 12" xfId="169"/>
    <cellStyle name="Normal 11 4 13" xfId="170"/>
    <cellStyle name="Normal 11 4 2" xfId="171"/>
    <cellStyle name="Normal 11 4 3" xfId="172"/>
    <cellStyle name="Normal 11 4 4" xfId="173"/>
    <cellStyle name="Normal 11 4 5" xfId="174"/>
    <cellStyle name="Normal 11 4 6" xfId="175"/>
    <cellStyle name="Normal 11 4 7" xfId="176"/>
    <cellStyle name="Normal 11 4 8" xfId="177"/>
    <cellStyle name="Normal 11 4 9" xfId="178"/>
    <cellStyle name="Normal 11 5" xfId="179"/>
    <cellStyle name="Normal 11 5 10" xfId="180"/>
    <cellStyle name="Normal 11 5 11" xfId="181"/>
    <cellStyle name="Normal 11 5 12" xfId="182"/>
    <cellStyle name="Normal 11 5 13" xfId="183"/>
    <cellStyle name="Normal 11 5 2" xfId="184"/>
    <cellStyle name="Normal 11 5 3" xfId="185"/>
    <cellStyle name="Normal 11 5 4" xfId="186"/>
    <cellStyle name="Normal 11 5 5" xfId="187"/>
    <cellStyle name="Normal 11 5 6" xfId="188"/>
    <cellStyle name="Normal 11 5 7" xfId="189"/>
    <cellStyle name="Normal 11 5 8" xfId="190"/>
    <cellStyle name="Normal 11 5 9" xfId="191"/>
    <cellStyle name="Normal 11 6" xfId="192"/>
    <cellStyle name="Normal 11 6 10" xfId="193"/>
    <cellStyle name="Normal 11 6 11" xfId="194"/>
    <cellStyle name="Normal 11 6 12" xfId="195"/>
    <cellStyle name="Normal 11 6 13" xfId="196"/>
    <cellStyle name="Normal 11 6 2" xfId="197"/>
    <cellStyle name="Normal 11 6 3" xfId="198"/>
    <cellStyle name="Normal 11 6 4" xfId="199"/>
    <cellStyle name="Normal 11 6 5" xfId="200"/>
    <cellStyle name="Normal 11 6 6" xfId="201"/>
    <cellStyle name="Normal 11 6 7" xfId="202"/>
    <cellStyle name="Normal 11 6 8" xfId="203"/>
    <cellStyle name="Normal 11 6 9" xfId="204"/>
    <cellStyle name="Normal 11 7" xfId="205"/>
    <cellStyle name="Normal 11 7 10" xfId="206"/>
    <cellStyle name="Normal 11 7 11" xfId="207"/>
    <cellStyle name="Normal 11 7 12" xfId="208"/>
    <cellStyle name="Normal 11 7 13" xfId="209"/>
    <cellStyle name="Normal 11 7 2" xfId="210"/>
    <cellStyle name="Normal 11 7 3" xfId="211"/>
    <cellStyle name="Normal 11 7 4" xfId="212"/>
    <cellStyle name="Normal 11 7 5" xfId="213"/>
    <cellStyle name="Normal 11 7 6" xfId="214"/>
    <cellStyle name="Normal 11 7 7" xfId="215"/>
    <cellStyle name="Normal 11 7 8" xfId="216"/>
    <cellStyle name="Normal 11 7 9" xfId="217"/>
    <cellStyle name="Normal 11 8" xfId="218"/>
    <cellStyle name="Normal 11 8 10" xfId="219"/>
    <cellStyle name="Normal 11 8 11" xfId="220"/>
    <cellStyle name="Normal 11 8 12" xfId="221"/>
    <cellStyle name="Normal 11 8 13" xfId="222"/>
    <cellStyle name="Normal 11 8 2" xfId="223"/>
    <cellStyle name="Normal 11 8 3" xfId="224"/>
    <cellStyle name="Normal 11 8 4" xfId="225"/>
    <cellStyle name="Normal 11 8 5" xfId="226"/>
    <cellStyle name="Normal 11 8 6" xfId="227"/>
    <cellStyle name="Normal 11 8 7" xfId="228"/>
    <cellStyle name="Normal 11 8 8" xfId="229"/>
    <cellStyle name="Normal 11 8 9" xfId="230"/>
    <cellStyle name="Normal 11 9" xfId="231"/>
    <cellStyle name="Normal 12" xfId="232"/>
    <cellStyle name="Normal 12 10" xfId="233"/>
    <cellStyle name="Normal 12 11" xfId="234"/>
    <cellStyle name="Normal 12 12" xfId="235"/>
    <cellStyle name="Normal 12 13" xfId="236"/>
    <cellStyle name="Normal 12 14" xfId="237"/>
    <cellStyle name="Normal 12 15" xfId="238"/>
    <cellStyle name="Normal 12 16" xfId="239"/>
    <cellStyle name="Normal 12 17" xfId="240"/>
    <cellStyle name="Normal 12 18" xfId="241"/>
    <cellStyle name="Normal 12 19" xfId="242"/>
    <cellStyle name="Normal 12 2" xfId="243"/>
    <cellStyle name="Normal 12 2 10" xfId="244"/>
    <cellStyle name="Normal 12 2 11" xfId="245"/>
    <cellStyle name="Normal 12 2 12" xfId="246"/>
    <cellStyle name="Normal 12 2 13" xfId="247"/>
    <cellStyle name="Normal 12 2 2" xfId="248"/>
    <cellStyle name="Normal 12 2 3" xfId="249"/>
    <cellStyle name="Normal 12 2 4" xfId="250"/>
    <cellStyle name="Normal 12 2 5" xfId="251"/>
    <cellStyle name="Normal 12 2 6" xfId="252"/>
    <cellStyle name="Normal 12 2 7" xfId="253"/>
    <cellStyle name="Normal 12 2 8" xfId="254"/>
    <cellStyle name="Normal 12 2 9" xfId="255"/>
    <cellStyle name="Normal 12 20" xfId="256"/>
    <cellStyle name="Normal 12 21" xfId="257"/>
    <cellStyle name="Normal 12 22" xfId="258"/>
    <cellStyle name="Normal 12 23" xfId="259"/>
    <cellStyle name="Normal 12 24" xfId="260"/>
    <cellStyle name="Normal 12 25" xfId="261"/>
    <cellStyle name="Normal 12 26" xfId="262"/>
    <cellStyle name="Normal 12 27" xfId="263"/>
    <cellStyle name="Normal 12 28" xfId="264"/>
    <cellStyle name="Normal 12 29" xfId="265"/>
    <cellStyle name="Normal 12 3" xfId="266"/>
    <cellStyle name="Normal 12 3 10" xfId="267"/>
    <cellStyle name="Normal 12 3 11" xfId="268"/>
    <cellStyle name="Normal 12 3 12" xfId="269"/>
    <cellStyle name="Normal 12 3 13" xfId="270"/>
    <cellStyle name="Normal 12 3 2" xfId="271"/>
    <cellStyle name="Normal 12 3 3" xfId="272"/>
    <cellStyle name="Normal 12 3 4" xfId="273"/>
    <cellStyle name="Normal 12 3 5" xfId="274"/>
    <cellStyle name="Normal 12 3 6" xfId="275"/>
    <cellStyle name="Normal 12 3 7" xfId="276"/>
    <cellStyle name="Normal 12 3 8" xfId="277"/>
    <cellStyle name="Normal 12 3 9" xfId="278"/>
    <cellStyle name="Normal 12 30" xfId="279"/>
    <cellStyle name="Normal 12 31" xfId="280"/>
    <cellStyle name="Normal 12 4" xfId="281"/>
    <cellStyle name="Normal 12 4 10" xfId="282"/>
    <cellStyle name="Normal 12 4 11" xfId="283"/>
    <cellStyle name="Normal 12 4 12" xfId="284"/>
    <cellStyle name="Normal 12 4 13" xfId="285"/>
    <cellStyle name="Normal 12 4 2" xfId="286"/>
    <cellStyle name="Normal 12 4 3" xfId="287"/>
    <cellStyle name="Normal 12 4 4" xfId="288"/>
    <cellStyle name="Normal 12 4 5" xfId="289"/>
    <cellStyle name="Normal 12 4 6" xfId="290"/>
    <cellStyle name="Normal 12 4 7" xfId="291"/>
    <cellStyle name="Normal 12 4 8" xfId="292"/>
    <cellStyle name="Normal 12 4 9" xfId="293"/>
    <cellStyle name="Normal 12 5" xfId="294"/>
    <cellStyle name="Normal 12 5 10" xfId="295"/>
    <cellStyle name="Normal 12 5 11" xfId="296"/>
    <cellStyle name="Normal 12 5 12" xfId="297"/>
    <cellStyle name="Normal 12 5 13" xfId="298"/>
    <cellStyle name="Normal 12 5 2" xfId="299"/>
    <cellStyle name="Normal 12 5 3" xfId="300"/>
    <cellStyle name="Normal 12 5 4" xfId="301"/>
    <cellStyle name="Normal 12 5 5" xfId="302"/>
    <cellStyle name="Normal 12 5 6" xfId="303"/>
    <cellStyle name="Normal 12 5 7" xfId="304"/>
    <cellStyle name="Normal 12 5 8" xfId="305"/>
    <cellStyle name="Normal 12 5 9" xfId="306"/>
    <cellStyle name="Normal 12 6" xfId="307"/>
    <cellStyle name="Normal 12 6 10" xfId="308"/>
    <cellStyle name="Normal 12 6 11" xfId="309"/>
    <cellStyle name="Normal 12 6 12" xfId="310"/>
    <cellStyle name="Normal 12 6 13" xfId="311"/>
    <cellStyle name="Normal 12 6 2" xfId="312"/>
    <cellStyle name="Normal 12 6 3" xfId="313"/>
    <cellStyle name="Normal 12 6 4" xfId="314"/>
    <cellStyle name="Normal 12 6 5" xfId="315"/>
    <cellStyle name="Normal 12 6 6" xfId="316"/>
    <cellStyle name="Normal 12 6 7" xfId="317"/>
    <cellStyle name="Normal 12 6 8" xfId="318"/>
    <cellStyle name="Normal 12 6 9" xfId="319"/>
    <cellStyle name="Normal 12 7" xfId="320"/>
    <cellStyle name="Normal 12 7 10" xfId="321"/>
    <cellStyle name="Normal 12 7 11" xfId="322"/>
    <cellStyle name="Normal 12 7 12" xfId="323"/>
    <cellStyle name="Normal 12 7 13" xfId="324"/>
    <cellStyle name="Normal 12 7 2" xfId="325"/>
    <cellStyle name="Normal 12 7 3" xfId="326"/>
    <cellStyle name="Normal 12 7 4" xfId="327"/>
    <cellStyle name="Normal 12 7 5" xfId="328"/>
    <cellStyle name="Normal 12 7 6" xfId="329"/>
    <cellStyle name="Normal 12 7 7" xfId="330"/>
    <cellStyle name="Normal 12 7 8" xfId="331"/>
    <cellStyle name="Normal 12 7 9" xfId="332"/>
    <cellStyle name="Normal 12 8" xfId="333"/>
    <cellStyle name="Normal 12 8 10" xfId="334"/>
    <cellStyle name="Normal 12 8 11" xfId="335"/>
    <cellStyle name="Normal 12 8 12" xfId="336"/>
    <cellStyle name="Normal 12 8 13" xfId="337"/>
    <cellStyle name="Normal 12 8 2" xfId="338"/>
    <cellStyle name="Normal 12 8 3" xfId="339"/>
    <cellStyle name="Normal 12 8 4" xfId="340"/>
    <cellStyle name="Normal 12 8 5" xfId="341"/>
    <cellStyle name="Normal 12 8 6" xfId="342"/>
    <cellStyle name="Normal 12 8 7" xfId="343"/>
    <cellStyle name="Normal 12 8 8" xfId="344"/>
    <cellStyle name="Normal 12 8 9" xfId="345"/>
    <cellStyle name="Normal 12 9" xfId="346"/>
    <cellStyle name="Normal 13" xfId="347"/>
    <cellStyle name="Normal 13 10" xfId="348"/>
    <cellStyle name="Normal 13 11" xfId="349"/>
    <cellStyle name="Normal 13 12" xfId="350"/>
    <cellStyle name="Normal 13 13" xfId="351"/>
    <cellStyle name="Normal 13 14" xfId="352"/>
    <cellStyle name="Normal 13 15" xfId="353"/>
    <cellStyle name="Normal 13 16" xfId="354"/>
    <cellStyle name="Normal 13 17" xfId="355"/>
    <cellStyle name="Normal 13 18" xfId="356"/>
    <cellStyle name="Normal 13 19" xfId="357"/>
    <cellStyle name="Normal 13 2" xfId="358"/>
    <cellStyle name="Normal 13 2 10" xfId="359"/>
    <cellStyle name="Normal 13 2 11" xfId="360"/>
    <cellStyle name="Normal 13 2 12" xfId="361"/>
    <cellStyle name="Normal 13 2 13" xfId="362"/>
    <cellStyle name="Normal 13 2 2" xfId="363"/>
    <cellStyle name="Normal 13 2 3" xfId="364"/>
    <cellStyle name="Normal 13 2 4" xfId="365"/>
    <cellStyle name="Normal 13 2 5" xfId="366"/>
    <cellStyle name="Normal 13 2 6" xfId="367"/>
    <cellStyle name="Normal 13 2 7" xfId="368"/>
    <cellStyle name="Normal 13 2 8" xfId="369"/>
    <cellStyle name="Normal 13 2 9" xfId="370"/>
    <cellStyle name="Normal 13 20" xfId="371"/>
    <cellStyle name="Normal 13 21" xfId="372"/>
    <cellStyle name="Normal 13 22" xfId="373"/>
    <cellStyle name="Normal 13 23" xfId="374"/>
    <cellStyle name="Normal 13 24" xfId="375"/>
    <cellStyle name="Normal 13 25" xfId="376"/>
    <cellStyle name="Normal 13 26" xfId="377"/>
    <cellStyle name="Normal 13 27" xfId="378"/>
    <cellStyle name="Normal 13 28" xfId="379"/>
    <cellStyle name="Normal 13 29" xfId="380"/>
    <cellStyle name="Normal 13 3" xfId="381"/>
    <cellStyle name="Normal 13 3 10" xfId="382"/>
    <cellStyle name="Normal 13 3 11" xfId="383"/>
    <cellStyle name="Normal 13 3 12" xfId="384"/>
    <cellStyle name="Normal 13 3 13" xfId="385"/>
    <cellStyle name="Normal 13 3 2" xfId="386"/>
    <cellStyle name="Normal 13 3 3" xfId="387"/>
    <cellStyle name="Normal 13 3 4" xfId="388"/>
    <cellStyle name="Normal 13 3 5" xfId="389"/>
    <cellStyle name="Normal 13 3 6" xfId="390"/>
    <cellStyle name="Normal 13 3 7" xfId="391"/>
    <cellStyle name="Normal 13 3 8" xfId="392"/>
    <cellStyle name="Normal 13 3 9" xfId="393"/>
    <cellStyle name="Normal 13 30" xfId="394"/>
    <cellStyle name="Normal 13 31" xfId="395"/>
    <cellStyle name="Normal 13 4" xfId="396"/>
    <cellStyle name="Normal 13 4 10" xfId="397"/>
    <cellStyle name="Normal 13 4 11" xfId="398"/>
    <cellStyle name="Normal 13 4 12" xfId="399"/>
    <cellStyle name="Normal 13 4 13" xfId="400"/>
    <cellStyle name="Normal 13 4 2" xfId="401"/>
    <cellStyle name="Normal 13 4 3" xfId="402"/>
    <cellStyle name="Normal 13 4 4" xfId="403"/>
    <cellStyle name="Normal 13 4 5" xfId="404"/>
    <cellStyle name="Normal 13 4 6" xfId="405"/>
    <cellStyle name="Normal 13 4 7" xfId="406"/>
    <cellStyle name="Normal 13 4 8" xfId="407"/>
    <cellStyle name="Normal 13 4 9" xfId="408"/>
    <cellStyle name="Normal 13 5" xfId="409"/>
    <cellStyle name="Normal 13 5 10" xfId="410"/>
    <cellStyle name="Normal 13 5 11" xfId="411"/>
    <cellStyle name="Normal 13 5 12" xfId="412"/>
    <cellStyle name="Normal 13 5 13" xfId="413"/>
    <cellStyle name="Normal 13 5 2" xfId="414"/>
    <cellStyle name="Normal 13 5 3" xfId="415"/>
    <cellStyle name="Normal 13 5 4" xfId="416"/>
    <cellStyle name="Normal 13 5 5" xfId="417"/>
    <cellStyle name="Normal 13 5 6" xfId="418"/>
    <cellStyle name="Normal 13 5 7" xfId="419"/>
    <cellStyle name="Normal 13 5 8" xfId="420"/>
    <cellStyle name="Normal 13 5 9" xfId="421"/>
    <cellStyle name="Normal 13 6" xfId="422"/>
    <cellStyle name="Normal 13 6 10" xfId="423"/>
    <cellStyle name="Normal 13 6 11" xfId="424"/>
    <cellStyle name="Normal 13 6 12" xfId="425"/>
    <cellStyle name="Normal 13 6 13" xfId="426"/>
    <cellStyle name="Normal 13 6 2" xfId="427"/>
    <cellStyle name="Normal 13 6 3" xfId="428"/>
    <cellStyle name="Normal 13 6 4" xfId="429"/>
    <cellStyle name="Normal 13 6 5" xfId="430"/>
    <cellStyle name="Normal 13 6 6" xfId="431"/>
    <cellStyle name="Normal 13 6 7" xfId="432"/>
    <cellStyle name="Normal 13 6 8" xfId="433"/>
    <cellStyle name="Normal 13 6 9" xfId="434"/>
    <cellStyle name="Normal 13 7" xfId="435"/>
    <cellStyle name="Normal 13 7 10" xfId="436"/>
    <cellStyle name="Normal 13 7 11" xfId="437"/>
    <cellStyle name="Normal 13 7 12" xfId="438"/>
    <cellStyle name="Normal 13 7 13" xfId="439"/>
    <cellStyle name="Normal 13 7 2" xfId="440"/>
    <cellStyle name="Normal 13 7 3" xfId="441"/>
    <cellStyle name="Normal 13 7 4" xfId="442"/>
    <cellStyle name="Normal 13 7 5" xfId="443"/>
    <cellStyle name="Normal 13 7 6" xfId="444"/>
    <cellStyle name="Normal 13 7 7" xfId="445"/>
    <cellStyle name="Normal 13 7 8" xfId="446"/>
    <cellStyle name="Normal 13 7 9" xfId="447"/>
    <cellStyle name="Normal 13 8" xfId="448"/>
    <cellStyle name="Normal 13 8 10" xfId="449"/>
    <cellStyle name="Normal 13 8 11" xfId="450"/>
    <cellStyle name="Normal 13 8 12" xfId="451"/>
    <cellStyle name="Normal 13 8 13" xfId="452"/>
    <cellStyle name="Normal 13 8 2" xfId="453"/>
    <cellStyle name="Normal 13 8 3" xfId="454"/>
    <cellStyle name="Normal 13 8 4" xfId="455"/>
    <cellStyle name="Normal 13 8 5" xfId="456"/>
    <cellStyle name="Normal 13 8 6" xfId="457"/>
    <cellStyle name="Normal 13 8 7" xfId="458"/>
    <cellStyle name="Normal 13 8 8" xfId="459"/>
    <cellStyle name="Normal 13 8 9" xfId="460"/>
    <cellStyle name="Normal 13 9" xfId="461"/>
    <cellStyle name="Normal 14" xfId="462"/>
    <cellStyle name="Normal 14 10" xfId="463"/>
    <cellStyle name="Normal 14 11" xfId="464"/>
    <cellStyle name="Normal 14 12" xfId="465"/>
    <cellStyle name="Normal 14 13" xfId="466"/>
    <cellStyle name="Normal 14 14" xfId="467"/>
    <cellStyle name="Normal 14 15" xfId="468"/>
    <cellStyle name="Normal 14 16" xfId="469"/>
    <cellStyle name="Normal 14 17" xfId="470"/>
    <cellStyle name="Normal 14 18" xfId="471"/>
    <cellStyle name="Normal 14 19" xfId="472"/>
    <cellStyle name="Normal 14 2" xfId="473"/>
    <cellStyle name="Normal 14 2 10" xfId="474"/>
    <cellStyle name="Normal 14 2 11" xfId="475"/>
    <cellStyle name="Normal 14 2 12" xfId="476"/>
    <cellStyle name="Normal 14 2 13" xfId="477"/>
    <cellStyle name="Normal 14 2 2" xfId="478"/>
    <cellStyle name="Normal 14 2 3" xfId="479"/>
    <cellStyle name="Normal 14 2 4" xfId="480"/>
    <cellStyle name="Normal 14 2 5" xfId="481"/>
    <cellStyle name="Normal 14 2 6" xfId="482"/>
    <cellStyle name="Normal 14 2 7" xfId="483"/>
    <cellStyle name="Normal 14 2 8" xfId="484"/>
    <cellStyle name="Normal 14 2 9" xfId="485"/>
    <cellStyle name="Normal 14 20" xfId="486"/>
    <cellStyle name="Normal 14 21" xfId="487"/>
    <cellStyle name="Normal 14 22" xfId="488"/>
    <cellStyle name="Normal 14 23" xfId="489"/>
    <cellStyle name="Normal 14 24" xfId="490"/>
    <cellStyle name="Normal 14 25" xfId="491"/>
    <cellStyle name="Normal 14 26" xfId="492"/>
    <cellStyle name="Normal 14 27" xfId="493"/>
    <cellStyle name="Normal 14 28" xfId="494"/>
    <cellStyle name="Normal 14 29" xfId="495"/>
    <cellStyle name="Normal 14 3" xfId="496"/>
    <cellStyle name="Normal 14 3 10" xfId="497"/>
    <cellStyle name="Normal 14 3 11" xfId="498"/>
    <cellStyle name="Normal 14 3 12" xfId="499"/>
    <cellStyle name="Normal 14 3 13" xfId="500"/>
    <cellStyle name="Normal 14 3 2" xfId="501"/>
    <cellStyle name="Normal 14 3 3" xfId="502"/>
    <cellStyle name="Normal 14 3 4" xfId="503"/>
    <cellStyle name="Normal 14 3 5" xfId="504"/>
    <cellStyle name="Normal 14 3 6" xfId="505"/>
    <cellStyle name="Normal 14 3 7" xfId="506"/>
    <cellStyle name="Normal 14 3 8" xfId="507"/>
    <cellStyle name="Normal 14 3 9" xfId="508"/>
    <cellStyle name="Normal 14 30" xfId="509"/>
    <cellStyle name="Normal 14 31" xfId="510"/>
    <cellStyle name="Normal 14 4" xfId="511"/>
    <cellStyle name="Normal 14 4 10" xfId="512"/>
    <cellStyle name="Normal 14 4 11" xfId="513"/>
    <cellStyle name="Normal 14 4 12" xfId="514"/>
    <cellStyle name="Normal 14 4 13" xfId="515"/>
    <cellStyle name="Normal 14 4 2" xfId="516"/>
    <cellStyle name="Normal 14 4 3" xfId="517"/>
    <cellStyle name="Normal 14 4 4" xfId="518"/>
    <cellStyle name="Normal 14 4 5" xfId="519"/>
    <cellStyle name="Normal 14 4 6" xfId="520"/>
    <cellStyle name="Normal 14 4 7" xfId="521"/>
    <cellStyle name="Normal 14 4 8" xfId="522"/>
    <cellStyle name="Normal 14 4 9" xfId="523"/>
    <cellStyle name="Normal 14 5" xfId="524"/>
    <cellStyle name="Normal 14 5 10" xfId="525"/>
    <cellStyle name="Normal 14 5 11" xfId="526"/>
    <cellStyle name="Normal 14 5 12" xfId="527"/>
    <cellStyle name="Normal 14 5 13" xfId="528"/>
    <cellStyle name="Normal 14 5 2" xfId="529"/>
    <cellStyle name="Normal 14 5 3" xfId="530"/>
    <cellStyle name="Normal 14 5 4" xfId="531"/>
    <cellStyle name="Normal 14 5 5" xfId="532"/>
    <cellStyle name="Normal 14 5 6" xfId="533"/>
    <cellStyle name="Normal 14 5 7" xfId="534"/>
    <cellStyle name="Normal 14 5 8" xfId="535"/>
    <cellStyle name="Normal 14 5 9" xfId="536"/>
    <cellStyle name="Normal 14 6" xfId="537"/>
    <cellStyle name="Normal 14 6 10" xfId="538"/>
    <cellStyle name="Normal 14 6 11" xfId="539"/>
    <cellStyle name="Normal 14 6 12" xfId="540"/>
    <cellStyle name="Normal 14 6 13" xfId="541"/>
    <cellStyle name="Normal 14 6 2" xfId="542"/>
    <cellStyle name="Normal 14 6 3" xfId="543"/>
    <cellStyle name="Normal 14 6 4" xfId="544"/>
    <cellStyle name="Normal 14 6 5" xfId="545"/>
    <cellStyle name="Normal 14 6 6" xfId="546"/>
    <cellStyle name="Normal 14 6 7" xfId="547"/>
    <cellStyle name="Normal 14 6 8" xfId="548"/>
    <cellStyle name="Normal 14 6 9" xfId="549"/>
    <cellStyle name="Normal 14 7" xfId="550"/>
    <cellStyle name="Normal 14 7 10" xfId="551"/>
    <cellStyle name="Normal 14 7 11" xfId="552"/>
    <cellStyle name="Normal 14 7 12" xfId="553"/>
    <cellStyle name="Normal 14 7 13" xfId="554"/>
    <cellStyle name="Normal 14 7 2" xfId="555"/>
    <cellStyle name="Normal 14 7 3" xfId="556"/>
    <cellStyle name="Normal 14 7 4" xfId="557"/>
    <cellStyle name="Normal 14 7 5" xfId="558"/>
    <cellStyle name="Normal 14 7 6" xfId="559"/>
    <cellStyle name="Normal 14 7 7" xfId="560"/>
    <cellStyle name="Normal 14 7 8" xfId="561"/>
    <cellStyle name="Normal 14 7 9" xfId="562"/>
    <cellStyle name="Normal 14 8" xfId="563"/>
    <cellStyle name="Normal 14 8 10" xfId="564"/>
    <cellStyle name="Normal 14 8 11" xfId="565"/>
    <cellStyle name="Normal 14 8 12" xfId="566"/>
    <cellStyle name="Normal 14 8 13" xfId="567"/>
    <cellStyle name="Normal 14 8 2" xfId="568"/>
    <cellStyle name="Normal 14 8 3" xfId="569"/>
    <cellStyle name="Normal 14 8 4" xfId="570"/>
    <cellStyle name="Normal 14 8 5" xfId="571"/>
    <cellStyle name="Normal 14 8 6" xfId="572"/>
    <cellStyle name="Normal 14 8 7" xfId="573"/>
    <cellStyle name="Normal 14 8 8" xfId="574"/>
    <cellStyle name="Normal 14 8 9" xfId="575"/>
    <cellStyle name="Normal 14 9" xfId="576"/>
    <cellStyle name="Normal 15" xfId="577"/>
    <cellStyle name="Normal 15 10" xfId="578"/>
    <cellStyle name="Normal 15 11" xfId="579"/>
    <cellStyle name="Normal 15 12" xfId="580"/>
    <cellStyle name="Normal 15 13" xfId="581"/>
    <cellStyle name="Normal 15 14" xfId="582"/>
    <cellStyle name="Normal 15 15" xfId="583"/>
    <cellStyle name="Normal 15 16" xfId="584"/>
    <cellStyle name="Normal 15 17" xfId="585"/>
    <cellStyle name="Normal 15 18" xfId="586"/>
    <cellStyle name="Normal 15 19" xfId="587"/>
    <cellStyle name="Normal 15 2" xfId="588"/>
    <cellStyle name="Normal 15 2 10" xfId="589"/>
    <cellStyle name="Normal 15 2 11" xfId="590"/>
    <cellStyle name="Normal 15 2 12" xfId="591"/>
    <cellStyle name="Normal 15 2 13" xfId="592"/>
    <cellStyle name="Normal 15 2 2" xfId="593"/>
    <cellStyle name="Normal 15 2 3" xfId="594"/>
    <cellStyle name="Normal 15 2 4" xfId="595"/>
    <cellStyle name="Normal 15 2 5" xfId="596"/>
    <cellStyle name="Normal 15 2 6" xfId="597"/>
    <cellStyle name="Normal 15 2 7" xfId="598"/>
    <cellStyle name="Normal 15 2 8" xfId="599"/>
    <cellStyle name="Normal 15 2 9" xfId="600"/>
    <cellStyle name="Normal 15 20" xfId="601"/>
    <cellStyle name="Normal 15 21" xfId="602"/>
    <cellStyle name="Normal 15 22" xfId="603"/>
    <cellStyle name="Normal 15 23" xfId="604"/>
    <cellStyle name="Normal 15 24" xfId="605"/>
    <cellStyle name="Normal 15 25" xfId="606"/>
    <cellStyle name="Normal 15 26" xfId="607"/>
    <cellStyle name="Normal 15 27" xfId="608"/>
    <cellStyle name="Normal 15 28" xfId="609"/>
    <cellStyle name="Normal 15 29" xfId="610"/>
    <cellStyle name="Normal 15 3" xfId="611"/>
    <cellStyle name="Normal 15 3 10" xfId="612"/>
    <cellStyle name="Normal 15 3 11" xfId="613"/>
    <cellStyle name="Normal 15 3 12" xfId="614"/>
    <cellStyle name="Normal 15 3 13" xfId="615"/>
    <cellStyle name="Normal 15 3 2" xfId="616"/>
    <cellStyle name="Normal 15 3 3" xfId="617"/>
    <cellStyle name="Normal 15 3 4" xfId="618"/>
    <cellStyle name="Normal 15 3 5" xfId="619"/>
    <cellStyle name="Normal 15 3 6" xfId="620"/>
    <cellStyle name="Normal 15 3 7" xfId="621"/>
    <cellStyle name="Normal 15 3 8" xfId="622"/>
    <cellStyle name="Normal 15 3 9" xfId="623"/>
    <cellStyle name="Normal 15 30" xfId="624"/>
    <cellStyle name="Normal 15 31" xfId="625"/>
    <cellStyle name="Normal 15 4" xfId="626"/>
    <cellStyle name="Normal 15 4 10" xfId="627"/>
    <cellStyle name="Normal 15 4 11" xfId="628"/>
    <cellStyle name="Normal 15 4 12" xfId="629"/>
    <cellStyle name="Normal 15 4 13" xfId="630"/>
    <cellStyle name="Normal 15 4 2" xfId="631"/>
    <cellStyle name="Normal 15 4 3" xfId="632"/>
    <cellStyle name="Normal 15 4 4" xfId="633"/>
    <cellStyle name="Normal 15 4 5" xfId="634"/>
    <cellStyle name="Normal 15 4 6" xfId="635"/>
    <cellStyle name="Normal 15 4 7" xfId="636"/>
    <cellStyle name="Normal 15 4 8" xfId="637"/>
    <cellStyle name="Normal 15 4 9" xfId="638"/>
    <cellStyle name="Normal 15 5" xfId="639"/>
    <cellStyle name="Normal 15 5 10" xfId="640"/>
    <cellStyle name="Normal 15 5 11" xfId="641"/>
    <cellStyle name="Normal 15 5 12" xfId="642"/>
    <cellStyle name="Normal 15 5 13" xfId="643"/>
    <cellStyle name="Normal 15 5 2" xfId="644"/>
    <cellStyle name="Normal 15 5 3" xfId="645"/>
    <cellStyle name="Normal 15 5 4" xfId="646"/>
    <cellStyle name="Normal 15 5 5" xfId="647"/>
    <cellStyle name="Normal 15 5 6" xfId="648"/>
    <cellStyle name="Normal 15 5 7" xfId="649"/>
    <cellStyle name="Normal 15 5 8" xfId="650"/>
    <cellStyle name="Normal 15 5 9" xfId="651"/>
    <cellStyle name="Normal 15 6" xfId="652"/>
    <cellStyle name="Normal 15 6 10" xfId="653"/>
    <cellStyle name="Normal 15 6 11" xfId="654"/>
    <cellStyle name="Normal 15 6 12" xfId="655"/>
    <cellStyle name="Normal 15 6 13" xfId="656"/>
    <cellStyle name="Normal 15 6 2" xfId="657"/>
    <cellStyle name="Normal 15 6 3" xfId="658"/>
    <cellStyle name="Normal 15 6 4" xfId="659"/>
    <cellStyle name="Normal 15 6 5" xfId="660"/>
    <cellStyle name="Normal 15 6 6" xfId="661"/>
    <cellStyle name="Normal 15 6 7" xfId="662"/>
    <cellStyle name="Normal 15 6 8" xfId="663"/>
    <cellStyle name="Normal 15 6 9" xfId="664"/>
    <cellStyle name="Normal 15 7" xfId="665"/>
    <cellStyle name="Normal 15 7 10" xfId="666"/>
    <cellStyle name="Normal 15 7 11" xfId="667"/>
    <cellStyle name="Normal 15 7 12" xfId="668"/>
    <cellStyle name="Normal 15 7 13" xfId="669"/>
    <cellStyle name="Normal 15 7 2" xfId="670"/>
    <cellStyle name="Normal 15 7 3" xfId="671"/>
    <cellStyle name="Normal 15 7 4" xfId="672"/>
    <cellStyle name="Normal 15 7 5" xfId="673"/>
    <cellStyle name="Normal 15 7 6" xfId="674"/>
    <cellStyle name="Normal 15 7 7" xfId="675"/>
    <cellStyle name="Normal 15 7 8" xfId="676"/>
    <cellStyle name="Normal 15 7 9" xfId="677"/>
    <cellStyle name="Normal 15 8" xfId="678"/>
    <cellStyle name="Normal 15 8 10" xfId="679"/>
    <cellStyle name="Normal 15 8 11" xfId="680"/>
    <cellStyle name="Normal 15 8 12" xfId="681"/>
    <cellStyle name="Normal 15 8 13" xfId="682"/>
    <cellStyle name="Normal 15 8 2" xfId="683"/>
    <cellStyle name="Normal 15 8 3" xfId="684"/>
    <cellStyle name="Normal 15 8 4" xfId="685"/>
    <cellStyle name="Normal 15 8 5" xfId="686"/>
    <cellStyle name="Normal 15 8 6" xfId="687"/>
    <cellStyle name="Normal 15 8 7" xfId="688"/>
    <cellStyle name="Normal 15 8 8" xfId="689"/>
    <cellStyle name="Normal 15 8 9" xfId="690"/>
    <cellStyle name="Normal 15 9" xfId="691"/>
    <cellStyle name="Normal 16" xfId="692"/>
    <cellStyle name="Normal 16 10" xfId="693"/>
    <cellStyle name="Normal 16 11" xfId="694"/>
    <cellStyle name="Normal 16 12" xfId="695"/>
    <cellStyle name="Normal 16 13" xfId="696"/>
    <cellStyle name="Normal 16 14" xfId="697"/>
    <cellStyle name="Normal 16 15" xfId="698"/>
    <cellStyle name="Normal 16 16" xfId="699"/>
    <cellStyle name="Normal 16 17" xfId="700"/>
    <cellStyle name="Normal 16 18" xfId="701"/>
    <cellStyle name="Normal 16 19" xfId="702"/>
    <cellStyle name="Normal 16 2" xfId="703"/>
    <cellStyle name="Normal 16 2 10" xfId="704"/>
    <cellStyle name="Normal 16 2 11" xfId="705"/>
    <cellStyle name="Normal 16 2 12" xfId="706"/>
    <cellStyle name="Normal 16 2 13" xfId="707"/>
    <cellStyle name="Normal 16 2 2" xfId="708"/>
    <cellStyle name="Normal 16 2 3" xfId="709"/>
    <cellStyle name="Normal 16 2 4" xfId="710"/>
    <cellStyle name="Normal 16 2 5" xfId="711"/>
    <cellStyle name="Normal 16 2 6" xfId="712"/>
    <cellStyle name="Normal 16 2 7" xfId="713"/>
    <cellStyle name="Normal 16 2 8" xfId="714"/>
    <cellStyle name="Normal 16 2 9" xfId="715"/>
    <cellStyle name="Normal 16 20" xfId="716"/>
    <cellStyle name="Normal 16 21" xfId="717"/>
    <cellStyle name="Normal 16 22" xfId="718"/>
    <cellStyle name="Normal 16 23" xfId="719"/>
    <cellStyle name="Normal 16 24" xfId="720"/>
    <cellStyle name="Normal 16 25" xfId="721"/>
    <cellStyle name="Normal 16 26" xfId="722"/>
    <cellStyle name="Normal 16 27" xfId="723"/>
    <cellStyle name="Normal 16 28" xfId="724"/>
    <cellStyle name="Normal 16 29" xfId="725"/>
    <cellStyle name="Normal 16 3" xfId="726"/>
    <cellStyle name="Normal 16 3 10" xfId="727"/>
    <cellStyle name="Normal 16 3 11" xfId="728"/>
    <cellStyle name="Normal 16 3 12" xfId="729"/>
    <cellStyle name="Normal 16 3 13" xfId="730"/>
    <cellStyle name="Normal 16 3 2" xfId="731"/>
    <cellStyle name="Normal 16 3 3" xfId="732"/>
    <cellStyle name="Normal 16 3 4" xfId="733"/>
    <cellStyle name="Normal 16 3 5" xfId="734"/>
    <cellStyle name="Normal 16 3 6" xfId="735"/>
    <cellStyle name="Normal 16 3 7" xfId="736"/>
    <cellStyle name="Normal 16 3 8" xfId="737"/>
    <cellStyle name="Normal 16 3 9" xfId="738"/>
    <cellStyle name="Normal 16 30" xfId="739"/>
    <cellStyle name="Normal 16 31" xfId="740"/>
    <cellStyle name="Normal 16 4" xfId="741"/>
    <cellStyle name="Normal 16 4 10" xfId="742"/>
    <cellStyle name="Normal 16 4 11" xfId="743"/>
    <cellStyle name="Normal 16 4 12" xfId="744"/>
    <cellStyle name="Normal 16 4 13" xfId="745"/>
    <cellStyle name="Normal 16 4 2" xfId="746"/>
    <cellStyle name="Normal 16 4 3" xfId="747"/>
    <cellStyle name="Normal 16 4 4" xfId="748"/>
    <cellStyle name="Normal 16 4 5" xfId="749"/>
    <cellStyle name="Normal 16 4 6" xfId="750"/>
    <cellStyle name="Normal 16 4 7" xfId="751"/>
    <cellStyle name="Normal 16 4 8" xfId="752"/>
    <cellStyle name="Normal 16 4 9" xfId="753"/>
    <cellStyle name="Normal 16 5" xfId="754"/>
    <cellStyle name="Normal 16 5 10" xfId="755"/>
    <cellStyle name="Normal 16 5 11" xfId="756"/>
    <cellStyle name="Normal 16 5 12" xfId="757"/>
    <cellStyle name="Normal 16 5 13" xfId="758"/>
    <cellStyle name="Normal 16 5 2" xfId="759"/>
    <cellStyle name="Normal 16 5 3" xfId="760"/>
    <cellStyle name="Normal 16 5 4" xfId="761"/>
    <cellStyle name="Normal 16 5 5" xfId="762"/>
    <cellStyle name="Normal 16 5 6" xfId="763"/>
    <cellStyle name="Normal 16 5 7" xfId="764"/>
    <cellStyle name="Normal 16 5 8" xfId="765"/>
    <cellStyle name="Normal 16 5 9" xfId="766"/>
    <cellStyle name="Normal 16 6" xfId="767"/>
    <cellStyle name="Normal 16 6 10" xfId="768"/>
    <cellStyle name="Normal 16 6 11" xfId="769"/>
    <cellStyle name="Normal 16 6 12" xfId="770"/>
    <cellStyle name="Normal 16 6 13" xfId="771"/>
    <cellStyle name="Normal 16 6 2" xfId="772"/>
    <cellStyle name="Normal 16 6 3" xfId="773"/>
    <cellStyle name="Normal 16 6 4" xfId="774"/>
    <cellStyle name="Normal 16 6 5" xfId="775"/>
    <cellStyle name="Normal 16 6 6" xfId="776"/>
    <cellStyle name="Normal 16 6 7" xfId="777"/>
    <cellStyle name="Normal 16 6 8" xfId="778"/>
    <cellStyle name="Normal 16 6 9" xfId="779"/>
    <cellStyle name="Normal 16 7" xfId="780"/>
    <cellStyle name="Normal 16 7 10" xfId="781"/>
    <cellStyle name="Normal 16 7 11" xfId="782"/>
    <cellStyle name="Normal 16 7 12" xfId="783"/>
    <cellStyle name="Normal 16 7 13" xfId="784"/>
    <cellStyle name="Normal 16 7 2" xfId="785"/>
    <cellStyle name="Normal 16 7 3" xfId="786"/>
    <cellStyle name="Normal 16 7 4" xfId="787"/>
    <cellStyle name="Normal 16 7 5" xfId="788"/>
    <cellStyle name="Normal 16 7 6" xfId="789"/>
    <cellStyle name="Normal 16 7 7" xfId="790"/>
    <cellStyle name="Normal 16 7 8" xfId="791"/>
    <cellStyle name="Normal 16 7 9" xfId="792"/>
    <cellStyle name="Normal 16 8" xfId="793"/>
    <cellStyle name="Normal 16 8 10" xfId="794"/>
    <cellStyle name="Normal 16 8 11" xfId="795"/>
    <cellStyle name="Normal 16 8 12" xfId="796"/>
    <cellStyle name="Normal 16 8 13" xfId="797"/>
    <cellStyle name="Normal 16 8 2" xfId="798"/>
    <cellStyle name="Normal 16 8 3" xfId="799"/>
    <cellStyle name="Normal 16 8 4" xfId="800"/>
    <cellStyle name="Normal 16 8 5" xfId="801"/>
    <cellStyle name="Normal 16 8 6" xfId="802"/>
    <cellStyle name="Normal 16 8 7" xfId="803"/>
    <cellStyle name="Normal 16 8 8" xfId="804"/>
    <cellStyle name="Normal 16 8 9" xfId="805"/>
    <cellStyle name="Normal 16 9" xfId="806"/>
    <cellStyle name="Normal 17" xfId="807"/>
    <cellStyle name="Normal 17 10" xfId="808"/>
    <cellStyle name="Normal 17 11" xfId="809"/>
    <cellStyle name="Normal 17 12" xfId="810"/>
    <cellStyle name="Normal 17 13" xfId="811"/>
    <cellStyle name="Normal 17 14" xfId="812"/>
    <cellStyle name="Normal 17 15" xfId="813"/>
    <cellStyle name="Normal 17 16" xfId="814"/>
    <cellStyle name="Normal 17 17" xfId="815"/>
    <cellStyle name="Normal 17 18" xfId="816"/>
    <cellStyle name="Normal 17 19" xfId="817"/>
    <cellStyle name="Normal 17 2" xfId="818"/>
    <cellStyle name="Normal 17 2 10" xfId="819"/>
    <cellStyle name="Normal 17 2 11" xfId="820"/>
    <cellStyle name="Normal 17 2 12" xfId="821"/>
    <cellStyle name="Normal 17 2 13" xfId="822"/>
    <cellStyle name="Normal 17 2 2" xfId="823"/>
    <cellStyle name="Normal 17 2 3" xfId="824"/>
    <cellStyle name="Normal 17 2 4" xfId="825"/>
    <cellStyle name="Normal 17 2 5" xfId="826"/>
    <cellStyle name="Normal 17 2 6" xfId="827"/>
    <cellStyle name="Normal 17 2 7" xfId="828"/>
    <cellStyle name="Normal 17 2 8" xfId="829"/>
    <cellStyle name="Normal 17 2 9" xfId="830"/>
    <cellStyle name="Normal 17 20" xfId="831"/>
    <cellStyle name="Normal 17 21" xfId="832"/>
    <cellStyle name="Normal 17 22" xfId="833"/>
    <cellStyle name="Normal 17 23" xfId="834"/>
    <cellStyle name="Normal 17 24" xfId="835"/>
    <cellStyle name="Normal 17 25" xfId="836"/>
    <cellStyle name="Normal 17 26" xfId="837"/>
    <cellStyle name="Normal 17 27" xfId="838"/>
    <cellStyle name="Normal 17 28" xfId="839"/>
    <cellStyle name="Normal 17 29" xfId="840"/>
    <cellStyle name="Normal 17 3" xfId="841"/>
    <cellStyle name="Normal 17 3 10" xfId="842"/>
    <cellStyle name="Normal 17 3 11" xfId="843"/>
    <cellStyle name="Normal 17 3 12" xfId="844"/>
    <cellStyle name="Normal 17 3 13" xfId="845"/>
    <cellStyle name="Normal 17 3 2" xfId="846"/>
    <cellStyle name="Normal 17 3 3" xfId="847"/>
    <cellStyle name="Normal 17 3 4" xfId="848"/>
    <cellStyle name="Normal 17 3 5" xfId="849"/>
    <cellStyle name="Normal 17 3 6" xfId="850"/>
    <cellStyle name="Normal 17 3 7" xfId="851"/>
    <cellStyle name="Normal 17 3 8" xfId="852"/>
    <cellStyle name="Normal 17 3 9" xfId="853"/>
    <cellStyle name="Normal 17 30" xfId="854"/>
    <cellStyle name="Normal 17 31" xfId="855"/>
    <cellStyle name="Normal 17 4" xfId="856"/>
    <cellStyle name="Normal 17 4 10" xfId="857"/>
    <cellStyle name="Normal 17 4 11" xfId="858"/>
    <cellStyle name="Normal 17 4 12" xfId="859"/>
    <cellStyle name="Normal 17 4 13" xfId="860"/>
    <cellStyle name="Normal 17 4 2" xfId="861"/>
    <cellStyle name="Normal 17 4 3" xfId="862"/>
    <cellStyle name="Normal 17 4 4" xfId="863"/>
    <cellStyle name="Normal 17 4 5" xfId="864"/>
    <cellStyle name="Normal 17 4 6" xfId="865"/>
    <cellStyle name="Normal 17 4 7" xfId="866"/>
    <cellStyle name="Normal 17 4 8" xfId="867"/>
    <cellStyle name="Normal 17 4 9" xfId="868"/>
    <cellStyle name="Normal 17 5" xfId="869"/>
    <cellStyle name="Normal 17 5 10" xfId="870"/>
    <cellStyle name="Normal 17 5 11" xfId="871"/>
    <cellStyle name="Normal 17 5 12" xfId="872"/>
    <cellStyle name="Normal 17 5 13" xfId="873"/>
    <cellStyle name="Normal 17 5 2" xfId="874"/>
    <cellStyle name="Normal 17 5 3" xfId="875"/>
    <cellStyle name="Normal 17 5 4" xfId="876"/>
    <cellStyle name="Normal 17 5 5" xfId="877"/>
    <cellStyle name="Normal 17 5 6" xfId="878"/>
    <cellStyle name="Normal 17 5 7" xfId="879"/>
    <cellStyle name="Normal 17 5 8" xfId="880"/>
    <cellStyle name="Normal 17 5 9" xfId="881"/>
    <cellStyle name="Normal 17 6" xfId="882"/>
    <cellStyle name="Normal 17 6 10" xfId="883"/>
    <cellStyle name="Normal 17 6 11" xfId="884"/>
    <cellStyle name="Normal 17 6 12" xfId="885"/>
    <cellStyle name="Normal 17 6 13" xfId="886"/>
    <cellStyle name="Normal 17 6 2" xfId="887"/>
    <cellStyle name="Normal 17 6 3" xfId="888"/>
    <cellStyle name="Normal 17 6 4" xfId="889"/>
    <cellStyle name="Normal 17 6 5" xfId="890"/>
    <cellStyle name="Normal 17 6 6" xfId="891"/>
    <cellStyle name="Normal 17 6 7" xfId="892"/>
    <cellStyle name="Normal 17 6 8" xfId="893"/>
    <cellStyle name="Normal 17 6 9" xfId="894"/>
    <cellStyle name="Normal 17 7" xfId="895"/>
    <cellStyle name="Normal 17 7 10" xfId="896"/>
    <cellStyle name="Normal 17 7 11" xfId="897"/>
    <cellStyle name="Normal 17 7 12" xfId="898"/>
    <cellStyle name="Normal 17 7 13" xfId="899"/>
    <cellStyle name="Normal 17 7 2" xfId="900"/>
    <cellStyle name="Normal 17 7 3" xfId="901"/>
    <cellStyle name="Normal 17 7 4" xfId="902"/>
    <cellStyle name="Normal 17 7 5" xfId="903"/>
    <cellStyle name="Normal 17 7 6" xfId="904"/>
    <cellStyle name="Normal 17 7 7" xfId="905"/>
    <cellStyle name="Normal 17 7 8" xfId="906"/>
    <cellStyle name="Normal 17 7 9" xfId="907"/>
    <cellStyle name="Normal 17 8" xfId="908"/>
    <cellStyle name="Normal 17 8 10" xfId="909"/>
    <cellStyle name="Normal 17 8 11" xfId="910"/>
    <cellStyle name="Normal 17 8 12" xfId="911"/>
    <cellStyle name="Normal 17 8 13" xfId="912"/>
    <cellStyle name="Normal 17 8 2" xfId="913"/>
    <cellStyle name="Normal 17 8 3" xfId="914"/>
    <cellStyle name="Normal 17 8 4" xfId="915"/>
    <cellStyle name="Normal 17 8 5" xfId="916"/>
    <cellStyle name="Normal 17 8 6" xfId="917"/>
    <cellStyle name="Normal 17 8 7" xfId="918"/>
    <cellStyle name="Normal 17 8 8" xfId="919"/>
    <cellStyle name="Normal 17 8 9" xfId="920"/>
    <cellStyle name="Normal 17 9" xfId="921"/>
    <cellStyle name="Normal 18" xfId="922"/>
    <cellStyle name="Normal 18 10" xfId="923"/>
    <cellStyle name="Normal 18 11" xfId="924"/>
    <cellStyle name="Normal 18 12" xfId="925"/>
    <cellStyle name="Normal 18 13" xfId="926"/>
    <cellStyle name="Normal 18 14" xfId="927"/>
    <cellStyle name="Normal 18 15" xfId="928"/>
    <cellStyle name="Normal 18 16" xfId="929"/>
    <cellStyle name="Normal 18 17" xfId="930"/>
    <cellStyle name="Normal 18 18" xfId="931"/>
    <cellStyle name="Normal 18 19" xfId="932"/>
    <cellStyle name="Normal 18 2" xfId="933"/>
    <cellStyle name="Normal 18 2 10" xfId="934"/>
    <cellStyle name="Normal 18 2 11" xfId="935"/>
    <cellStyle name="Normal 18 2 12" xfId="936"/>
    <cellStyle name="Normal 18 2 13" xfId="937"/>
    <cellStyle name="Normal 18 2 2" xfId="938"/>
    <cellStyle name="Normal 18 2 3" xfId="939"/>
    <cellStyle name="Normal 18 2 4" xfId="940"/>
    <cellStyle name="Normal 18 2 5" xfId="941"/>
    <cellStyle name="Normal 18 2 6" xfId="942"/>
    <cellStyle name="Normal 18 2 7" xfId="943"/>
    <cellStyle name="Normal 18 2 8" xfId="944"/>
    <cellStyle name="Normal 18 2 9" xfId="945"/>
    <cellStyle name="Normal 18 20" xfId="946"/>
    <cellStyle name="Normal 18 21" xfId="947"/>
    <cellStyle name="Normal 18 22" xfId="948"/>
    <cellStyle name="Normal 18 23" xfId="949"/>
    <cellStyle name="Normal 18 24" xfId="950"/>
    <cellStyle name="Normal 18 25" xfId="951"/>
    <cellStyle name="Normal 18 26" xfId="952"/>
    <cellStyle name="Normal 18 27" xfId="953"/>
    <cellStyle name="Normal 18 28" xfId="954"/>
    <cellStyle name="Normal 18 29" xfId="955"/>
    <cellStyle name="Normal 18 3" xfId="956"/>
    <cellStyle name="Normal 18 3 10" xfId="957"/>
    <cellStyle name="Normal 18 3 11" xfId="958"/>
    <cellStyle name="Normal 18 3 12" xfId="959"/>
    <cellStyle name="Normal 18 3 13" xfId="960"/>
    <cellStyle name="Normal 18 3 2" xfId="961"/>
    <cellStyle name="Normal 18 3 3" xfId="962"/>
    <cellStyle name="Normal 18 3 4" xfId="963"/>
    <cellStyle name="Normal 18 3 5" xfId="964"/>
    <cellStyle name="Normal 18 3 6" xfId="965"/>
    <cellStyle name="Normal 18 3 7" xfId="966"/>
    <cellStyle name="Normal 18 3 8" xfId="967"/>
    <cellStyle name="Normal 18 3 9" xfId="968"/>
    <cellStyle name="Normal 18 30" xfId="969"/>
    <cellStyle name="Normal 18 31" xfId="970"/>
    <cellStyle name="Normal 18 4" xfId="971"/>
    <cellStyle name="Normal 18 4 10" xfId="972"/>
    <cellStyle name="Normal 18 4 11" xfId="973"/>
    <cellStyle name="Normal 18 4 12" xfId="974"/>
    <cellStyle name="Normal 18 4 13" xfId="975"/>
    <cellStyle name="Normal 18 4 2" xfId="976"/>
    <cellStyle name="Normal 18 4 3" xfId="977"/>
    <cellStyle name="Normal 18 4 4" xfId="978"/>
    <cellStyle name="Normal 18 4 5" xfId="979"/>
    <cellStyle name="Normal 18 4 6" xfId="980"/>
    <cellStyle name="Normal 18 4 7" xfId="981"/>
    <cellStyle name="Normal 18 4 8" xfId="982"/>
    <cellStyle name="Normal 18 4 9" xfId="983"/>
    <cellStyle name="Normal 18 5" xfId="984"/>
    <cellStyle name="Normal 18 5 10" xfId="985"/>
    <cellStyle name="Normal 18 5 11" xfId="986"/>
    <cellStyle name="Normal 18 5 12" xfId="987"/>
    <cellStyle name="Normal 18 5 13" xfId="988"/>
    <cellStyle name="Normal 18 5 2" xfId="989"/>
    <cellStyle name="Normal 18 5 3" xfId="990"/>
    <cellStyle name="Normal 18 5 4" xfId="991"/>
    <cellStyle name="Normal 18 5 5" xfId="992"/>
    <cellStyle name="Normal 18 5 6" xfId="993"/>
    <cellStyle name="Normal 18 5 7" xfId="994"/>
    <cellStyle name="Normal 18 5 8" xfId="995"/>
    <cellStyle name="Normal 18 5 9" xfId="996"/>
    <cellStyle name="Normal 18 6" xfId="997"/>
    <cellStyle name="Normal 18 6 10" xfId="998"/>
    <cellStyle name="Normal 18 6 11" xfId="999"/>
    <cellStyle name="Normal 18 6 12" xfId="1000"/>
    <cellStyle name="Normal 18 6 13" xfId="1001"/>
    <cellStyle name="Normal 18 6 2" xfId="1002"/>
    <cellStyle name="Normal 18 6 3" xfId="1003"/>
    <cellStyle name="Normal 18 6 4" xfId="1004"/>
    <cellStyle name="Normal 18 6 5" xfId="1005"/>
    <cellStyle name="Normal 18 6 6" xfId="1006"/>
    <cellStyle name="Normal 18 6 7" xfId="1007"/>
    <cellStyle name="Normal 18 6 8" xfId="1008"/>
    <cellStyle name="Normal 18 6 9" xfId="1009"/>
    <cellStyle name="Normal 18 7" xfId="1010"/>
    <cellStyle name="Normal 18 7 10" xfId="1011"/>
    <cellStyle name="Normal 18 7 11" xfId="1012"/>
    <cellStyle name="Normal 18 7 12" xfId="1013"/>
    <cellStyle name="Normal 18 7 13" xfId="1014"/>
    <cellStyle name="Normal 18 7 2" xfId="1015"/>
    <cellStyle name="Normal 18 7 3" xfId="1016"/>
    <cellStyle name="Normal 18 7 4" xfId="1017"/>
    <cellStyle name="Normal 18 7 5" xfId="1018"/>
    <cellStyle name="Normal 18 7 6" xfId="1019"/>
    <cellStyle name="Normal 18 7 7" xfId="1020"/>
    <cellStyle name="Normal 18 7 8" xfId="1021"/>
    <cellStyle name="Normal 18 7 9" xfId="1022"/>
    <cellStyle name="Normal 18 8" xfId="1023"/>
    <cellStyle name="Normal 18 8 10" xfId="1024"/>
    <cellStyle name="Normal 18 8 11" xfId="1025"/>
    <cellStyle name="Normal 18 8 12" xfId="1026"/>
    <cellStyle name="Normal 18 8 13" xfId="1027"/>
    <cellStyle name="Normal 18 8 2" xfId="1028"/>
    <cellStyle name="Normal 18 8 3" xfId="1029"/>
    <cellStyle name="Normal 18 8 4" xfId="1030"/>
    <cellStyle name="Normal 18 8 5" xfId="1031"/>
    <cellStyle name="Normal 18 8 6" xfId="1032"/>
    <cellStyle name="Normal 18 8 7" xfId="1033"/>
    <cellStyle name="Normal 18 8 8" xfId="1034"/>
    <cellStyle name="Normal 18 8 9" xfId="1035"/>
    <cellStyle name="Normal 18 9" xfId="1036"/>
    <cellStyle name="Normal 19" xfId="1037"/>
    <cellStyle name="Normal 19 10" xfId="1038"/>
    <cellStyle name="Normal 19 11" xfId="1039"/>
    <cellStyle name="Normal 19 12" xfId="1040"/>
    <cellStyle name="Normal 19 13" xfId="1041"/>
    <cellStyle name="Normal 19 14" xfId="1042"/>
    <cellStyle name="Normal 19 15" xfId="1043"/>
    <cellStyle name="Normal 19 16" xfId="1044"/>
    <cellStyle name="Normal 19 17" xfId="1045"/>
    <cellStyle name="Normal 19 18" xfId="1046"/>
    <cellStyle name="Normal 19 19" xfId="1047"/>
    <cellStyle name="Normal 19 2" xfId="1048"/>
    <cellStyle name="Normal 19 2 10" xfId="1049"/>
    <cellStyle name="Normal 19 2 11" xfId="1050"/>
    <cellStyle name="Normal 19 2 12" xfId="1051"/>
    <cellStyle name="Normal 19 2 13" xfId="1052"/>
    <cellStyle name="Normal 19 2 2" xfId="1053"/>
    <cellStyle name="Normal 19 2 3" xfId="1054"/>
    <cellStyle name="Normal 19 2 4" xfId="1055"/>
    <cellStyle name="Normal 19 2 5" xfId="1056"/>
    <cellStyle name="Normal 19 2 6" xfId="1057"/>
    <cellStyle name="Normal 19 2 7" xfId="1058"/>
    <cellStyle name="Normal 19 2 8" xfId="1059"/>
    <cellStyle name="Normal 19 2 9" xfId="1060"/>
    <cellStyle name="Normal 19 20" xfId="1061"/>
    <cellStyle name="Normal 19 21" xfId="1062"/>
    <cellStyle name="Normal 19 22" xfId="1063"/>
    <cellStyle name="Normal 19 23" xfId="1064"/>
    <cellStyle name="Normal 19 24" xfId="1065"/>
    <cellStyle name="Normal 19 25" xfId="1066"/>
    <cellStyle name="Normal 19 26" xfId="1067"/>
    <cellStyle name="Normal 19 27" xfId="1068"/>
    <cellStyle name="Normal 19 28" xfId="1069"/>
    <cellStyle name="Normal 19 29" xfId="1070"/>
    <cellStyle name="Normal 19 3" xfId="1071"/>
    <cellStyle name="Normal 19 3 10" xfId="1072"/>
    <cellStyle name="Normal 19 3 11" xfId="1073"/>
    <cellStyle name="Normal 19 3 12" xfId="1074"/>
    <cellStyle name="Normal 19 3 13" xfId="1075"/>
    <cellStyle name="Normal 19 3 2" xfId="1076"/>
    <cellStyle name="Normal 19 3 3" xfId="1077"/>
    <cellStyle name="Normal 19 3 4" xfId="1078"/>
    <cellStyle name="Normal 19 3 5" xfId="1079"/>
    <cellStyle name="Normal 19 3 6" xfId="1080"/>
    <cellStyle name="Normal 19 3 7" xfId="1081"/>
    <cellStyle name="Normal 19 3 8" xfId="1082"/>
    <cellStyle name="Normal 19 3 9" xfId="1083"/>
    <cellStyle name="Normal 19 30" xfId="1084"/>
    <cellStyle name="Normal 19 31" xfId="1085"/>
    <cellStyle name="Normal 19 4" xfId="1086"/>
    <cellStyle name="Normal 19 4 10" xfId="1087"/>
    <cellStyle name="Normal 19 4 11" xfId="1088"/>
    <cellStyle name="Normal 19 4 12" xfId="1089"/>
    <cellStyle name="Normal 19 4 13" xfId="1090"/>
    <cellStyle name="Normal 19 4 2" xfId="1091"/>
    <cellStyle name="Normal 19 4 3" xfId="1092"/>
    <cellStyle name="Normal 19 4 4" xfId="1093"/>
    <cellStyle name="Normal 19 4 5" xfId="1094"/>
    <cellStyle name="Normal 19 4 6" xfId="1095"/>
    <cellStyle name="Normal 19 4 7" xfId="1096"/>
    <cellStyle name="Normal 19 4 8" xfId="1097"/>
    <cellStyle name="Normal 19 4 9" xfId="1098"/>
    <cellStyle name="Normal 19 5" xfId="1099"/>
    <cellStyle name="Normal 19 5 10" xfId="1100"/>
    <cellStyle name="Normal 19 5 11" xfId="1101"/>
    <cellStyle name="Normal 19 5 12" xfId="1102"/>
    <cellStyle name="Normal 19 5 13" xfId="1103"/>
    <cellStyle name="Normal 19 5 2" xfId="1104"/>
    <cellStyle name="Normal 19 5 3" xfId="1105"/>
    <cellStyle name="Normal 19 5 4" xfId="1106"/>
    <cellStyle name="Normal 19 5 5" xfId="1107"/>
    <cellStyle name="Normal 19 5 6" xfId="1108"/>
    <cellStyle name="Normal 19 5 7" xfId="1109"/>
    <cellStyle name="Normal 19 5 8" xfId="1110"/>
    <cellStyle name="Normal 19 5 9" xfId="1111"/>
    <cellStyle name="Normal 19 6" xfId="1112"/>
    <cellStyle name="Normal 19 6 10" xfId="1113"/>
    <cellStyle name="Normal 19 6 11" xfId="1114"/>
    <cellStyle name="Normal 19 6 12" xfId="1115"/>
    <cellStyle name="Normal 19 6 13" xfId="1116"/>
    <cellStyle name="Normal 19 6 2" xfId="1117"/>
    <cellStyle name="Normal 19 6 3" xfId="1118"/>
    <cellStyle name="Normal 19 6 4" xfId="1119"/>
    <cellStyle name="Normal 19 6 5" xfId="1120"/>
    <cellStyle name="Normal 19 6 6" xfId="1121"/>
    <cellStyle name="Normal 19 6 7" xfId="1122"/>
    <cellStyle name="Normal 19 6 8" xfId="1123"/>
    <cellStyle name="Normal 19 6 9" xfId="1124"/>
    <cellStyle name="Normal 19 7" xfId="1125"/>
    <cellStyle name="Normal 19 7 10" xfId="1126"/>
    <cellStyle name="Normal 19 7 11" xfId="1127"/>
    <cellStyle name="Normal 19 7 12" xfId="1128"/>
    <cellStyle name="Normal 19 7 13" xfId="1129"/>
    <cellStyle name="Normal 19 7 2" xfId="1130"/>
    <cellStyle name="Normal 19 7 3" xfId="1131"/>
    <cellStyle name="Normal 19 7 4" xfId="1132"/>
    <cellStyle name="Normal 19 7 5" xfId="1133"/>
    <cellStyle name="Normal 19 7 6" xfId="1134"/>
    <cellStyle name="Normal 19 7 7" xfId="1135"/>
    <cellStyle name="Normal 19 7 8" xfId="1136"/>
    <cellStyle name="Normal 19 7 9" xfId="1137"/>
    <cellStyle name="Normal 19 8" xfId="1138"/>
    <cellStyle name="Normal 19 8 10" xfId="1139"/>
    <cellStyle name="Normal 19 8 11" xfId="1140"/>
    <cellStyle name="Normal 19 8 12" xfId="1141"/>
    <cellStyle name="Normal 19 8 13" xfId="1142"/>
    <cellStyle name="Normal 19 8 2" xfId="1143"/>
    <cellStyle name="Normal 19 8 3" xfId="1144"/>
    <cellStyle name="Normal 19 8 4" xfId="1145"/>
    <cellStyle name="Normal 19 8 5" xfId="1146"/>
    <cellStyle name="Normal 19 8 6" xfId="1147"/>
    <cellStyle name="Normal 19 8 7" xfId="1148"/>
    <cellStyle name="Normal 19 8 8" xfId="1149"/>
    <cellStyle name="Normal 19 8 9" xfId="1150"/>
    <cellStyle name="Normal 19 9" xfId="1151"/>
    <cellStyle name="Normal 2" xfId="1152"/>
    <cellStyle name="Normal 2 10" xfId="1153"/>
    <cellStyle name="Normal 2 10 10" xfId="1154"/>
    <cellStyle name="Normal 2 10 10 2" xfId="1155"/>
    <cellStyle name="Normal 2 10 11" xfId="1156"/>
    <cellStyle name="Normal 2 10 11 2" xfId="1157"/>
    <cellStyle name="Normal 2 10 12" xfId="1158"/>
    <cellStyle name="Normal 2 10 12 2" xfId="1159"/>
    <cellStyle name="Normal 2 10 13" xfId="1160"/>
    <cellStyle name="Normal 2 10 13 2" xfId="1161"/>
    <cellStyle name="Normal 2 10 14" xfId="1162"/>
    <cellStyle name="Normal 2 10 14 2" xfId="1163"/>
    <cellStyle name="Normal 2 10 15" xfId="1164"/>
    <cellStyle name="Normal 2 10 15 2" xfId="1165"/>
    <cellStyle name="Normal 2 10 16" xfId="1166"/>
    <cellStyle name="Normal 2 10 16 2" xfId="1167"/>
    <cellStyle name="Normal 2 10 17" xfId="1168"/>
    <cellStyle name="Normal 2 10 2" xfId="1169"/>
    <cellStyle name="Normal 2 10 2 2" xfId="1170"/>
    <cellStyle name="Normal 2 10 3" xfId="1171"/>
    <cellStyle name="Normal 2 10 3 2" xfId="1172"/>
    <cellStyle name="Normal 2 10 4" xfId="1173"/>
    <cellStyle name="Normal 2 10 4 2" xfId="1174"/>
    <cellStyle name="Normal 2 10 5" xfId="1175"/>
    <cellStyle name="Normal 2 10 5 2" xfId="1176"/>
    <cellStyle name="Normal 2 10 6" xfId="1177"/>
    <cellStyle name="Normal 2 10 6 2" xfId="1178"/>
    <cellStyle name="Normal 2 10 7" xfId="1179"/>
    <cellStyle name="Normal 2 10 7 2" xfId="1180"/>
    <cellStyle name="Normal 2 10 8" xfId="1181"/>
    <cellStyle name="Normal 2 10 8 2" xfId="1182"/>
    <cellStyle name="Normal 2 10 9" xfId="1183"/>
    <cellStyle name="Normal 2 10 9 2" xfId="1184"/>
    <cellStyle name="Normal 2 11" xfId="1185"/>
    <cellStyle name="Normal 2 11 10" xfId="1186"/>
    <cellStyle name="Normal 2 11 10 2" xfId="1187"/>
    <cellStyle name="Normal 2 11 11" xfId="1188"/>
    <cellStyle name="Normal 2 11 11 2" xfId="1189"/>
    <cellStyle name="Normal 2 11 12" xfId="1190"/>
    <cellStyle name="Normal 2 11 12 2" xfId="1191"/>
    <cellStyle name="Normal 2 11 13" xfId="1192"/>
    <cellStyle name="Normal 2 11 13 2" xfId="1193"/>
    <cellStyle name="Normal 2 11 14" xfId="1194"/>
    <cellStyle name="Normal 2 11 14 2" xfId="1195"/>
    <cellStyle name="Normal 2 11 15" xfId="1196"/>
    <cellStyle name="Normal 2 11 15 2" xfId="1197"/>
    <cellStyle name="Normal 2 11 16" xfId="1198"/>
    <cellStyle name="Normal 2 11 16 2" xfId="1199"/>
    <cellStyle name="Normal 2 11 17" xfId="1200"/>
    <cellStyle name="Normal 2 11 2" xfId="1201"/>
    <cellStyle name="Normal 2 11 2 2" xfId="1202"/>
    <cellStyle name="Normal 2 11 3" xfId="1203"/>
    <cellStyle name="Normal 2 11 3 2" xfId="1204"/>
    <cellStyle name="Normal 2 11 4" xfId="1205"/>
    <cellStyle name="Normal 2 11 4 2" xfId="1206"/>
    <cellStyle name="Normal 2 11 5" xfId="1207"/>
    <cellStyle name="Normal 2 11 5 2" xfId="1208"/>
    <cellStyle name="Normal 2 11 6" xfId="1209"/>
    <cellStyle name="Normal 2 11 6 2" xfId="1210"/>
    <cellStyle name="Normal 2 11 7" xfId="1211"/>
    <cellStyle name="Normal 2 11 7 2" xfId="1212"/>
    <cellStyle name="Normal 2 11 8" xfId="1213"/>
    <cellStyle name="Normal 2 11 8 2" xfId="1214"/>
    <cellStyle name="Normal 2 11 9" xfId="1215"/>
    <cellStyle name="Normal 2 11 9 2" xfId="1216"/>
    <cellStyle name="Normal 2 12" xfId="1217"/>
    <cellStyle name="Normal 2 12 10" xfId="1218"/>
    <cellStyle name="Normal 2 12 10 2" xfId="1219"/>
    <cellStyle name="Normal 2 12 11" xfId="1220"/>
    <cellStyle name="Normal 2 12 11 2" xfId="1221"/>
    <cellStyle name="Normal 2 12 12" xfId="1222"/>
    <cellStyle name="Normal 2 12 12 2" xfId="1223"/>
    <cellStyle name="Normal 2 12 13" xfId="1224"/>
    <cellStyle name="Normal 2 12 13 2" xfId="1225"/>
    <cellStyle name="Normal 2 12 14" xfId="1226"/>
    <cellStyle name="Normal 2 12 14 2" xfId="1227"/>
    <cellStyle name="Normal 2 12 15" xfId="1228"/>
    <cellStyle name="Normal 2 12 15 2" xfId="1229"/>
    <cellStyle name="Normal 2 12 16" xfId="1230"/>
    <cellStyle name="Normal 2 12 16 2" xfId="1231"/>
    <cellStyle name="Normal 2 12 17" xfId="1232"/>
    <cellStyle name="Normal 2 12 2" xfId="1233"/>
    <cellStyle name="Normal 2 12 2 2" xfId="1234"/>
    <cellStyle name="Normal 2 12 2 2 2" xfId="1235"/>
    <cellStyle name="Normal 2 12 2 2 2 2" xfId="1236"/>
    <cellStyle name="Normal 2 12 2 2 2 2 2" xfId="1237"/>
    <cellStyle name="Normal 2 12 2 2 2 3" xfId="1238"/>
    <cellStyle name="Normal 2 12 2 2 2 4" xfId="1239"/>
    <cellStyle name="Normal 2 12 2 2 3" xfId="1240"/>
    <cellStyle name="Normal 2 12 2 2 4" xfId="1241"/>
    <cellStyle name="Normal 2 12 2 3" xfId="1242"/>
    <cellStyle name="Normal 2 12 2 4" xfId="1243"/>
    <cellStyle name="Normal 2 12 2 5" xfId="1244"/>
    <cellStyle name="Normal 2 12 2 6" xfId="1245"/>
    <cellStyle name="Normal 2 12 2 7" xfId="1246"/>
    <cellStyle name="Normal 2 12 2 8" xfId="1247"/>
    <cellStyle name="Normal 2 12 3" xfId="1248"/>
    <cellStyle name="Normal 2 12 3 2" xfId="1249"/>
    <cellStyle name="Normal 2 12 3 2 2" xfId="1250"/>
    <cellStyle name="Normal 2 12 3 2 3" xfId="1251"/>
    <cellStyle name="Normal 2 12 3 2 4" xfId="1252"/>
    <cellStyle name="Normal 2 12 3 2 5" xfId="1253"/>
    <cellStyle name="Normal 2 12 3 3" xfId="1254"/>
    <cellStyle name="Normal 2 12 3 4" xfId="1255"/>
    <cellStyle name="Normal 2 12 4" xfId="1256"/>
    <cellStyle name="Normal 2 12 4 2" xfId="1257"/>
    <cellStyle name="Normal 2 12 5" xfId="1258"/>
    <cellStyle name="Normal 2 12 5 2" xfId="1259"/>
    <cellStyle name="Normal 2 12 6" xfId="1260"/>
    <cellStyle name="Normal 2 12 6 2" xfId="1261"/>
    <cellStyle name="Normal 2 12 7" xfId="1262"/>
    <cellStyle name="Normal 2 12 7 2" xfId="1263"/>
    <cellStyle name="Normal 2 12 8" xfId="1264"/>
    <cellStyle name="Normal 2 12 8 2" xfId="1265"/>
    <cellStyle name="Normal 2 12 9" xfId="1266"/>
    <cellStyle name="Normal 2 12 9 2" xfId="1267"/>
    <cellStyle name="Normal 2 13" xfId="1268"/>
    <cellStyle name="Normal 2 13 10" xfId="1269"/>
    <cellStyle name="Normal 2 13 10 2" xfId="1270"/>
    <cellStyle name="Normal 2 13 11" xfId="1271"/>
    <cellStyle name="Normal 2 13 11 2" xfId="1272"/>
    <cellStyle name="Normal 2 13 12" xfId="1273"/>
    <cellStyle name="Normal 2 13 12 2" xfId="1274"/>
    <cellStyle name="Normal 2 13 13" xfId="1275"/>
    <cellStyle name="Normal 2 13 13 2" xfId="1276"/>
    <cellStyle name="Normal 2 13 14" xfId="1277"/>
    <cellStyle name="Normal 2 13 14 2" xfId="1278"/>
    <cellStyle name="Normal 2 13 15" xfId="1279"/>
    <cellStyle name="Normal 2 13 15 2" xfId="1280"/>
    <cellStyle name="Normal 2 13 16" xfId="1281"/>
    <cellStyle name="Normal 2 13 16 2" xfId="1282"/>
    <cellStyle name="Normal 2 13 17" xfId="1283"/>
    <cellStyle name="Normal 2 13 2" xfId="1284"/>
    <cellStyle name="Normal 2 13 2 2" xfId="1285"/>
    <cellStyle name="Normal 2 13 3" xfId="1286"/>
    <cellStyle name="Normal 2 13 3 2" xfId="1287"/>
    <cellStyle name="Normal 2 13 4" xfId="1288"/>
    <cellStyle name="Normal 2 13 4 2" xfId="1289"/>
    <cellStyle name="Normal 2 13 5" xfId="1290"/>
    <cellStyle name="Normal 2 13 5 2" xfId="1291"/>
    <cellStyle name="Normal 2 13 6" xfId="1292"/>
    <cellStyle name="Normal 2 13 6 2" xfId="1293"/>
    <cellStyle name="Normal 2 13 7" xfId="1294"/>
    <cellStyle name="Normal 2 13 7 2" xfId="1295"/>
    <cellStyle name="Normal 2 13 8" xfId="1296"/>
    <cellStyle name="Normal 2 13 8 2" xfId="1297"/>
    <cellStyle name="Normal 2 13 9" xfId="1298"/>
    <cellStyle name="Normal 2 13 9 2" xfId="1299"/>
    <cellStyle name="Normal 2 14" xfId="1300"/>
    <cellStyle name="Normal 2 14 10" xfId="1301"/>
    <cellStyle name="Normal 2 14 10 2" xfId="1302"/>
    <cellStyle name="Normal 2 14 11" xfId="1303"/>
    <cellStyle name="Normal 2 14 11 2" xfId="1304"/>
    <cellStyle name="Normal 2 14 12" xfId="1305"/>
    <cellStyle name="Normal 2 14 12 2" xfId="1306"/>
    <cellStyle name="Normal 2 14 13" xfId="1307"/>
    <cellStyle name="Normal 2 14 13 2" xfId="1308"/>
    <cellStyle name="Normal 2 14 14" xfId="1309"/>
    <cellStyle name="Normal 2 14 14 2" xfId="1310"/>
    <cellStyle name="Normal 2 14 15" xfId="1311"/>
    <cellStyle name="Normal 2 14 15 2" xfId="1312"/>
    <cellStyle name="Normal 2 14 16" xfId="1313"/>
    <cellStyle name="Normal 2 14 16 2" xfId="1314"/>
    <cellStyle name="Normal 2 14 17" xfId="1315"/>
    <cellStyle name="Normal 2 14 2" xfId="1316"/>
    <cellStyle name="Normal 2 14 2 2" xfId="1317"/>
    <cellStyle name="Normal 2 14 3" xfId="1318"/>
    <cellStyle name="Normal 2 14 3 2" xfId="1319"/>
    <cellStyle name="Normal 2 14 4" xfId="1320"/>
    <cellStyle name="Normal 2 14 4 2" xfId="1321"/>
    <cellStyle name="Normal 2 14 5" xfId="1322"/>
    <cellStyle name="Normal 2 14 5 2" xfId="1323"/>
    <cellStyle name="Normal 2 14 6" xfId="1324"/>
    <cellStyle name="Normal 2 14 6 2" xfId="1325"/>
    <cellStyle name="Normal 2 14 7" xfId="1326"/>
    <cellStyle name="Normal 2 14 7 2" xfId="1327"/>
    <cellStyle name="Normal 2 14 8" xfId="1328"/>
    <cellStyle name="Normal 2 14 8 2" xfId="1329"/>
    <cellStyle name="Normal 2 14 9" xfId="1330"/>
    <cellStyle name="Normal 2 14 9 2" xfId="1331"/>
    <cellStyle name="Normal 2 15" xfId="1332"/>
    <cellStyle name="Normal 2 15 10" xfId="1333"/>
    <cellStyle name="Normal 2 15 10 2" xfId="1334"/>
    <cellStyle name="Normal 2 15 11" xfId="1335"/>
    <cellStyle name="Normal 2 15 11 2" xfId="1336"/>
    <cellStyle name="Normal 2 15 12" xfId="1337"/>
    <cellStyle name="Normal 2 15 12 2" xfId="1338"/>
    <cellStyle name="Normal 2 15 13" xfId="1339"/>
    <cellStyle name="Normal 2 15 13 2" xfId="1340"/>
    <cellStyle name="Normal 2 15 14" xfId="1341"/>
    <cellStyle name="Normal 2 15 2" xfId="1342"/>
    <cellStyle name="Normal 2 15 2 2" xfId="1343"/>
    <cellStyle name="Normal 2 15 2 2 2" xfId="1344"/>
    <cellStyle name="Normal 2 15 2 3" xfId="1345"/>
    <cellStyle name="Normal 2 15 2 4" xfId="1346"/>
    <cellStyle name="Normal 2 15 3" xfId="1347"/>
    <cellStyle name="Normal 2 15 3 2" xfId="1348"/>
    <cellStyle name="Normal 2 15 4" xfId="1349"/>
    <cellStyle name="Normal 2 15 4 2" xfId="1350"/>
    <cellStyle name="Normal 2 15 5" xfId="1351"/>
    <cellStyle name="Normal 2 15 5 2" xfId="1352"/>
    <cellStyle name="Normal 2 15 6" xfId="1353"/>
    <cellStyle name="Normal 2 15 6 2" xfId="1354"/>
    <cellStyle name="Normal 2 15 7" xfId="1355"/>
    <cellStyle name="Normal 2 15 7 2" xfId="1356"/>
    <cellStyle name="Normal 2 15 8" xfId="1357"/>
    <cellStyle name="Normal 2 15 8 2" xfId="1358"/>
    <cellStyle name="Normal 2 15 9" xfId="1359"/>
    <cellStyle name="Normal 2 15 9 2" xfId="1360"/>
    <cellStyle name="Normal 2 16" xfId="1361"/>
    <cellStyle name="Normal 2 16 10" xfId="1362"/>
    <cellStyle name="Normal 2 16 10 2" xfId="1363"/>
    <cellStyle name="Normal 2 16 11" xfId="1364"/>
    <cellStyle name="Normal 2 16 11 2" xfId="1365"/>
    <cellStyle name="Normal 2 16 12" xfId="1366"/>
    <cellStyle name="Normal 2 16 12 2" xfId="1367"/>
    <cellStyle name="Normal 2 16 13" xfId="1368"/>
    <cellStyle name="Normal 2 16 13 2" xfId="1369"/>
    <cellStyle name="Normal 2 16 14" xfId="1370"/>
    <cellStyle name="Normal 2 16 2" xfId="1371"/>
    <cellStyle name="Normal 2 16 2 2" xfId="1372"/>
    <cellStyle name="Normal 2 16 3" xfId="1373"/>
    <cellStyle name="Normal 2 16 3 2" xfId="1374"/>
    <cellStyle name="Normal 2 16 4" xfId="1375"/>
    <cellStyle name="Normal 2 16 4 2" xfId="1376"/>
    <cellStyle name="Normal 2 16 5" xfId="1377"/>
    <cellStyle name="Normal 2 16 5 2" xfId="1378"/>
    <cellStyle name="Normal 2 16 6" xfId="1379"/>
    <cellStyle name="Normal 2 16 6 2" xfId="1380"/>
    <cellStyle name="Normal 2 16 7" xfId="1381"/>
    <cellStyle name="Normal 2 16 7 2" xfId="1382"/>
    <cellStyle name="Normal 2 16 8" xfId="1383"/>
    <cellStyle name="Normal 2 16 8 2" xfId="1384"/>
    <cellStyle name="Normal 2 16 9" xfId="1385"/>
    <cellStyle name="Normal 2 16 9 2" xfId="1386"/>
    <cellStyle name="Normal 2 17" xfId="1387"/>
    <cellStyle name="Normal 2 17 10" xfId="1388"/>
    <cellStyle name="Normal 2 17 10 2" xfId="1389"/>
    <cellStyle name="Normal 2 17 11" xfId="1390"/>
    <cellStyle name="Normal 2 17 11 2" xfId="1391"/>
    <cellStyle name="Normal 2 17 12" xfId="1392"/>
    <cellStyle name="Normal 2 17 12 2" xfId="1393"/>
    <cellStyle name="Normal 2 17 13" xfId="1394"/>
    <cellStyle name="Normal 2 17 13 2" xfId="1395"/>
    <cellStyle name="Normal 2 17 14" xfId="1396"/>
    <cellStyle name="Normal 2 17 2" xfId="1397"/>
    <cellStyle name="Normal 2 17 2 2" xfId="1398"/>
    <cellStyle name="Normal 2 17 3" xfId="1399"/>
    <cellStyle name="Normal 2 17 3 2" xfId="1400"/>
    <cellStyle name="Normal 2 17 4" xfId="1401"/>
    <cellStyle name="Normal 2 17 4 2" xfId="1402"/>
    <cellStyle name="Normal 2 17 5" xfId="1403"/>
    <cellStyle name="Normal 2 17 5 2" xfId="1404"/>
    <cellStyle name="Normal 2 17 6" xfId="1405"/>
    <cellStyle name="Normal 2 17 6 2" xfId="1406"/>
    <cellStyle name="Normal 2 17 7" xfId="1407"/>
    <cellStyle name="Normal 2 17 7 2" xfId="1408"/>
    <cellStyle name="Normal 2 17 8" xfId="1409"/>
    <cellStyle name="Normal 2 17 8 2" xfId="1410"/>
    <cellStyle name="Normal 2 17 9" xfId="1411"/>
    <cellStyle name="Normal 2 17 9 2" xfId="1412"/>
    <cellStyle name="Normal 2 18" xfId="1413"/>
    <cellStyle name="Normal 2 18 2" xfId="1414"/>
    <cellStyle name="Normal 2 19" xfId="1415"/>
    <cellStyle name="Normal 2 19 2" xfId="1416"/>
    <cellStyle name="Normal 2 2" xfId="1417"/>
    <cellStyle name="Normal 2 2 10" xfId="1418"/>
    <cellStyle name="Normal 2 2 10 10" xfId="1419"/>
    <cellStyle name="Normal 2 2 10 10 2" xfId="1420"/>
    <cellStyle name="Normal 2 2 10 11" xfId="1421"/>
    <cellStyle name="Normal 2 2 10 11 2" xfId="1422"/>
    <cellStyle name="Normal 2 2 10 12" xfId="1423"/>
    <cellStyle name="Normal 2 2 10 12 2" xfId="1424"/>
    <cellStyle name="Normal 2 2 10 13" xfId="1425"/>
    <cellStyle name="Normal 2 2 10 13 2" xfId="1426"/>
    <cellStyle name="Normal 2 2 10 14" xfId="1427"/>
    <cellStyle name="Normal 2 2 10 14 2" xfId="1428"/>
    <cellStyle name="Normal 2 2 10 15" xfId="1429"/>
    <cellStyle name="Normal 2 2 10 15 2" xfId="1430"/>
    <cellStyle name="Normal 2 2 10 16" xfId="1431"/>
    <cellStyle name="Normal 2 2 10 16 2" xfId="1432"/>
    <cellStyle name="Normal 2 2 10 17" xfId="1433"/>
    <cellStyle name="Normal 2 2 10 2" xfId="1434"/>
    <cellStyle name="Normal 2 2 10 2 2" xfId="1435"/>
    <cellStyle name="Normal 2 2 10 3" xfId="1436"/>
    <cellStyle name="Normal 2 2 10 3 2" xfId="1437"/>
    <cellStyle name="Normal 2 2 10 4" xfId="1438"/>
    <cellStyle name="Normal 2 2 10 4 2" xfId="1439"/>
    <cellStyle name="Normal 2 2 10 5" xfId="1440"/>
    <cellStyle name="Normal 2 2 10 5 2" xfId="1441"/>
    <cellStyle name="Normal 2 2 10 6" xfId="1442"/>
    <cellStyle name="Normal 2 2 10 6 2" xfId="1443"/>
    <cellStyle name="Normal 2 2 10 7" xfId="1444"/>
    <cellStyle name="Normal 2 2 10 7 2" xfId="1445"/>
    <cellStyle name="Normal 2 2 10 8" xfId="1446"/>
    <cellStyle name="Normal 2 2 10 8 2" xfId="1447"/>
    <cellStyle name="Normal 2 2 10 9" xfId="1448"/>
    <cellStyle name="Normal 2 2 10 9 2" xfId="1449"/>
    <cellStyle name="Normal 2 2 11" xfId="1450"/>
    <cellStyle name="Normal 2 2 11 10" xfId="1451"/>
    <cellStyle name="Normal 2 2 11 10 2" xfId="1452"/>
    <cellStyle name="Normal 2 2 11 11" xfId="1453"/>
    <cellStyle name="Normal 2 2 11 11 2" xfId="1454"/>
    <cellStyle name="Normal 2 2 11 12" xfId="1455"/>
    <cellStyle name="Normal 2 2 11 12 2" xfId="1456"/>
    <cellStyle name="Normal 2 2 11 13" xfId="1457"/>
    <cellStyle name="Normal 2 2 11 13 2" xfId="1458"/>
    <cellStyle name="Normal 2 2 11 14" xfId="1459"/>
    <cellStyle name="Normal 2 2 11 14 2" xfId="1460"/>
    <cellStyle name="Normal 2 2 11 15" xfId="1461"/>
    <cellStyle name="Normal 2 2 11 15 2" xfId="1462"/>
    <cellStyle name="Normal 2 2 11 16" xfId="1463"/>
    <cellStyle name="Normal 2 2 11 16 2" xfId="1464"/>
    <cellStyle name="Normal 2 2 11 17" xfId="1465"/>
    <cellStyle name="Normal 2 2 11 2" xfId="1466"/>
    <cellStyle name="Normal 2 2 11 2 2" xfId="1467"/>
    <cellStyle name="Normal 2 2 11 3" xfId="1468"/>
    <cellStyle name="Normal 2 2 11 3 2" xfId="1469"/>
    <cellStyle name="Normal 2 2 11 4" xfId="1470"/>
    <cellStyle name="Normal 2 2 11 4 2" xfId="1471"/>
    <cellStyle name="Normal 2 2 11 5" xfId="1472"/>
    <cellStyle name="Normal 2 2 11 5 2" xfId="1473"/>
    <cellStyle name="Normal 2 2 11 6" xfId="1474"/>
    <cellStyle name="Normal 2 2 11 6 2" xfId="1475"/>
    <cellStyle name="Normal 2 2 11 7" xfId="1476"/>
    <cellStyle name="Normal 2 2 11 7 2" xfId="1477"/>
    <cellStyle name="Normal 2 2 11 8" xfId="1478"/>
    <cellStyle name="Normal 2 2 11 8 2" xfId="1479"/>
    <cellStyle name="Normal 2 2 11 9" xfId="1480"/>
    <cellStyle name="Normal 2 2 11 9 2" xfId="1481"/>
    <cellStyle name="Normal 2 2 12" xfId="1482"/>
    <cellStyle name="Normal 2 2 12 10" xfId="1483"/>
    <cellStyle name="Normal 2 2 12 10 2" xfId="1484"/>
    <cellStyle name="Normal 2 2 12 11" xfId="1485"/>
    <cellStyle name="Normal 2 2 12 11 2" xfId="1486"/>
    <cellStyle name="Normal 2 2 12 12" xfId="1487"/>
    <cellStyle name="Normal 2 2 12 12 2" xfId="1488"/>
    <cellStyle name="Normal 2 2 12 13" xfId="1489"/>
    <cellStyle name="Normal 2 2 12 13 2" xfId="1490"/>
    <cellStyle name="Normal 2 2 12 14" xfId="1491"/>
    <cellStyle name="Normal 2 2 12 2" xfId="1492"/>
    <cellStyle name="Normal 2 2 12 2 2" xfId="1493"/>
    <cellStyle name="Normal 2 2 12 3" xfId="1494"/>
    <cellStyle name="Normal 2 2 12 3 2" xfId="1495"/>
    <cellStyle name="Normal 2 2 12 4" xfId="1496"/>
    <cellStyle name="Normal 2 2 12 4 2" xfId="1497"/>
    <cellStyle name="Normal 2 2 12 5" xfId="1498"/>
    <cellStyle name="Normal 2 2 12 5 2" xfId="1499"/>
    <cellStyle name="Normal 2 2 12 6" xfId="1500"/>
    <cellStyle name="Normal 2 2 12 6 2" xfId="1501"/>
    <cellStyle name="Normal 2 2 12 7" xfId="1502"/>
    <cellStyle name="Normal 2 2 12 7 2" xfId="1503"/>
    <cellStyle name="Normal 2 2 12 8" xfId="1504"/>
    <cellStyle name="Normal 2 2 12 8 2" xfId="1505"/>
    <cellStyle name="Normal 2 2 12 9" xfId="1506"/>
    <cellStyle name="Normal 2 2 12 9 2" xfId="1507"/>
    <cellStyle name="Normal 2 2 13" xfId="1508"/>
    <cellStyle name="Normal 2 2 13 10" xfId="1509"/>
    <cellStyle name="Normal 2 2 13 10 2" xfId="1510"/>
    <cellStyle name="Normal 2 2 13 11" xfId="1511"/>
    <cellStyle name="Normal 2 2 13 11 2" xfId="1512"/>
    <cellStyle name="Normal 2 2 13 12" xfId="1513"/>
    <cellStyle name="Normal 2 2 13 12 2" xfId="1514"/>
    <cellStyle name="Normal 2 2 13 13" xfId="1515"/>
    <cellStyle name="Normal 2 2 13 13 2" xfId="1516"/>
    <cellStyle name="Normal 2 2 13 14" xfId="1517"/>
    <cellStyle name="Normal 2 2 13 2" xfId="1518"/>
    <cellStyle name="Normal 2 2 13 2 2" xfId="1519"/>
    <cellStyle name="Normal 2 2 13 3" xfId="1520"/>
    <cellStyle name="Normal 2 2 13 3 2" xfId="1521"/>
    <cellStyle name="Normal 2 2 13 4" xfId="1522"/>
    <cellStyle name="Normal 2 2 13 4 2" xfId="1523"/>
    <cellStyle name="Normal 2 2 13 5" xfId="1524"/>
    <cellStyle name="Normal 2 2 13 5 2" xfId="1525"/>
    <cellStyle name="Normal 2 2 13 6" xfId="1526"/>
    <cellStyle name="Normal 2 2 13 6 2" xfId="1527"/>
    <cellStyle name="Normal 2 2 13 7" xfId="1528"/>
    <cellStyle name="Normal 2 2 13 7 2" xfId="1529"/>
    <cellStyle name="Normal 2 2 13 8" xfId="1530"/>
    <cellStyle name="Normal 2 2 13 8 2" xfId="1531"/>
    <cellStyle name="Normal 2 2 13 9" xfId="1532"/>
    <cellStyle name="Normal 2 2 13 9 2" xfId="1533"/>
    <cellStyle name="Normal 2 2 14" xfId="1534"/>
    <cellStyle name="Normal 2 2 14 10" xfId="1535"/>
    <cellStyle name="Normal 2 2 14 10 2" xfId="1536"/>
    <cellStyle name="Normal 2 2 14 11" xfId="1537"/>
    <cellStyle name="Normal 2 2 14 11 2" xfId="1538"/>
    <cellStyle name="Normal 2 2 14 12" xfId="1539"/>
    <cellStyle name="Normal 2 2 14 12 2" xfId="1540"/>
    <cellStyle name="Normal 2 2 14 13" xfId="1541"/>
    <cellStyle name="Normal 2 2 14 13 2" xfId="1542"/>
    <cellStyle name="Normal 2 2 14 14" xfId="1543"/>
    <cellStyle name="Normal 2 2 14 2" xfId="1544"/>
    <cellStyle name="Normal 2 2 14 2 2" xfId="1545"/>
    <cellStyle name="Normal 2 2 14 3" xfId="1546"/>
    <cellStyle name="Normal 2 2 14 3 2" xfId="1547"/>
    <cellStyle name="Normal 2 2 14 4" xfId="1548"/>
    <cellStyle name="Normal 2 2 14 4 2" xfId="1549"/>
    <cellStyle name="Normal 2 2 14 5" xfId="1550"/>
    <cellStyle name="Normal 2 2 14 5 2" xfId="1551"/>
    <cellStyle name="Normal 2 2 14 6" xfId="1552"/>
    <cellStyle name="Normal 2 2 14 6 2" xfId="1553"/>
    <cellStyle name="Normal 2 2 14 7" xfId="1554"/>
    <cellStyle name="Normal 2 2 14 7 2" xfId="1555"/>
    <cellStyle name="Normal 2 2 14 8" xfId="1556"/>
    <cellStyle name="Normal 2 2 14 8 2" xfId="1557"/>
    <cellStyle name="Normal 2 2 14 9" xfId="1558"/>
    <cellStyle name="Normal 2 2 14 9 2" xfId="1559"/>
    <cellStyle name="Normal 2 2 15" xfId="1560"/>
    <cellStyle name="Normal 2 2 15 2" xfId="1561"/>
    <cellStyle name="Normal 2 2 16" xfId="1562"/>
    <cellStyle name="Normal 2 2 16 2" xfId="1563"/>
    <cellStyle name="Normal 2 2 17" xfId="1564"/>
    <cellStyle name="Normal 2 2 17 2" xfId="1565"/>
    <cellStyle name="Normal 2 2 18" xfId="1566"/>
    <cellStyle name="Normal 2 2 18 2" xfId="1567"/>
    <cellStyle name="Normal 2 2 19" xfId="1568"/>
    <cellStyle name="Normal 2 2 19 2" xfId="1569"/>
    <cellStyle name="Normal 2 2 2" xfId="1570"/>
    <cellStyle name="Normal 2 2 2 10" xfId="1571"/>
    <cellStyle name="Normal 2 2 2 10 2" xfId="1572"/>
    <cellStyle name="Normal 2 2 2 11" xfId="1573"/>
    <cellStyle name="Normal 2 2 2 11 2" xfId="1574"/>
    <cellStyle name="Normal 2 2 2 12" xfId="1575"/>
    <cellStyle name="Normal 2 2 2 12 2" xfId="1576"/>
    <cellStyle name="Normal 2 2 2 13" xfId="1577"/>
    <cellStyle name="Normal 2 2 2 13 2" xfId="1578"/>
    <cellStyle name="Normal 2 2 2 14" xfId="1579"/>
    <cellStyle name="Normal 2 2 2 14 2" xfId="1580"/>
    <cellStyle name="Normal 2 2 2 15" xfId="1581"/>
    <cellStyle name="Normal 2 2 2 15 2" xfId="1582"/>
    <cellStyle name="Normal 2 2 2 16" xfId="1583"/>
    <cellStyle name="Normal 2 2 2 16 2" xfId="1584"/>
    <cellStyle name="Normal 2 2 2 17" xfId="1585"/>
    <cellStyle name="Normal 2 2 2 2" xfId="1586"/>
    <cellStyle name="Normal 2 2 2 2 2" xfId="1587"/>
    <cellStyle name="Normal 2 2 2 3" xfId="1588"/>
    <cellStyle name="Normal 2 2 2 3 2" xfId="1589"/>
    <cellStyle name="Normal 2 2 2 4" xfId="1590"/>
    <cellStyle name="Normal 2 2 2 4 2" xfId="1591"/>
    <cellStyle name="Normal 2 2 2 5" xfId="1592"/>
    <cellStyle name="Normal 2 2 2 5 2" xfId="1593"/>
    <cellStyle name="Normal 2 2 2 6" xfId="1594"/>
    <cellStyle name="Normal 2 2 2 6 2" xfId="1595"/>
    <cellStyle name="Normal 2 2 2 7" xfId="1596"/>
    <cellStyle name="Normal 2 2 2 7 2" xfId="1597"/>
    <cellStyle name="Normal 2 2 2 8" xfId="1598"/>
    <cellStyle name="Normal 2 2 2 8 2" xfId="1599"/>
    <cellStyle name="Normal 2 2 2 9" xfId="1600"/>
    <cellStyle name="Normal 2 2 2 9 2" xfId="1601"/>
    <cellStyle name="Normal 2 2 20" xfId="1602"/>
    <cellStyle name="Normal 2 2 20 2" xfId="1603"/>
    <cellStyle name="Normal 2 2 21" xfId="1604"/>
    <cellStyle name="Normal 2 2 21 2" xfId="1605"/>
    <cellStyle name="Normal 2 2 22" xfId="1606"/>
    <cellStyle name="Normal 2 2 22 2" xfId="1607"/>
    <cellStyle name="Normal 2 2 23" xfId="1608"/>
    <cellStyle name="Normal 2 2 23 2" xfId="1609"/>
    <cellStyle name="Normal 2 2 24" xfId="1610"/>
    <cellStyle name="Normal 2 2 24 2" xfId="1611"/>
    <cellStyle name="Normal 2 2 25" xfId="1612"/>
    <cellStyle name="Normal 2 2 25 2" xfId="1613"/>
    <cellStyle name="Normal 2 2 26" xfId="1614"/>
    <cellStyle name="Normal 2 2 26 2" xfId="1615"/>
    <cellStyle name="Normal 2 2 27" xfId="1616"/>
    <cellStyle name="Normal 2 2 27 2" xfId="1617"/>
    <cellStyle name="Normal 2 2 28" xfId="1618"/>
    <cellStyle name="Normal 2 2 28 2" xfId="1619"/>
    <cellStyle name="Normal 2 2 29" xfId="1620"/>
    <cellStyle name="Normal 2 2 29 2" xfId="1621"/>
    <cellStyle name="Normal 2 2 3" xfId="1622"/>
    <cellStyle name="Normal 2 2 3 10" xfId="1623"/>
    <cellStyle name="Normal 2 2 3 10 2" xfId="1624"/>
    <cellStyle name="Normal 2 2 3 11" xfId="1625"/>
    <cellStyle name="Normal 2 2 3 11 2" xfId="1626"/>
    <cellStyle name="Normal 2 2 3 12" xfId="1627"/>
    <cellStyle name="Normal 2 2 3 12 2" xfId="1628"/>
    <cellStyle name="Normal 2 2 3 13" xfId="1629"/>
    <cellStyle name="Normal 2 2 3 13 2" xfId="1630"/>
    <cellStyle name="Normal 2 2 3 14" xfId="1631"/>
    <cellStyle name="Normal 2 2 3 14 2" xfId="1632"/>
    <cellStyle name="Normal 2 2 3 15" xfId="1633"/>
    <cellStyle name="Normal 2 2 3 15 2" xfId="1634"/>
    <cellStyle name="Normal 2 2 3 16" xfId="1635"/>
    <cellStyle name="Normal 2 2 3 16 2" xfId="1636"/>
    <cellStyle name="Normal 2 2 3 17" xfId="1637"/>
    <cellStyle name="Normal 2 2 3 2" xfId="1638"/>
    <cellStyle name="Normal 2 2 3 2 2" xfId="1639"/>
    <cellStyle name="Normal 2 2 3 3" xfId="1640"/>
    <cellStyle name="Normal 2 2 3 3 2" xfId="1641"/>
    <cellStyle name="Normal 2 2 3 4" xfId="1642"/>
    <cellStyle name="Normal 2 2 3 4 2" xfId="1643"/>
    <cellStyle name="Normal 2 2 3 5" xfId="1644"/>
    <cellStyle name="Normal 2 2 3 5 2" xfId="1645"/>
    <cellStyle name="Normal 2 2 3 6" xfId="1646"/>
    <cellStyle name="Normal 2 2 3 6 2" xfId="1647"/>
    <cellStyle name="Normal 2 2 3 7" xfId="1648"/>
    <cellStyle name="Normal 2 2 3 7 2" xfId="1649"/>
    <cellStyle name="Normal 2 2 3 8" xfId="1650"/>
    <cellStyle name="Normal 2 2 3 8 2" xfId="1651"/>
    <cellStyle name="Normal 2 2 3 9" xfId="1652"/>
    <cellStyle name="Normal 2 2 3 9 2" xfId="1653"/>
    <cellStyle name="Normal 2 2 30" xfId="1654"/>
    <cellStyle name="Normal 2 2 30 2" xfId="1655"/>
    <cellStyle name="Normal 2 2 31" xfId="1656"/>
    <cellStyle name="Normal 2 2 32" xfId="1657"/>
    <cellStyle name="Normal 2 2 33" xfId="1658"/>
    <cellStyle name="Normal 2 2 34" xfId="1659"/>
    <cellStyle name="Normal 2 2 4" xfId="1660"/>
    <cellStyle name="Normal 2 2 4 10" xfId="1661"/>
    <cellStyle name="Normal 2 2 4 10 2" xfId="1662"/>
    <cellStyle name="Normal 2 2 4 11" xfId="1663"/>
    <cellStyle name="Normal 2 2 4 11 2" xfId="1664"/>
    <cellStyle name="Normal 2 2 4 12" xfId="1665"/>
    <cellStyle name="Normal 2 2 4 12 2" xfId="1666"/>
    <cellStyle name="Normal 2 2 4 13" xfId="1667"/>
    <cellStyle name="Normal 2 2 4 13 2" xfId="1668"/>
    <cellStyle name="Normal 2 2 4 14" xfId="1669"/>
    <cellStyle name="Normal 2 2 4 14 2" xfId="1670"/>
    <cellStyle name="Normal 2 2 4 15" xfId="1671"/>
    <cellStyle name="Normal 2 2 4 15 2" xfId="1672"/>
    <cellStyle name="Normal 2 2 4 16" xfId="1673"/>
    <cellStyle name="Normal 2 2 4 16 2" xfId="1674"/>
    <cellStyle name="Normal 2 2 4 17" xfId="1675"/>
    <cellStyle name="Normal 2 2 4 2" xfId="1676"/>
    <cellStyle name="Normal 2 2 4 2 2" xfId="1677"/>
    <cellStyle name="Normal 2 2 4 3" xfId="1678"/>
    <cellStyle name="Normal 2 2 4 3 2" xfId="1679"/>
    <cellStyle name="Normal 2 2 4 4" xfId="1680"/>
    <cellStyle name="Normal 2 2 4 4 2" xfId="1681"/>
    <cellStyle name="Normal 2 2 4 5" xfId="1682"/>
    <cellStyle name="Normal 2 2 4 5 2" xfId="1683"/>
    <cellStyle name="Normal 2 2 4 6" xfId="1684"/>
    <cellStyle name="Normal 2 2 4 6 2" xfId="1685"/>
    <cellStyle name="Normal 2 2 4 7" xfId="1686"/>
    <cellStyle name="Normal 2 2 4 7 2" xfId="1687"/>
    <cellStyle name="Normal 2 2 4 8" xfId="1688"/>
    <cellStyle name="Normal 2 2 4 8 2" xfId="1689"/>
    <cellStyle name="Normal 2 2 4 9" xfId="1690"/>
    <cellStyle name="Normal 2 2 4 9 2" xfId="1691"/>
    <cellStyle name="Normal 2 2 5" xfId="1692"/>
    <cellStyle name="Normal 2 2 5 10" xfId="1693"/>
    <cellStyle name="Normal 2 2 5 10 2" xfId="1694"/>
    <cellStyle name="Normal 2 2 5 11" xfId="1695"/>
    <cellStyle name="Normal 2 2 5 11 2" xfId="1696"/>
    <cellStyle name="Normal 2 2 5 12" xfId="1697"/>
    <cellStyle name="Normal 2 2 5 12 2" xfId="1698"/>
    <cellStyle name="Normal 2 2 5 13" xfId="1699"/>
    <cellStyle name="Normal 2 2 5 13 2" xfId="1700"/>
    <cellStyle name="Normal 2 2 5 14" xfId="1701"/>
    <cellStyle name="Normal 2 2 5 14 2" xfId="1702"/>
    <cellStyle name="Normal 2 2 5 15" xfId="1703"/>
    <cellStyle name="Normal 2 2 5 15 2" xfId="1704"/>
    <cellStyle name="Normal 2 2 5 16" xfId="1705"/>
    <cellStyle name="Normal 2 2 5 16 2" xfId="1706"/>
    <cellStyle name="Normal 2 2 5 17" xfId="1707"/>
    <cellStyle name="Normal 2 2 5 2" xfId="1708"/>
    <cellStyle name="Normal 2 2 5 2 2" xfId="1709"/>
    <cellStyle name="Normal 2 2 5 3" xfId="1710"/>
    <cellStyle name="Normal 2 2 5 3 2" xfId="1711"/>
    <cellStyle name="Normal 2 2 5 4" xfId="1712"/>
    <cellStyle name="Normal 2 2 5 4 2" xfId="1713"/>
    <cellStyle name="Normal 2 2 5 5" xfId="1714"/>
    <cellStyle name="Normal 2 2 5 5 2" xfId="1715"/>
    <cellStyle name="Normal 2 2 5 6" xfId="1716"/>
    <cellStyle name="Normal 2 2 5 6 2" xfId="1717"/>
    <cellStyle name="Normal 2 2 5 7" xfId="1718"/>
    <cellStyle name="Normal 2 2 5 7 2" xfId="1719"/>
    <cellStyle name="Normal 2 2 5 8" xfId="1720"/>
    <cellStyle name="Normal 2 2 5 8 2" xfId="1721"/>
    <cellStyle name="Normal 2 2 5 9" xfId="1722"/>
    <cellStyle name="Normal 2 2 5 9 2" xfId="1723"/>
    <cellStyle name="Normal 2 2 6" xfId="1724"/>
    <cellStyle name="Normal 2 2 6 10" xfId="1725"/>
    <cellStyle name="Normal 2 2 6 10 2" xfId="1726"/>
    <cellStyle name="Normal 2 2 6 11" xfId="1727"/>
    <cellStyle name="Normal 2 2 6 11 2" xfId="1728"/>
    <cellStyle name="Normal 2 2 6 12" xfId="1729"/>
    <cellStyle name="Normal 2 2 6 12 2" xfId="1730"/>
    <cellStyle name="Normal 2 2 6 13" xfId="1731"/>
    <cellStyle name="Normal 2 2 6 13 2" xfId="1732"/>
    <cellStyle name="Normal 2 2 6 14" xfId="1733"/>
    <cellStyle name="Normal 2 2 6 14 2" xfId="1734"/>
    <cellStyle name="Normal 2 2 6 15" xfId="1735"/>
    <cellStyle name="Normal 2 2 6 15 2" xfId="1736"/>
    <cellStyle name="Normal 2 2 6 16" xfId="1737"/>
    <cellStyle name="Normal 2 2 6 16 2" xfId="1738"/>
    <cellStyle name="Normal 2 2 6 17" xfId="1739"/>
    <cellStyle name="Normal 2 2 6 2" xfId="1740"/>
    <cellStyle name="Normal 2 2 6 2 2" xfId="1741"/>
    <cellStyle name="Normal 2 2 6 3" xfId="1742"/>
    <cellStyle name="Normal 2 2 6 3 2" xfId="1743"/>
    <cellStyle name="Normal 2 2 6 4" xfId="1744"/>
    <cellStyle name="Normal 2 2 6 4 2" xfId="1745"/>
    <cellStyle name="Normal 2 2 6 5" xfId="1746"/>
    <cellStyle name="Normal 2 2 6 5 2" xfId="1747"/>
    <cellStyle name="Normal 2 2 6 6" xfId="1748"/>
    <cellStyle name="Normal 2 2 6 6 2" xfId="1749"/>
    <cellStyle name="Normal 2 2 6 7" xfId="1750"/>
    <cellStyle name="Normal 2 2 6 7 2" xfId="1751"/>
    <cellStyle name="Normal 2 2 6 8" xfId="1752"/>
    <cellStyle name="Normal 2 2 6 8 2" xfId="1753"/>
    <cellStyle name="Normal 2 2 6 9" xfId="1754"/>
    <cellStyle name="Normal 2 2 6 9 2" xfId="1755"/>
    <cellStyle name="Normal 2 2 7" xfId="1756"/>
    <cellStyle name="Normal 2 2 7 10" xfId="1757"/>
    <cellStyle name="Normal 2 2 7 10 2" xfId="1758"/>
    <cellStyle name="Normal 2 2 7 11" xfId="1759"/>
    <cellStyle name="Normal 2 2 7 11 2" xfId="1760"/>
    <cellStyle name="Normal 2 2 7 12" xfId="1761"/>
    <cellStyle name="Normal 2 2 7 12 2" xfId="1762"/>
    <cellStyle name="Normal 2 2 7 13" xfId="1763"/>
    <cellStyle name="Normal 2 2 7 13 2" xfId="1764"/>
    <cellStyle name="Normal 2 2 7 14" xfId="1765"/>
    <cellStyle name="Normal 2 2 7 14 2" xfId="1766"/>
    <cellStyle name="Normal 2 2 7 15" xfId="1767"/>
    <cellStyle name="Normal 2 2 7 15 2" xfId="1768"/>
    <cellStyle name="Normal 2 2 7 16" xfId="1769"/>
    <cellStyle name="Normal 2 2 7 16 2" xfId="1770"/>
    <cellStyle name="Normal 2 2 7 17" xfId="1771"/>
    <cellStyle name="Normal 2 2 7 2" xfId="1772"/>
    <cellStyle name="Normal 2 2 7 2 2" xfId="1773"/>
    <cellStyle name="Normal 2 2 7 3" xfId="1774"/>
    <cellStyle name="Normal 2 2 7 3 2" xfId="1775"/>
    <cellStyle name="Normal 2 2 7 4" xfId="1776"/>
    <cellStyle name="Normal 2 2 7 4 2" xfId="1777"/>
    <cellStyle name="Normal 2 2 7 5" xfId="1778"/>
    <cellStyle name="Normal 2 2 7 5 2" xfId="1779"/>
    <cellStyle name="Normal 2 2 7 6" xfId="1780"/>
    <cellStyle name="Normal 2 2 7 6 2" xfId="1781"/>
    <cellStyle name="Normal 2 2 7 7" xfId="1782"/>
    <cellStyle name="Normal 2 2 7 7 2" xfId="1783"/>
    <cellStyle name="Normal 2 2 7 8" xfId="1784"/>
    <cellStyle name="Normal 2 2 7 8 2" xfId="1785"/>
    <cellStyle name="Normal 2 2 7 9" xfId="1786"/>
    <cellStyle name="Normal 2 2 7 9 2" xfId="1787"/>
    <cellStyle name="Normal 2 2 8" xfId="1788"/>
    <cellStyle name="Normal 2 2 8 10" xfId="1789"/>
    <cellStyle name="Normal 2 2 8 10 2" xfId="1790"/>
    <cellStyle name="Normal 2 2 8 11" xfId="1791"/>
    <cellStyle name="Normal 2 2 8 11 2" xfId="1792"/>
    <cellStyle name="Normal 2 2 8 12" xfId="1793"/>
    <cellStyle name="Normal 2 2 8 12 2" xfId="1794"/>
    <cellStyle name="Normal 2 2 8 13" xfId="1795"/>
    <cellStyle name="Normal 2 2 8 13 2" xfId="1796"/>
    <cellStyle name="Normal 2 2 8 14" xfId="1797"/>
    <cellStyle name="Normal 2 2 8 14 2" xfId="1798"/>
    <cellStyle name="Normal 2 2 8 15" xfId="1799"/>
    <cellStyle name="Normal 2 2 8 15 2" xfId="1800"/>
    <cellStyle name="Normal 2 2 8 16" xfId="1801"/>
    <cellStyle name="Normal 2 2 8 16 2" xfId="1802"/>
    <cellStyle name="Normal 2 2 8 17" xfId="1803"/>
    <cellStyle name="Normal 2 2 8 2" xfId="1804"/>
    <cellStyle name="Normal 2 2 8 2 2" xfId="1805"/>
    <cellStyle name="Normal 2 2 8 3" xfId="1806"/>
    <cellStyle name="Normal 2 2 8 3 2" xfId="1807"/>
    <cellStyle name="Normal 2 2 8 4" xfId="1808"/>
    <cellStyle name="Normal 2 2 8 4 2" xfId="1809"/>
    <cellStyle name="Normal 2 2 8 5" xfId="1810"/>
    <cellStyle name="Normal 2 2 8 5 2" xfId="1811"/>
    <cellStyle name="Normal 2 2 8 6" xfId="1812"/>
    <cellStyle name="Normal 2 2 8 6 2" xfId="1813"/>
    <cellStyle name="Normal 2 2 8 7" xfId="1814"/>
    <cellStyle name="Normal 2 2 8 7 2" xfId="1815"/>
    <cellStyle name="Normal 2 2 8 8" xfId="1816"/>
    <cellStyle name="Normal 2 2 8 8 2" xfId="1817"/>
    <cellStyle name="Normal 2 2 8 9" xfId="1818"/>
    <cellStyle name="Normal 2 2 8 9 2" xfId="1819"/>
    <cellStyle name="Normal 2 2 9" xfId="1820"/>
    <cellStyle name="Normal 2 2 9 10" xfId="1821"/>
    <cellStyle name="Normal 2 2 9 10 2" xfId="1822"/>
    <cellStyle name="Normal 2 2 9 11" xfId="1823"/>
    <cellStyle name="Normal 2 2 9 11 2" xfId="1824"/>
    <cellStyle name="Normal 2 2 9 12" xfId="1825"/>
    <cellStyle name="Normal 2 2 9 12 2" xfId="1826"/>
    <cellStyle name="Normal 2 2 9 13" xfId="1827"/>
    <cellStyle name="Normal 2 2 9 13 2" xfId="1828"/>
    <cellStyle name="Normal 2 2 9 14" xfId="1829"/>
    <cellStyle name="Normal 2 2 9 14 2" xfId="1830"/>
    <cellStyle name="Normal 2 2 9 15" xfId="1831"/>
    <cellStyle name="Normal 2 2 9 15 2" xfId="1832"/>
    <cellStyle name="Normal 2 2 9 16" xfId="1833"/>
    <cellStyle name="Normal 2 2 9 16 2" xfId="1834"/>
    <cellStyle name="Normal 2 2 9 17" xfId="1835"/>
    <cellStyle name="Normal 2 2 9 2" xfId="1836"/>
    <cellStyle name="Normal 2 2 9 2 2" xfId="1837"/>
    <cellStyle name="Normal 2 2 9 3" xfId="1838"/>
    <cellStyle name="Normal 2 2 9 3 2" xfId="1839"/>
    <cellStyle name="Normal 2 2 9 4" xfId="1840"/>
    <cellStyle name="Normal 2 2 9 4 2" xfId="1841"/>
    <cellStyle name="Normal 2 2 9 5" xfId="1842"/>
    <cellStyle name="Normal 2 2 9 5 2" xfId="1843"/>
    <cellStyle name="Normal 2 2 9 6" xfId="1844"/>
    <cellStyle name="Normal 2 2 9 6 2" xfId="1845"/>
    <cellStyle name="Normal 2 2 9 7" xfId="1846"/>
    <cellStyle name="Normal 2 2 9 7 2" xfId="1847"/>
    <cellStyle name="Normal 2 2 9 8" xfId="1848"/>
    <cellStyle name="Normal 2 2 9 8 2" xfId="1849"/>
    <cellStyle name="Normal 2 2 9 9" xfId="1850"/>
    <cellStyle name="Normal 2 2 9 9 2" xfId="1851"/>
    <cellStyle name="Normal 2 20" xfId="1852"/>
    <cellStyle name="Normal 2 20 2" xfId="1853"/>
    <cellStyle name="Normal 2 21" xfId="1854"/>
    <cellStyle name="Normal 2 21 2" xfId="1855"/>
    <cellStyle name="Normal 2 22" xfId="1856"/>
    <cellStyle name="Normal 2 22 2" xfId="1857"/>
    <cellStyle name="Normal 2 23" xfId="1858"/>
    <cellStyle name="Normal 2 23 2" xfId="1859"/>
    <cellStyle name="Normal 2 24" xfId="1860"/>
    <cellStyle name="Normal 2 24 2" xfId="1861"/>
    <cellStyle name="Normal 2 25" xfId="1862"/>
    <cellStyle name="Normal 2 25 2" xfId="1863"/>
    <cellStyle name="Normal 2 26" xfId="1864"/>
    <cellStyle name="Normal 2 26 2" xfId="1865"/>
    <cellStyle name="Normal 2 27" xfId="1866"/>
    <cellStyle name="Normal 2 27 2" xfId="1867"/>
    <cellStyle name="Normal 2 28" xfId="1868"/>
    <cellStyle name="Normal 2 28 2" xfId="1869"/>
    <cellStyle name="Normal 2 29" xfId="1870"/>
    <cellStyle name="Normal 2 29 2" xfId="1871"/>
    <cellStyle name="Normal 2 3" xfId="1872"/>
    <cellStyle name="Normal 2 3 10" xfId="1873"/>
    <cellStyle name="Normal 2 3 10 10" xfId="1874"/>
    <cellStyle name="Normal 2 3 10 10 2" xfId="1875"/>
    <cellStyle name="Normal 2 3 10 11" xfId="1876"/>
    <cellStyle name="Normal 2 3 10 11 2" xfId="1877"/>
    <cellStyle name="Normal 2 3 10 12" xfId="1878"/>
    <cellStyle name="Normal 2 3 10 12 2" xfId="1879"/>
    <cellStyle name="Normal 2 3 10 13" xfId="1880"/>
    <cellStyle name="Normal 2 3 10 13 2" xfId="1881"/>
    <cellStyle name="Normal 2 3 10 14" xfId="1882"/>
    <cellStyle name="Normal 2 3 10 14 2" xfId="1883"/>
    <cellStyle name="Normal 2 3 10 15" xfId="1884"/>
    <cellStyle name="Normal 2 3 10 15 2" xfId="1885"/>
    <cellStyle name="Normal 2 3 10 16" xfId="1886"/>
    <cellStyle name="Normal 2 3 10 16 2" xfId="1887"/>
    <cellStyle name="Normal 2 3 10 17" xfId="1888"/>
    <cellStyle name="Normal 2 3 10 2" xfId="1889"/>
    <cellStyle name="Normal 2 3 10 2 2" xfId="1890"/>
    <cellStyle name="Normal 2 3 10 3" xfId="1891"/>
    <cellStyle name="Normal 2 3 10 3 2" xfId="1892"/>
    <cellStyle name="Normal 2 3 10 4" xfId="1893"/>
    <cellStyle name="Normal 2 3 10 4 2" xfId="1894"/>
    <cellStyle name="Normal 2 3 10 5" xfId="1895"/>
    <cellStyle name="Normal 2 3 10 5 2" xfId="1896"/>
    <cellStyle name="Normal 2 3 10 6" xfId="1897"/>
    <cellStyle name="Normal 2 3 10 6 2" xfId="1898"/>
    <cellStyle name="Normal 2 3 10 7" xfId="1899"/>
    <cellStyle name="Normal 2 3 10 7 2" xfId="1900"/>
    <cellStyle name="Normal 2 3 10 8" xfId="1901"/>
    <cellStyle name="Normal 2 3 10 8 2" xfId="1902"/>
    <cellStyle name="Normal 2 3 10 9" xfId="1903"/>
    <cellStyle name="Normal 2 3 10 9 2" xfId="1904"/>
    <cellStyle name="Normal 2 3 11" xfId="1905"/>
    <cellStyle name="Normal 2 3 11 10" xfId="1906"/>
    <cellStyle name="Normal 2 3 11 10 2" xfId="1907"/>
    <cellStyle name="Normal 2 3 11 11" xfId="1908"/>
    <cellStyle name="Normal 2 3 11 11 2" xfId="1909"/>
    <cellStyle name="Normal 2 3 11 12" xfId="1910"/>
    <cellStyle name="Normal 2 3 11 12 2" xfId="1911"/>
    <cellStyle name="Normal 2 3 11 13" xfId="1912"/>
    <cellStyle name="Normal 2 3 11 13 2" xfId="1913"/>
    <cellStyle name="Normal 2 3 11 14" xfId="1914"/>
    <cellStyle name="Normal 2 3 11 14 2" xfId="1915"/>
    <cellStyle name="Normal 2 3 11 15" xfId="1916"/>
    <cellStyle name="Normal 2 3 11 15 2" xfId="1917"/>
    <cellStyle name="Normal 2 3 11 16" xfId="1918"/>
    <cellStyle name="Normal 2 3 11 16 2" xfId="1919"/>
    <cellStyle name="Normal 2 3 11 17" xfId="1920"/>
    <cellStyle name="Normal 2 3 11 2" xfId="1921"/>
    <cellStyle name="Normal 2 3 11 2 2" xfId="1922"/>
    <cellStyle name="Normal 2 3 11 2 3" xfId="1923"/>
    <cellStyle name="Normal 2 3 11 2 4" xfId="1924"/>
    <cellStyle name="Normal 2 3 11 2 5" xfId="1925"/>
    <cellStyle name="Normal 2 3 11 3" xfId="1926"/>
    <cellStyle name="Normal 2 3 11 3 2" xfId="1927"/>
    <cellStyle name="Normal 2 3 11 4" xfId="1928"/>
    <cellStyle name="Normal 2 3 11 4 2" xfId="1929"/>
    <cellStyle name="Normal 2 3 11 5" xfId="1930"/>
    <cellStyle name="Normal 2 3 11 5 2" xfId="1931"/>
    <cellStyle name="Normal 2 3 11 6" xfId="1932"/>
    <cellStyle name="Normal 2 3 11 6 2" xfId="1933"/>
    <cellStyle name="Normal 2 3 11 7" xfId="1934"/>
    <cellStyle name="Normal 2 3 11 7 2" xfId="1935"/>
    <cellStyle name="Normal 2 3 11 8" xfId="1936"/>
    <cellStyle name="Normal 2 3 11 8 2" xfId="1937"/>
    <cellStyle name="Normal 2 3 11 9" xfId="1938"/>
    <cellStyle name="Normal 2 3 11 9 2" xfId="1939"/>
    <cellStyle name="Normal 2 3 12" xfId="1940"/>
    <cellStyle name="Normal 2 3 12 10" xfId="1941"/>
    <cellStyle name="Normal 2 3 12 10 2" xfId="1942"/>
    <cellStyle name="Normal 2 3 12 11" xfId="1943"/>
    <cellStyle name="Normal 2 3 12 11 2" xfId="1944"/>
    <cellStyle name="Normal 2 3 12 12" xfId="1945"/>
    <cellStyle name="Normal 2 3 12 12 2" xfId="1946"/>
    <cellStyle name="Normal 2 3 12 13" xfId="1947"/>
    <cellStyle name="Normal 2 3 12 13 2" xfId="1948"/>
    <cellStyle name="Normal 2 3 12 14" xfId="1949"/>
    <cellStyle name="Normal 2 3 12 2" xfId="1950"/>
    <cellStyle name="Normal 2 3 12 2 2" xfId="1951"/>
    <cellStyle name="Normal 2 3 12 3" xfId="1952"/>
    <cellStyle name="Normal 2 3 12 3 2" xfId="1953"/>
    <cellStyle name="Normal 2 3 12 4" xfId="1954"/>
    <cellStyle name="Normal 2 3 12 4 2" xfId="1955"/>
    <cellStyle name="Normal 2 3 12 5" xfId="1956"/>
    <cellStyle name="Normal 2 3 12 5 2" xfId="1957"/>
    <cellStyle name="Normal 2 3 12 6" xfId="1958"/>
    <cellStyle name="Normal 2 3 12 6 2" xfId="1959"/>
    <cellStyle name="Normal 2 3 12 7" xfId="1960"/>
    <cellStyle name="Normal 2 3 12 7 2" xfId="1961"/>
    <cellStyle name="Normal 2 3 12 8" xfId="1962"/>
    <cellStyle name="Normal 2 3 12 8 2" xfId="1963"/>
    <cellStyle name="Normal 2 3 12 9" xfId="1964"/>
    <cellStyle name="Normal 2 3 12 9 2" xfId="1965"/>
    <cellStyle name="Normal 2 3 13" xfId="1966"/>
    <cellStyle name="Normal 2 3 13 10" xfId="1967"/>
    <cellStyle name="Normal 2 3 13 10 2" xfId="1968"/>
    <cellStyle name="Normal 2 3 13 11" xfId="1969"/>
    <cellStyle name="Normal 2 3 13 11 2" xfId="1970"/>
    <cellStyle name="Normal 2 3 13 12" xfId="1971"/>
    <cellStyle name="Normal 2 3 13 12 2" xfId="1972"/>
    <cellStyle name="Normal 2 3 13 13" xfId="1973"/>
    <cellStyle name="Normal 2 3 13 13 2" xfId="1974"/>
    <cellStyle name="Normal 2 3 13 14" xfId="1975"/>
    <cellStyle name="Normal 2 3 13 2" xfId="1976"/>
    <cellStyle name="Normal 2 3 13 2 2" xfId="1977"/>
    <cellStyle name="Normal 2 3 13 3" xfId="1978"/>
    <cellStyle name="Normal 2 3 13 3 2" xfId="1979"/>
    <cellStyle name="Normal 2 3 13 4" xfId="1980"/>
    <cellStyle name="Normal 2 3 13 4 2" xfId="1981"/>
    <cellStyle name="Normal 2 3 13 5" xfId="1982"/>
    <cellStyle name="Normal 2 3 13 5 2" xfId="1983"/>
    <cellStyle name="Normal 2 3 13 6" xfId="1984"/>
    <cellStyle name="Normal 2 3 13 6 2" xfId="1985"/>
    <cellStyle name="Normal 2 3 13 7" xfId="1986"/>
    <cellStyle name="Normal 2 3 13 7 2" xfId="1987"/>
    <cellStyle name="Normal 2 3 13 8" xfId="1988"/>
    <cellStyle name="Normal 2 3 13 8 2" xfId="1989"/>
    <cellStyle name="Normal 2 3 13 9" xfId="1990"/>
    <cellStyle name="Normal 2 3 13 9 2" xfId="1991"/>
    <cellStyle name="Normal 2 3 14" xfId="1992"/>
    <cellStyle name="Normal 2 3 14 10" xfId="1993"/>
    <cellStyle name="Normal 2 3 14 10 2" xfId="1994"/>
    <cellStyle name="Normal 2 3 14 11" xfId="1995"/>
    <cellStyle name="Normal 2 3 14 11 2" xfId="1996"/>
    <cellStyle name="Normal 2 3 14 12" xfId="1997"/>
    <cellStyle name="Normal 2 3 14 12 2" xfId="1998"/>
    <cellStyle name="Normal 2 3 14 13" xfId="1999"/>
    <cellStyle name="Normal 2 3 14 13 2" xfId="2000"/>
    <cellStyle name="Normal 2 3 14 14" xfId="2001"/>
    <cellStyle name="Normal 2 3 14 2" xfId="2002"/>
    <cellStyle name="Normal 2 3 14 2 2" xfId="2003"/>
    <cellStyle name="Normal 2 3 14 3" xfId="2004"/>
    <cellStyle name="Normal 2 3 14 3 2" xfId="2005"/>
    <cellStyle name="Normal 2 3 14 4" xfId="2006"/>
    <cellStyle name="Normal 2 3 14 4 2" xfId="2007"/>
    <cellStyle name="Normal 2 3 14 5" xfId="2008"/>
    <cellStyle name="Normal 2 3 14 5 2" xfId="2009"/>
    <cellStyle name="Normal 2 3 14 6" xfId="2010"/>
    <cellStyle name="Normal 2 3 14 6 2" xfId="2011"/>
    <cellStyle name="Normal 2 3 14 7" xfId="2012"/>
    <cellStyle name="Normal 2 3 14 7 2" xfId="2013"/>
    <cellStyle name="Normal 2 3 14 8" xfId="2014"/>
    <cellStyle name="Normal 2 3 14 8 2" xfId="2015"/>
    <cellStyle name="Normal 2 3 14 9" xfId="2016"/>
    <cellStyle name="Normal 2 3 14 9 2" xfId="2017"/>
    <cellStyle name="Normal 2 3 15" xfId="2018"/>
    <cellStyle name="Normal 2 3 15 2" xfId="2019"/>
    <cellStyle name="Normal 2 3 16" xfId="2020"/>
    <cellStyle name="Normal 2 3 16 2" xfId="2021"/>
    <cellStyle name="Normal 2 3 17" xfId="2022"/>
    <cellStyle name="Normal 2 3 17 2" xfId="2023"/>
    <cellStyle name="Normal 2 3 18" xfId="2024"/>
    <cellStyle name="Normal 2 3 18 2" xfId="2025"/>
    <cellStyle name="Normal 2 3 19" xfId="2026"/>
    <cellStyle name="Normal 2 3 19 2" xfId="2027"/>
    <cellStyle name="Normal 2 3 2" xfId="2028"/>
    <cellStyle name="Normal 2 3 2 10" xfId="2029"/>
    <cellStyle name="Normal 2 3 2 10 2" xfId="2030"/>
    <cellStyle name="Normal 2 3 2 11" xfId="2031"/>
    <cellStyle name="Normal 2 3 2 11 2" xfId="2032"/>
    <cellStyle name="Normal 2 3 2 12" xfId="2033"/>
    <cellStyle name="Normal 2 3 2 12 2" xfId="2034"/>
    <cellStyle name="Normal 2 3 2 13" xfId="2035"/>
    <cellStyle name="Normal 2 3 2 13 2" xfId="2036"/>
    <cellStyle name="Normal 2 3 2 14" xfId="2037"/>
    <cellStyle name="Normal 2 3 2 14 2" xfId="2038"/>
    <cellStyle name="Normal 2 3 2 15" xfId="2039"/>
    <cellStyle name="Normal 2 3 2 15 2" xfId="2040"/>
    <cellStyle name="Normal 2 3 2 16" xfId="2041"/>
    <cellStyle name="Normal 2 3 2 16 2" xfId="2042"/>
    <cellStyle name="Normal 2 3 2 17" xfId="2043"/>
    <cellStyle name="Normal 2 3 2 2" xfId="2044"/>
    <cellStyle name="Normal 2 3 2 2 10" xfId="2045"/>
    <cellStyle name="Normal 2 3 2 2 11" xfId="2046"/>
    <cellStyle name="Normal 2 3 2 2 12" xfId="2047"/>
    <cellStyle name="Normal 2 3 2 2 13" xfId="2048"/>
    <cellStyle name="Normal 2 3 2 2 14" xfId="2049"/>
    <cellStyle name="Normal 2 3 2 2 15" xfId="2050"/>
    <cellStyle name="Normal 2 3 2 2 16" xfId="2051"/>
    <cellStyle name="Normal 2 3 2 2 2" xfId="2052"/>
    <cellStyle name="Normal 2 3 2 2 2 10" xfId="2053"/>
    <cellStyle name="Normal 2 3 2 2 2 11" xfId="2054"/>
    <cellStyle name="Normal 2 3 2 2 2 12" xfId="2055"/>
    <cellStyle name="Normal 2 3 2 2 2 13" xfId="2056"/>
    <cellStyle name="Normal 2 3 2 2 2 14" xfId="2057"/>
    <cellStyle name="Normal 2 3 2 2 2 2" xfId="2058"/>
    <cellStyle name="Normal 2 3 2 2 2 2 10" xfId="2059"/>
    <cellStyle name="Normal 2 3 2 2 2 2 11" xfId="2060"/>
    <cellStyle name="Normal 2 3 2 2 2 2 12" xfId="2061"/>
    <cellStyle name="Normal 2 3 2 2 2 2 13" xfId="2062"/>
    <cellStyle name="Normal 2 3 2 2 2 2 2" xfId="2063"/>
    <cellStyle name="Normal 2 3 2 2 2 2 2 2" xfId="2064"/>
    <cellStyle name="Normal 2 3 2 2 2 2 2 2 2" xfId="2065"/>
    <cellStyle name="Normal 2 3 2 2 2 2 2 2 2 2" xfId="2066"/>
    <cellStyle name="Normal 2 3 2 2 2 2 2 2 2 2 2" xfId="2067"/>
    <cellStyle name="Normal 2 3 2 2 2 2 2 2 2 2 2 2" xfId="2068"/>
    <cellStyle name="Normal 2 3 2 2 2 2 2 2 2 2 3" xfId="2069"/>
    <cellStyle name="Normal 2 3 2 2 2 2 2 2 2 2 4" xfId="2070"/>
    <cellStyle name="Normal 2 3 2 2 2 2 2 2 2 3" xfId="2071"/>
    <cellStyle name="Normal 2 3 2 2 2 2 2 2 2 4" xfId="2072"/>
    <cellStyle name="Normal 2 3 2 2 2 2 2 2 3" xfId="2073"/>
    <cellStyle name="Normal 2 3 2 2 2 2 2 2 4" xfId="2074"/>
    <cellStyle name="Normal 2 3 2 2 2 2 2 2 5" xfId="2075"/>
    <cellStyle name="Normal 2 3 2 2 2 2 2 2 6" xfId="2076"/>
    <cellStyle name="Normal 2 3 2 2 2 2 2 2 7" xfId="2077"/>
    <cellStyle name="Normal 2 3 2 2 2 2 2 3" xfId="2078"/>
    <cellStyle name="Normal 2 3 2 2 2 2 2 3 2" xfId="2079"/>
    <cellStyle name="Normal 2 3 2 2 2 2 2 3 2 2" xfId="2080"/>
    <cellStyle name="Normal 2 3 2 2 2 2 2 3 2 3" xfId="2081"/>
    <cellStyle name="Normal 2 3 2 2 2 2 2 3 2 4" xfId="2082"/>
    <cellStyle name="Normal 2 3 2 2 2 2 2 3 3" xfId="2083"/>
    <cellStyle name="Normal 2 3 2 2 2 2 2 3 4" xfId="2084"/>
    <cellStyle name="Normal 2 3 2 2 2 2 2 4" xfId="2085"/>
    <cellStyle name="Normal 2 3 2 2 2 2 2 5" xfId="2086"/>
    <cellStyle name="Normal 2 3 2 2 2 2 2 6" xfId="2087"/>
    <cellStyle name="Normal 2 3 2 2 2 2 2 7" xfId="2088"/>
    <cellStyle name="Normal 2 3 2 2 2 2 3" xfId="2089"/>
    <cellStyle name="Normal 2 3 2 2 2 2 4" xfId="2090"/>
    <cellStyle name="Normal 2 3 2 2 2 2 5" xfId="2091"/>
    <cellStyle name="Normal 2 3 2 2 2 2 5 2" xfId="2092"/>
    <cellStyle name="Normal 2 3 2 2 2 2 5 2 2" xfId="2093"/>
    <cellStyle name="Normal 2 3 2 2 2 2 5 2 3" xfId="2094"/>
    <cellStyle name="Normal 2 3 2 2 2 2 5 2 4" xfId="2095"/>
    <cellStyle name="Normal 2 3 2 2 2 2 5 3" xfId="2096"/>
    <cellStyle name="Normal 2 3 2 2 2 2 5 4" xfId="2097"/>
    <cellStyle name="Normal 2 3 2 2 2 2 6" xfId="2098"/>
    <cellStyle name="Normal 2 3 2 2 2 2 7" xfId="2099"/>
    <cellStyle name="Normal 2 3 2 2 2 2 8" xfId="2100"/>
    <cellStyle name="Normal 2 3 2 2 2 2 9" xfId="2101"/>
    <cellStyle name="Normal 2 3 2 2 2 3" xfId="2102"/>
    <cellStyle name="Normal 2 3 2 2 2 3 2" xfId="2103"/>
    <cellStyle name="Normal 2 3 2 2 2 3 2 2" xfId="2104"/>
    <cellStyle name="Normal 2 3 2 2 2 3 2 2 2" xfId="2105"/>
    <cellStyle name="Normal 2 3 2 2 2 3 2 2 2 2" xfId="2106"/>
    <cellStyle name="Normal 2 3 2 2 2 3 2 2 2 2 2" xfId="2107"/>
    <cellStyle name="Normal 2 3 2 2 2 3 2 2 2 3" xfId="2108"/>
    <cellStyle name="Normal 2 3 2 2 2 3 2 2 2 4" xfId="2109"/>
    <cellStyle name="Normal 2 3 2 2 2 3 2 2 3" xfId="2110"/>
    <cellStyle name="Normal 2 3 2 2 2 3 2 2 4" xfId="2111"/>
    <cellStyle name="Normal 2 3 2 2 2 3 2 3" xfId="2112"/>
    <cellStyle name="Normal 2 3 2 2 2 3 2 4" xfId="2113"/>
    <cellStyle name="Normal 2 3 2 2 2 3 2 5" xfId="2114"/>
    <cellStyle name="Normal 2 3 2 2 2 3 2 6" xfId="2115"/>
    <cellStyle name="Normal 2 3 2 2 2 3 2 7" xfId="2116"/>
    <cellStyle name="Normal 2 3 2 2 2 3 3" xfId="2117"/>
    <cellStyle name="Normal 2 3 2 2 2 3 3 2" xfId="2118"/>
    <cellStyle name="Normal 2 3 2 2 2 3 3 2 2" xfId="2119"/>
    <cellStyle name="Normal 2 3 2 2 2 3 3 2 3" xfId="2120"/>
    <cellStyle name="Normal 2 3 2 2 2 3 3 2 4" xfId="2121"/>
    <cellStyle name="Normal 2 3 2 2 2 3 3 3" xfId="2122"/>
    <cellStyle name="Normal 2 3 2 2 2 3 3 4" xfId="2123"/>
    <cellStyle name="Normal 2 3 2 2 2 3 4" xfId="2124"/>
    <cellStyle name="Normal 2 3 2 2 2 3 5" xfId="2125"/>
    <cellStyle name="Normal 2 3 2 2 2 3 6" xfId="2126"/>
    <cellStyle name="Normal 2 3 2 2 2 3 7" xfId="2127"/>
    <cellStyle name="Normal 2 3 2 2 2 4" xfId="2128"/>
    <cellStyle name="Normal 2 3 2 2 2 5" xfId="2129"/>
    <cellStyle name="Normal 2 3 2 2 2 5 2" xfId="2130"/>
    <cellStyle name="Normal 2 3 2 2 2 5 2 2" xfId="2131"/>
    <cellStyle name="Normal 2 3 2 2 2 5 2 3" xfId="2132"/>
    <cellStyle name="Normal 2 3 2 2 2 5 2 4" xfId="2133"/>
    <cellStyle name="Normal 2 3 2 2 2 5 3" xfId="2134"/>
    <cellStyle name="Normal 2 3 2 2 2 5 4" xfId="2135"/>
    <cellStyle name="Normal 2 3 2 2 2 6" xfId="2136"/>
    <cellStyle name="Normal 2 3 2 2 2 7" xfId="2137"/>
    <cellStyle name="Normal 2 3 2 2 2 8" xfId="2138"/>
    <cellStyle name="Normal 2 3 2 2 2 9" xfId="2139"/>
    <cellStyle name="Normal 2 3 2 2 3" xfId="2140"/>
    <cellStyle name="Normal 2 3 2 2 3 10" xfId="2141"/>
    <cellStyle name="Normal 2 3 2 2 3 11" xfId="2142"/>
    <cellStyle name="Normal 2 3 2 2 3 12" xfId="2143"/>
    <cellStyle name="Normal 2 3 2 2 3 13" xfId="2144"/>
    <cellStyle name="Normal 2 3 2 2 3 2" xfId="2145"/>
    <cellStyle name="Normal 2 3 2 2 3 3" xfId="2146"/>
    <cellStyle name="Normal 2 3 2 2 3 4" xfId="2147"/>
    <cellStyle name="Normal 2 3 2 2 3 5" xfId="2148"/>
    <cellStyle name="Normal 2 3 2 2 3 6" xfId="2149"/>
    <cellStyle name="Normal 2 3 2 2 3 7" xfId="2150"/>
    <cellStyle name="Normal 2 3 2 2 3 8" xfId="2151"/>
    <cellStyle name="Normal 2 3 2 2 3 9" xfId="2152"/>
    <cellStyle name="Normal 2 3 2 2 4" xfId="2153"/>
    <cellStyle name="Normal 2 3 2 2 4 10" xfId="2154"/>
    <cellStyle name="Normal 2 3 2 2 4 11" xfId="2155"/>
    <cellStyle name="Normal 2 3 2 2 4 12" xfId="2156"/>
    <cellStyle name="Normal 2 3 2 2 4 13" xfId="2157"/>
    <cellStyle name="Normal 2 3 2 2 4 2" xfId="2158"/>
    <cellStyle name="Normal 2 3 2 2 4 3" xfId="2159"/>
    <cellStyle name="Normal 2 3 2 2 4 4" xfId="2160"/>
    <cellStyle name="Normal 2 3 2 2 4 5" xfId="2161"/>
    <cellStyle name="Normal 2 3 2 2 4 6" xfId="2162"/>
    <cellStyle name="Normal 2 3 2 2 4 7" xfId="2163"/>
    <cellStyle name="Normal 2 3 2 2 4 8" xfId="2164"/>
    <cellStyle name="Normal 2 3 2 2 4 9" xfId="2165"/>
    <cellStyle name="Normal 2 3 2 2 5" xfId="2166"/>
    <cellStyle name="Normal 2 3 2 2 5 2" xfId="2167"/>
    <cellStyle name="Normal 2 3 2 2 5 2 2" xfId="2168"/>
    <cellStyle name="Normal 2 3 2 2 5 2 2 2" xfId="2169"/>
    <cellStyle name="Normal 2 3 2 2 5 2 2 2 2" xfId="2170"/>
    <cellStyle name="Normal 2 3 2 2 5 2 2 2 2 2" xfId="2171"/>
    <cellStyle name="Normal 2 3 2 2 5 2 2 2 3" xfId="2172"/>
    <cellStyle name="Normal 2 3 2 2 5 2 2 2 4" xfId="2173"/>
    <cellStyle name="Normal 2 3 2 2 5 2 2 3" xfId="2174"/>
    <cellStyle name="Normal 2 3 2 2 5 2 2 4" xfId="2175"/>
    <cellStyle name="Normal 2 3 2 2 5 2 3" xfId="2176"/>
    <cellStyle name="Normal 2 3 2 2 5 2 4" xfId="2177"/>
    <cellStyle name="Normal 2 3 2 2 5 2 5" xfId="2178"/>
    <cellStyle name="Normal 2 3 2 2 5 2 6" xfId="2179"/>
    <cellStyle name="Normal 2 3 2 2 5 2 7" xfId="2180"/>
    <cellStyle name="Normal 2 3 2 2 5 3" xfId="2181"/>
    <cellStyle name="Normal 2 3 2 2 5 3 2" xfId="2182"/>
    <cellStyle name="Normal 2 3 2 2 5 3 2 2" xfId="2183"/>
    <cellStyle name="Normal 2 3 2 2 5 3 2 3" xfId="2184"/>
    <cellStyle name="Normal 2 3 2 2 5 3 2 4" xfId="2185"/>
    <cellStyle name="Normal 2 3 2 2 5 3 3" xfId="2186"/>
    <cellStyle name="Normal 2 3 2 2 5 3 4" xfId="2187"/>
    <cellStyle name="Normal 2 3 2 2 5 4" xfId="2188"/>
    <cellStyle name="Normal 2 3 2 2 5 5" xfId="2189"/>
    <cellStyle name="Normal 2 3 2 2 5 6" xfId="2190"/>
    <cellStyle name="Normal 2 3 2 2 5 7" xfId="2191"/>
    <cellStyle name="Normal 2 3 2 2 6" xfId="2192"/>
    <cellStyle name="Normal 2 3 2 2 7" xfId="2193"/>
    <cellStyle name="Normal 2 3 2 2 8" xfId="2194"/>
    <cellStyle name="Normal 2 3 2 2 8 2" xfId="2195"/>
    <cellStyle name="Normal 2 3 2 2 8 2 2" xfId="2196"/>
    <cellStyle name="Normal 2 3 2 2 8 2 3" xfId="2197"/>
    <cellStyle name="Normal 2 3 2 2 8 2 4" xfId="2198"/>
    <cellStyle name="Normal 2 3 2 2 8 3" xfId="2199"/>
    <cellStyle name="Normal 2 3 2 2 8 4" xfId="2200"/>
    <cellStyle name="Normal 2 3 2 2 9" xfId="2201"/>
    <cellStyle name="Normal 2 3 2 3" xfId="2202"/>
    <cellStyle name="Normal 2 3 2 3 10" xfId="2203"/>
    <cellStyle name="Normal 2 3 2 3 11" xfId="2204"/>
    <cellStyle name="Normal 2 3 2 3 12" xfId="2205"/>
    <cellStyle name="Normal 2 3 2 3 13" xfId="2206"/>
    <cellStyle name="Normal 2 3 2 3 2" xfId="2207"/>
    <cellStyle name="Normal 2 3 2 3 2 10" xfId="2208"/>
    <cellStyle name="Normal 2 3 2 3 2 11" xfId="2209"/>
    <cellStyle name="Normal 2 3 2 3 2 12" xfId="2210"/>
    <cellStyle name="Normal 2 3 2 3 2 13" xfId="2211"/>
    <cellStyle name="Normal 2 3 2 3 2 14" xfId="2212"/>
    <cellStyle name="Normal 2 3 2 3 2 2" xfId="2213"/>
    <cellStyle name="Normal 2 3 2 3 2 2 2" xfId="2214"/>
    <cellStyle name="Normal 2 3 2 3 2 2 2 2" xfId="2215"/>
    <cellStyle name="Normal 2 3 2 3 2 2 2 2 2" xfId="2216"/>
    <cellStyle name="Normal 2 3 2 3 2 2 2 2 2 2" xfId="2217"/>
    <cellStyle name="Normal 2 3 2 3 2 2 2 2 2 2 2" xfId="2218"/>
    <cellStyle name="Normal 2 3 2 3 2 2 2 2 2 3" xfId="2219"/>
    <cellStyle name="Normal 2 3 2 3 2 2 2 2 2 4" xfId="2220"/>
    <cellStyle name="Normal 2 3 2 3 2 2 2 2 3" xfId="2221"/>
    <cellStyle name="Normal 2 3 2 3 2 2 2 2 4" xfId="2222"/>
    <cellStyle name="Normal 2 3 2 3 2 2 2 3" xfId="2223"/>
    <cellStyle name="Normal 2 3 2 3 2 2 2 4" xfId="2224"/>
    <cellStyle name="Normal 2 3 2 3 2 2 2 5" xfId="2225"/>
    <cellStyle name="Normal 2 3 2 3 2 2 2 6" xfId="2226"/>
    <cellStyle name="Normal 2 3 2 3 2 2 2 7" xfId="2227"/>
    <cellStyle name="Normal 2 3 2 3 2 2 3" xfId="2228"/>
    <cellStyle name="Normal 2 3 2 3 2 2 3 2" xfId="2229"/>
    <cellStyle name="Normal 2 3 2 3 2 2 3 2 2" xfId="2230"/>
    <cellStyle name="Normal 2 3 2 3 2 2 3 2 3" xfId="2231"/>
    <cellStyle name="Normal 2 3 2 3 2 2 3 2 4" xfId="2232"/>
    <cellStyle name="Normal 2 3 2 3 2 2 3 3" xfId="2233"/>
    <cellStyle name="Normal 2 3 2 3 2 2 3 4" xfId="2234"/>
    <cellStyle name="Normal 2 3 2 3 2 2 4" xfId="2235"/>
    <cellStyle name="Normal 2 3 2 3 2 2 5" xfId="2236"/>
    <cellStyle name="Normal 2 3 2 3 2 2 6" xfId="2237"/>
    <cellStyle name="Normal 2 3 2 3 2 2 7" xfId="2238"/>
    <cellStyle name="Normal 2 3 2 3 2 3" xfId="2239"/>
    <cellStyle name="Normal 2 3 2 3 2 4" xfId="2240"/>
    <cellStyle name="Normal 2 3 2 3 2 5" xfId="2241"/>
    <cellStyle name="Normal 2 3 2 3 2 5 2" xfId="2242"/>
    <cellStyle name="Normal 2 3 2 3 2 5 2 2" xfId="2243"/>
    <cellStyle name="Normal 2 3 2 3 2 5 2 3" xfId="2244"/>
    <cellStyle name="Normal 2 3 2 3 2 5 2 4" xfId="2245"/>
    <cellStyle name="Normal 2 3 2 3 2 5 3" xfId="2246"/>
    <cellStyle name="Normal 2 3 2 3 2 5 4" xfId="2247"/>
    <cellStyle name="Normal 2 3 2 3 2 6" xfId="2248"/>
    <cellStyle name="Normal 2 3 2 3 2 7" xfId="2249"/>
    <cellStyle name="Normal 2 3 2 3 2 8" xfId="2250"/>
    <cellStyle name="Normal 2 3 2 3 2 9" xfId="2251"/>
    <cellStyle name="Normal 2 3 2 3 3" xfId="2252"/>
    <cellStyle name="Normal 2 3 2 3 3 2" xfId="2253"/>
    <cellStyle name="Normal 2 3 2 3 3 2 2" xfId="2254"/>
    <cellStyle name="Normal 2 3 2 3 3 2 2 2" xfId="2255"/>
    <cellStyle name="Normal 2 3 2 3 3 2 2 2 2" xfId="2256"/>
    <cellStyle name="Normal 2 3 2 3 3 2 2 2 2 2" xfId="2257"/>
    <cellStyle name="Normal 2 3 2 3 3 2 2 2 3" xfId="2258"/>
    <cellStyle name="Normal 2 3 2 3 3 2 2 2 4" xfId="2259"/>
    <cellStyle name="Normal 2 3 2 3 3 2 2 3" xfId="2260"/>
    <cellStyle name="Normal 2 3 2 3 3 2 2 4" xfId="2261"/>
    <cellStyle name="Normal 2 3 2 3 3 2 3" xfId="2262"/>
    <cellStyle name="Normal 2 3 2 3 3 2 4" xfId="2263"/>
    <cellStyle name="Normal 2 3 2 3 3 2 5" xfId="2264"/>
    <cellStyle name="Normal 2 3 2 3 3 2 6" xfId="2265"/>
    <cellStyle name="Normal 2 3 2 3 3 2 7" xfId="2266"/>
    <cellStyle name="Normal 2 3 2 3 3 3" xfId="2267"/>
    <cellStyle name="Normal 2 3 2 3 3 3 2" xfId="2268"/>
    <cellStyle name="Normal 2 3 2 3 3 3 2 2" xfId="2269"/>
    <cellStyle name="Normal 2 3 2 3 3 3 2 3" xfId="2270"/>
    <cellStyle name="Normal 2 3 2 3 3 3 2 4" xfId="2271"/>
    <cellStyle name="Normal 2 3 2 3 3 3 3" xfId="2272"/>
    <cellStyle name="Normal 2 3 2 3 3 3 4" xfId="2273"/>
    <cellStyle name="Normal 2 3 2 3 3 4" xfId="2274"/>
    <cellStyle name="Normal 2 3 2 3 3 5" xfId="2275"/>
    <cellStyle name="Normal 2 3 2 3 3 6" xfId="2276"/>
    <cellStyle name="Normal 2 3 2 3 3 7" xfId="2277"/>
    <cellStyle name="Normal 2 3 2 3 4" xfId="2278"/>
    <cellStyle name="Normal 2 3 2 3 5" xfId="2279"/>
    <cellStyle name="Normal 2 3 2 3 5 2" xfId="2280"/>
    <cellStyle name="Normal 2 3 2 3 5 2 2" xfId="2281"/>
    <cellStyle name="Normal 2 3 2 3 5 2 3" xfId="2282"/>
    <cellStyle name="Normal 2 3 2 3 5 2 4" xfId="2283"/>
    <cellStyle name="Normal 2 3 2 3 5 3" xfId="2284"/>
    <cellStyle name="Normal 2 3 2 3 5 4" xfId="2285"/>
    <cellStyle name="Normal 2 3 2 3 6" xfId="2286"/>
    <cellStyle name="Normal 2 3 2 3 7" xfId="2287"/>
    <cellStyle name="Normal 2 3 2 3 8" xfId="2288"/>
    <cellStyle name="Normal 2 3 2 3 9" xfId="2289"/>
    <cellStyle name="Normal 2 3 2 4" xfId="2290"/>
    <cellStyle name="Normal 2 3 2 4 2" xfId="2291"/>
    <cellStyle name="Normal 2 3 2 5" xfId="2292"/>
    <cellStyle name="Normal 2 3 2 5 2" xfId="2293"/>
    <cellStyle name="Normal 2 3 2 5 2 2" xfId="2294"/>
    <cellStyle name="Normal 2 3 2 5 2 2 2" xfId="2295"/>
    <cellStyle name="Normal 2 3 2 5 2 2 2 2" xfId="2296"/>
    <cellStyle name="Normal 2 3 2 5 2 2 2 2 2" xfId="2297"/>
    <cellStyle name="Normal 2 3 2 5 2 2 2 3" xfId="2298"/>
    <cellStyle name="Normal 2 3 2 5 2 2 2 4" xfId="2299"/>
    <cellStyle name="Normal 2 3 2 5 2 2 3" xfId="2300"/>
    <cellStyle name="Normal 2 3 2 5 2 2 4" xfId="2301"/>
    <cellStyle name="Normal 2 3 2 5 2 3" xfId="2302"/>
    <cellStyle name="Normal 2 3 2 5 2 4" xfId="2303"/>
    <cellStyle name="Normal 2 3 2 5 2 5" xfId="2304"/>
    <cellStyle name="Normal 2 3 2 5 2 6" xfId="2305"/>
    <cellStyle name="Normal 2 3 2 5 2 7" xfId="2306"/>
    <cellStyle name="Normal 2 3 2 5 2 8" xfId="2307"/>
    <cellStyle name="Normal 2 3 2 5 3" xfId="2308"/>
    <cellStyle name="Normal 2 3 2 5 3 2" xfId="2309"/>
    <cellStyle name="Normal 2 3 2 5 3 2 2" xfId="2310"/>
    <cellStyle name="Normal 2 3 2 5 3 2 3" xfId="2311"/>
    <cellStyle name="Normal 2 3 2 5 3 2 4" xfId="2312"/>
    <cellStyle name="Normal 2 3 2 5 3 3" xfId="2313"/>
    <cellStyle name="Normal 2 3 2 5 3 4" xfId="2314"/>
    <cellStyle name="Normal 2 3 2 5 4" xfId="2315"/>
    <cellStyle name="Normal 2 3 2 5 5" xfId="2316"/>
    <cellStyle name="Normal 2 3 2 5 6" xfId="2317"/>
    <cellStyle name="Normal 2 3 2 5 7" xfId="2318"/>
    <cellStyle name="Normal 2 3 2 6" xfId="2319"/>
    <cellStyle name="Normal 2 3 2 6 2" xfId="2320"/>
    <cellStyle name="Normal 2 3 2 7" xfId="2321"/>
    <cellStyle name="Normal 2 3 2 7 2" xfId="2322"/>
    <cellStyle name="Normal 2 3 2 8" xfId="2323"/>
    <cellStyle name="Normal 2 3 2 8 2" xfId="2324"/>
    <cellStyle name="Normal 2 3 2 8 2 2" xfId="2325"/>
    <cellStyle name="Normal 2 3 2 8 2 3" xfId="2326"/>
    <cellStyle name="Normal 2 3 2 8 2 4" xfId="2327"/>
    <cellStyle name="Normal 2 3 2 8 3" xfId="2328"/>
    <cellStyle name="Normal 2 3 2 8 4" xfId="2329"/>
    <cellStyle name="Normal 2 3 2 8 5" xfId="2330"/>
    <cellStyle name="Normal 2 3 2 9" xfId="2331"/>
    <cellStyle name="Normal 2 3 2 9 2" xfId="2332"/>
    <cellStyle name="Normal 2 3 20" xfId="2333"/>
    <cellStyle name="Normal 2 3 20 2" xfId="2334"/>
    <cellStyle name="Normal 2 3 21" xfId="2335"/>
    <cellStyle name="Normal 2 3 21 2" xfId="2336"/>
    <cellStyle name="Normal 2 3 22" xfId="2337"/>
    <cellStyle name="Normal 2 3 22 2" xfId="2338"/>
    <cellStyle name="Normal 2 3 23" xfId="2339"/>
    <cellStyle name="Normal 2 3 23 2" xfId="2340"/>
    <cellStyle name="Normal 2 3 24" xfId="2341"/>
    <cellStyle name="Normal 2 3 24 2" xfId="2342"/>
    <cellStyle name="Normal 2 3 25" xfId="2343"/>
    <cellStyle name="Normal 2 3 25 2" xfId="2344"/>
    <cellStyle name="Normal 2 3 26" xfId="2345"/>
    <cellStyle name="Normal 2 3 26 2" xfId="2346"/>
    <cellStyle name="Normal 2 3 27" xfId="2347"/>
    <cellStyle name="Normal 2 3 27 2" xfId="2348"/>
    <cellStyle name="Normal 2 3 28" xfId="2349"/>
    <cellStyle name="Normal 2 3 28 2" xfId="2350"/>
    <cellStyle name="Normal 2 3 29" xfId="2351"/>
    <cellStyle name="Normal 2 3 29 2" xfId="2352"/>
    <cellStyle name="Normal 2 3 3" xfId="2353"/>
    <cellStyle name="Normal 2 3 3 10" xfId="2354"/>
    <cellStyle name="Normal 2 3 3 10 2" xfId="2355"/>
    <cellStyle name="Normal 2 3 3 11" xfId="2356"/>
    <cellStyle name="Normal 2 3 3 11 2" xfId="2357"/>
    <cellStyle name="Normal 2 3 3 12" xfId="2358"/>
    <cellStyle name="Normal 2 3 3 12 2" xfId="2359"/>
    <cellStyle name="Normal 2 3 3 13" xfId="2360"/>
    <cellStyle name="Normal 2 3 3 13 2" xfId="2361"/>
    <cellStyle name="Normal 2 3 3 14" xfId="2362"/>
    <cellStyle name="Normal 2 3 3 14 2" xfId="2363"/>
    <cellStyle name="Normal 2 3 3 15" xfId="2364"/>
    <cellStyle name="Normal 2 3 3 15 2" xfId="2365"/>
    <cellStyle name="Normal 2 3 3 16" xfId="2366"/>
    <cellStyle name="Normal 2 3 3 16 2" xfId="2367"/>
    <cellStyle name="Normal 2 3 3 17" xfId="2368"/>
    <cellStyle name="Normal 2 3 3 2" xfId="2369"/>
    <cellStyle name="Normal 2 3 3 2 2" xfId="2370"/>
    <cellStyle name="Normal 2 3 3 3" xfId="2371"/>
    <cellStyle name="Normal 2 3 3 3 2" xfId="2372"/>
    <cellStyle name="Normal 2 3 3 4" xfId="2373"/>
    <cellStyle name="Normal 2 3 3 4 2" xfId="2374"/>
    <cellStyle name="Normal 2 3 3 5" xfId="2375"/>
    <cellStyle name="Normal 2 3 3 5 2" xfId="2376"/>
    <cellStyle name="Normal 2 3 3 6" xfId="2377"/>
    <cellStyle name="Normal 2 3 3 6 2" xfId="2378"/>
    <cellStyle name="Normal 2 3 3 7" xfId="2379"/>
    <cellStyle name="Normal 2 3 3 7 2" xfId="2380"/>
    <cellStyle name="Normal 2 3 3 8" xfId="2381"/>
    <cellStyle name="Normal 2 3 3 8 2" xfId="2382"/>
    <cellStyle name="Normal 2 3 3 9" xfId="2383"/>
    <cellStyle name="Normal 2 3 3 9 2" xfId="2384"/>
    <cellStyle name="Normal 2 3 30" xfId="2385"/>
    <cellStyle name="Normal 2 3 4" xfId="2386"/>
    <cellStyle name="Normal 2 3 4 10" xfId="2387"/>
    <cellStyle name="Normal 2 3 4 10 2" xfId="2388"/>
    <cellStyle name="Normal 2 3 4 11" xfId="2389"/>
    <cellStyle name="Normal 2 3 4 11 2" xfId="2390"/>
    <cellStyle name="Normal 2 3 4 12" xfId="2391"/>
    <cellStyle name="Normal 2 3 4 12 2" xfId="2392"/>
    <cellStyle name="Normal 2 3 4 13" xfId="2393"/>
    <cellStyle name="Normal 2 3 4 13 2" xfId="2394"/>
    <cellStyle name="Normal 2 3 4 14" xfId="2395"/>
    <cellStyle name="Normal 2 3 4 14 2" xfId="2396"/>
    <cellStyle name="Normal 2 3 4 15" xfId="2397"/>
    <cellStyle name="Normal 2 3 4 15 2" xfId="2398"/>
    <cellStyle name="Normal 2 3 4 16" xfId="2399"/>
    <cellStyle name="Normal 2 3 4 16 2" xfId="2400"/>
    <cellStyle name="Normal 2 3 4 17" xfId="2401"/>
    <cellStyle name="Normal 2 3 4 2" xfId="2402"/>
    <cellStyle name="Normal 2 3 4 2 2" xfId="2403"/>
    <cellStyle name="Normal 2 3 4 3" xfId="2404"/>
    <cellStyle name="Normal 2 3 4 3 2" xfId="2405"/>
    <cellStyle name="Normal 2 3 4 4" xfId="2406"/>
    <cellStyle name="Normal 2 3 4 4 2" xfId="2407"/>
    <cellStyle name="Normal 2 3 4 5" xfId="2408"/>
    <cellStyle name="Normal 2 3 4 5 2" xfId="2409"/>
    <cellStyle name="Normal 2 3 4 6" xfId="2410"/>
    <cellStyle name="Normal 2 3 4 6 2" xfId="2411"/>
    <cellStyle name="Normal 2 3 4 7" xfId="2412"/>
    <cellStyle name="Normal 2 3 4 7 2" xfId="2413"/>
    <cellStyle name="Normal 2 3 4 8" xfId="2414"/>
    <cellStyle name="Normal 2 3 4 8 2" xfId="2415"/>
    <cellStyle name="Normal 2 3 4 9" xfId="2416"/>
    <cellStyle name="Normal 2 3 4 9 2" xfId="2417"/>
    <cellStyle name="Normal 2 3 5" xfId="2418"/>
    <cellStyle name="Normal 2 3 5 10" xfId="2419"/>
    <cellStyle name="Normal 2 3 5 10 2" xfId="2420"/>
    <cellStyle name="Normal 2 3 5 11" xfId="2421"/>
    <cellStyle name="Normal 2 3 5 11 2" xfId="2422"/>
    <cellStyle name="Normal 2 3 5 12" xfId="2423"/>
    <cellStyle name="Normal 2 3 5 12 2" xfId="2424"/>
    <cellStyle name="Normal 2 3 5 13" xfId="2425"/>
    <cellStyle name="Normal 2 3 5 13 2" xfId="2426"/>
    <cellStyle name="Normal 2 3 5 14" xfId="2427"/>
    <cellStyle name="Normal 2 3 5 14 2" xfId="2428"/>
    <cellStyle name="Normal 2 3 5 15" xfId="2429"/>
    <cellStyle name="Normal 2 3 5 15 2" xfId="2430"/>
    <cellStyle name="Normal 2 3 5 16" xfId="2431"/>
    <cellStyle name="Normal 2 3 5 16 2" xfId="2432"/>
    <cellStyle name="Normal 2 3 5 17" xfId="2433"/>
    <cellStyle name="Normal 2 3 5 2" xfId="2434"/>
    <cellStyle name="Normal 2 3 5 2 10" xfId="2435"/>
    <cellStyle name="Normal 2 3 5 2 11" xfId="2436"/>
    <cellStyle name="Normal 2 3 5 2 12" xfId="2437"/>
    <cellStyle name="Normal 2 3 5 2 13" xfId="2438"/>
    <cellStyle name="Normal 2 3 5 2 2" xfId="2439"/>
    <cellStyle name="Normal 2 3 5 2 2 2" xfId="2440"/>
    <cellStyle name="Normal 2 3 5 2 2 2 2" xfId="2441"/>
    <cellStyle name="Normal 2 3 5 2 2 2 2 2" xfId="2442"/>
    <cellStyle name="Normal 2 3 5 2 2 2 2 2 2" xfId="2443"/>
    <cellStyle name="Normal 2 3 5 2 2 2 2 2 2 2" xfId="2444"/>
    <cellStyle name="Normal 2 3 5 2 2 2 2 2 3" xfId="2445"/>
    <cellStyle name="Normal 2 3 5 2 2 2 2 2 4" xfId="2446"/>
    <cellStyle name="Normal 2 3 5 2 2 2 2 3" xfId="2447"/>
    <cellStyle name="Normal 2 3 5 2 2 2 2 4" xfId="2448"/>
    <cellStyle name="Normal 2 3 5 2 2 2 3" xfId="2449"/>
    <cellStyle name="Normal 2 3 5 2 2 2 4" xfId="2450"/>
    <cellStyle name="Normal 2 3 5 2 2 2 5" xfId="2451"/>
    <cellStyle name="Normal 2 3 5 2 2 2 6" xfId="2452"/>
    <cellStyle name="Normal 2 3 5 2 2 2 7" xfId="2453"/>
    <cellStyle name="Normal 2 3 5 2 2 3" xfId="2454"/>
    <cellStyle name="Normal 2 3 5 2 2 3 2" xfId="2455"/>
    <cellStyle name="Normal 2 3 5 2 2 3 2 2" xfId="2456"/>
    <cellStyle name="Normal 2 3 5 2 2 3 2 3" xfId="2457"/>
    <cellStyle name="Normal 2 3 5 2 2 3 2 4" xfId="2458"/>
    <cellStyle name="Normal 2 3 5 2 2 3 3" xfId="2459"/>
    <cellStyle name="Normal 2 3 5 2 2 3 4" xfId="2460"/>
    <cellStyle name="Normal 2 3 5 2 2 4" xfId="2461"/>
    <cellStyle name="Normal 2 3 5 2 2 5" xfId="2462"/>
    <cellStyle name="Normal 2 3 5 2 2 6" xfId="2463"/>
    <cellStyle name="Normal 2 3 5 2 2 7" xfId="2464"/>
    <cellStyle name="Normal 2 3 5 2 2 8" xfId="2465"/>
    <cellStyle name="Normal 2 3 5 2 3" xfId="2466"/>
    <cellStyle name="Normal 2 3 5 2 4" xfId="2467"/>
    <cellStyle name="Normal 2 3 5 2 5" xfId="2468"/>
    <cellStyle name="Normal 2 3 5 2 5 2" xfId="2469"/>
    <cellStyle name="Normal 2 3 5 2 5 2 2" xfId="2470"/>
    <cellStyle name="Normal 2 3 5 2 5 2 3" xfId="2471"/>
    <cellStyle name="Normal 2 3 5 2 5 2 4" xfId="2472"/>
    <cellStyle name="Normal 2 3 5 2 5 3" xfId="2473"/>
    <cellStyle name="Normal 2 3 5 2 5 4" xfId="2474"/>
    <cellStyle name="Normal 2 3 5 2 6" xfId="2475"/>
    <cellStyle name="Normal 2 3 5 2 7" xfId="2476"/>
    <cellStyle name="Normal 2 3 5 2 8" xfId="2477"/>
    <cellStyle name="Normal 2 3 5 2 9" xfId="2478"/>
    <cellStyle name="Normal 2 3 5 3" xfId="2479"/>
    <cellStyle name="Normal 2 3 5 3 2" xfId="2480"/>
    <cellStyle name="Normal 2 3 5 3 2 2" xfId="2481"/>
    <cellStyle name="Normal 2 3 5 3 2 2 2" xfId="2482"/>
    <cellStyle name="Normal 2 3 5 3 2 2 2 2" xfId="2483"/>
    <cellStyle name="Normal 2 3 5 3 2 2 2 2 2" xfId="2484"/>
    <cellStyle name="Normal 2 3 5 3 2 2 2 3" xfId="2485"/>
    <cellStyle name="Normal 2 3 5 3 2 2 2 4" xfId="2486"/>
    <cellStyle name="Normal 2 3 5 3 2 2 3" xfId="2487"/>
    <cellStyle name="Normal 2 3 5 3 2 2 4" xfId="2488"/>
    <cellStyle name="Normal 2 3 5 3 2 3" xfId="2489"/>
    <cellStyle name="Normal 2 3 5 3 2 4" xfId="2490"/>
    <cellStyle name="Normal 2 3 5 3 2 5" xfId="2491"/>
    <cellStyle name="Normal 2 3 5 3 2 6" xfId="2492"/>
    <cellStyle name="Normal 2 3 5 3 2 7" xfId="2493"/>
    <cellStyle name="Normal 2 3 5 3 2 8" xfId="2494"/>
    <cellStyle name="Normal 2 3 5 3 3" xfId="2495"/>
    <cellStyle name="Normal 2 3 5 3 3 2" xfId="2496"/>
    <cellStyle name="Normal 2 3 5 3 3 2 2" xfId="2497"/>
    <cellStyle name="Normal 2 3 5 3 3 2 3" xfId="2498"/>
    <cellStyle name="Normal 2 3 5 3 3 2 4" xfId="2499"/>
    <cellStyle name="Normal 2 3 5 3 3 3" xfId="2500"/>
    <cellStyle name="Normal 2 3 5 3 3 4" xfId="2501"/>
    <cellStyle name="Normal 2 3 5 3 4" xfId="2502"/>
    <cellStyle name="Normal 2 3 5 3 5" xfId="2503"/>
    <cellStyle name="Normal 2 3 5 3 6" xfId="2504"/>
    <cellStyle name="Normal 2 3 5 3 7" xfId="2505"/>
    <cellStyle name="Normal 2 3 5 4" xfId="2506"/>
    <cellStyle name="Normal 2 3 5 4 2" xfId="2507"/>
    <cellStyle name="Normal 2 3 5 5" xfId="2508"/>
    <cellStyle name="Normal 2 3 5 5 2" xfId="2509"/>
    <cellStyle name="Normal 2 3 5 5 2 2" xfId="2510"/>
    <cellStyle name="Normal 2 3 5 5 2 3" xfId="2511"/>
    <cellStyle name="Normal 2 3 5 5 2 4" xfId="2512"/>
    <cellStyle name="Normal 2 3 5 5 3" xfId="2513"/>
    <cellStyle name="Normal 2 3 5 5 4" xfId="2514"/>
    <cellStyle name="Normal 2 3 5 5 5" xfId="2515"/>
    <cellStyle name="Normal 2 3 5 6" xfId="2516"/>
    <cellStyle name="Normal 2 3 5 6 2" xfId="2517"/>
    <cellStyle name="Normal 2 3 5 7" xfId="2518"/>
    <cellStyle name="Normal 2 3 5 7 2" xfId="2519"/>
    <cellStyle name="Normal 2 3 5 8" xfId="2520"/>
    <cellStyle name="Normal 2 3 5 8 2" xfId="2521"/>
    <cellStyle name="Normal 2 3 5 9" xfId="2522"/>
    <cellStyle name="Normal 2 3 5 9 2" xfId="2523"/>
    <cellStyle name="Normal 2 3 6" xfId="2524"/>
    <cellStyle name="Normal 2 3 6 10" xfId="2525"/>
    <cellStyle name="Normal 2 3 6 10 2" xfId="2526"/>
    <cellStyle name="Normal 2 3 6 11" xfId="2527"/>
    <cellStyle name="Normal 2 3 6 11 2" xfId="2528"/>
    <cellStyle name="Normal 2 3 6 12" xfId="2529"/>
    <cellStyle name="Normal 2 3 6 12 2" xfId="2530"/>
    <cellStyle name="Normal 2 3 6 13" xfId="2531"/>
    <cellStyle name="Normal 2 3 6 13 2" xfId="2532"/>
    <cellStyle name="Normal 2 3 6 14" xfId="2533"/>
    <cellStyle name="Normal 2 3 6 14 2" xfId="2534"/>
    <cellStyle name="Normal 2 3 6 15" xfId="2535"/>
    <cellStyle name="Normal 2 3 6 15 2" xfId="2536"/>
    <cellStyle name="Normal 2 3 6 16" xfId="2537"/>
    <cellStyle name="Normal 2 3 6 16 2" xfId="2538"/>
    <cellStyle name="Normal 2 3 6 17" xfId="2539"/>
    <cellStyle name="Normal 2 3 6 2" xfId="2540"/>
    <cellStyle name="Normal 2 3 6 2 2" xfId="2541"/>
    <cellStyle name="Normal 2 3 6 3" xfId="2542"/>
    <cellStyle name="Normal 2 3 6 3 2" xfId="2543"/>
    <cellStyle name="Normal 2 3 6 4" xfId="2544"/>
    <cellStyle name="Normal 2 3 6 4 2" xfId="2545"/>
    <cellStyle name="Normal 2 3 6 5" xfId="2546"/>
    <cellStyle name="Normal 2 3 6 5 2" xfId="2547"/>
    <cellStyle name="Normal 2 3 6 6" xfId="2548"/>
    <cellStyle name="Normal 2 3 6 6 2" xfId="2549"/>
    <cellStyle name="Normal 2 3 6 7" xfId="2550"/>
    <cellStyle name="Normal 2 3 6 7 2" xfId="2551"/>
    <cellStyle name="Normal 2 3 6 8" xfId="2552"/>
    <cellStyle name="Normal 2 3 6 8 2" xfId="2553"/>
    <cellStyle name="Normal 2 3 6 9" xfId="2554"/>
    <cellStyle name="Normal 2 3 6 9 2" xfId="2555"/>
    <cellStyle name="Normal 2 3 7" xfId="2556"/>
    <cellStyle name="Normal 2 3 7 10" xfId="2557"/>
    <cellStyle name="Normal 2 3 7 10 2" xfId="2558"/>
    <cellStyle name="Normal 2 3 7 11" xfId="2559"/>
    <cellStyle name="Normal 2 3 7 11 2" xfId="2560"/>
    <cellStyle name="Normal 2 3 7 12" xfId="2561"/>
    <cellStyle name="Normal 2 3 7 12 2" xfId="2562"/>
    <cellStyle name="Normal 2 3 7 13" xfId="2563"/>
    <cellStyle name="Normal 2 3 7 13 2" xfId="2564"/>
    <cellStyle name="Normal 2 3 7 14" xfId="2565"/>
    <cellStyle name="Normal 2 3 7 14 2" xfId="2566"/>
    <cellStyle name="Normal 2 3 7 15" xfId="2567"/>
    <cellStyle name="Normal 2 3 7 15 2" xfId="2568"/>
    <cellStyle name="Normal 2 3 7 16" xfId="2569"/>
    <cellStyle name="Normal 2 3 7 16 2" xfId="2570"/>
    <cellStyle name="Normal 2 3 7 17" xfId="2571"/>
    <cellStyle name="Normal 2 3 7 2" xfId="2572"/>
    <cellStyle name="Normal 2 3 7 2 2" xfId="2573"/>
    <cellStyle name="Normal 2 3 7 3" xfId="2574"/>
    <cellStyle name="Normal 2 3 7 3 2" xfId="2575"/>
    <cellStyle name="Normal 2 3 7 4" xfId="2576"/>
    <cellStyle name="Normal 2 3 7 4 2" xfId="2577"/>
    <cellStyle name="Normal 2 3 7 5" xfId="2578"/>
    <cellStyle name="Normal 2 3 7 5 2" xfId="2579"/>
    <cellStyle name="Normal 2 3 7 6" xfId="2580"/>
    <cellStyle name="Normal 2 3 7 6 2" xfId="2581"/>
    <cellStyle name="Normal 2 3 7 7" xfId="2582"/>
    <cellStyle name="Normal 2 3 7 7 2" xfId="2583"/>
    <cellStyle name="Normal 2 3 7 8" xfId="2584"/>
    <cellStyle name="Normal 2 3 7 8 2" xfId="2585"/>
    <cellStyle name="Normal 2 3 7 9" xfId="2586"/>
    <cellStyle name="Normal 2 3 7 9 2" xfId="2587"/>
    <cellStyle name="Normal 2 3 8" xfId="2588"/>
    <cellStyle name="Normal 2 3 8 10" xfId="2589"/>
    <cellStyle name="Normal 2 3 8 10 2" xfId="2590"/>
    <cellStyle name="Normal 2 3 8 11" xfId="2591"/>
    <cellStyle name="Normal 2 3 8 11 2" xfId="2592"/>
    <cellStyle name="Normal 2 3 8 12" xfId="2593"/>
    <cellStyle name="Normal 2 3 8 12 2" xfId="2594"/>
    <cellStyle name="Normal 2 3 8 13" xfId="2595"/>
    <cellStyle name="Normal 2 3 8 13 2" xfId="2596"/>
    <cellStyle name="Normal 2 3 8 14" xfId="2597"/>
    <cellStyle name="Normal 2 3 8 14 2" xfId="2598"/>
    <cellStyle name="Normal 2 3 8 15" xfId="2599"/>
    <cellStyle name="Normal 2 3 8 15 2" xfId="2600"/>
    <cellStyle name="Normal 2 3 8 16" xfId="2601"/>
    <cellStyle name="Normal 2 3 8 16 2" xfId="2602"/>
    <cellStyle name="Normal 2 3 8 17" xfId="2603"/>
    <cellStyle name="Normal 2 3 8 2" xfId="2604"/>
    <cellStyle name="Normal 2 3 8 2 2" xfId="2605"/>
    <cellStyle name="Normal 2 3 8 2 2 2" xfId="2606"/>
    <cellStyle name="Normal 2 3 8 2 2 2 2" xfId="2607"/>
    <cellStyle name="Normal 2 3 8 2 2 2 2 2" xfId="2608"/>
    <cellStyle name="Normal 2 3 8 2 2 2 3" xfId="2609"/>
    <cellStyle name="Normal 2 3 8 2 2 2 4" xfId="2610"/>
    <cellStyle name="Normal 2 3 8 2 2 3" xfId="2611"/>
    <cellStyle name="Normal 2 3 8 2 2 4" xfId="2612"/>
    <cellStyle name="Normal 2 3 8 2 2 5" xfId="2613"/>
    <cellStyle name="Normal 2 3 8 2 3" xfId="2614"/>
    <cellStyle name="Normal 2 3 8 2 4" xfId="2615"/>
    <cellStyle name="Normal 2 3 8 2 5" xfId="2616"/>
    <cellStyle name="Normal 2 3 8 2 6" xfId="2617"/>
    <cellStyle name="Normal 2 3 8 2 7" xfId="2618"/>
    <cellStyle name="Normal 2 3 8 3" xfId="2619"/>
    <cellStyle name="Normal 2 3 8 3 2" xfId="2620"/>
    <cellStyle name="Normal 2 3 8 3 2 2" xfId="2621"/>
    <cellStyle name="Normal 2 3 8 3 2 3" xfId="2622"/>
    <cellStyle name="Normal 2 3 8 3 2 4" xfId="2623"/>
    <cellStyle name="Normal 2 3 8 3 3" xfId="2624"/>
    <cellStyle name="Normal 2 3 8 3 4" xfId="2625"/>
    <cellStyle name="Normal 2 3 8 3 5" xfId="2626"/>
    <cellStyle name="Normal 2 3 8 4" xfId="2627"/>
    <cellStyle name="Normal 2 3 8 4 2" xfId="2628"/>
    <cellStyle name="Normal 2 3 8 5" xfId="2629"/>
    <cellStyle name="Normal 2 3 8 5 2" xfId="2630"/>
    <cellStyle name="Normal 2 3 8 6" xfId="2631"/>
    <cellStyle name="Normal 2 3 8 6 2" xfId="2632"/>
    <cellStyle name="Normal 2 3 8 7" xfId="2633"/>
    <cellStyle name="Normal 2 3 8 7 2" xfId="2634"/>
    <cellStyle name="Normal 2 3 8 8" xfId="2635"/>
    <cellStyle name="Normal 2 3 8 8 2" xfId="2636"/>
    <cellStyle name="Normal 2 3 8 9" xfId="2637"/>
    <cellStyle name="Normal 2 3 8 9 2" xfId="2638"/>
    <cellStyle name="Normal 2 3 9" xfId="2639"/>
    <cellStyle name="Normal 2 3 9 10" xfId="2640"/>
    <cellStyle name="Normal 2 3 9 10 2" xfId="2641"/>
    <cellStyle name="Normal 2 3 9 11" xfId="2642"/>
    <cellStyle name="Normal 2 3 9 11 2" xfId="2643"/>
    <cellStyle name="Normal 2 3 9 12" xfId="2644"/>
    <cellStyle name="Normal 2 3 9 12 2" xfId="2645"/>
    <cellStyle name="Normal 2 3 9 13" xfId="2646"/>
    <cellStyle name="Normal 2 3 9 13 2" xfId="2647"/>
    <cellStyle name="Normal 2 3 9 14" xfId="2648"/>
    <cellStyle name="Normal 2 3 9 14 2" xfId="2649"/>
    <cellStyle name="Normal 2 3 9 15" xfId="2650"/>
    <cellStyle name="Normal 2 3 9 15 2" xfId="2651"/>
    <cellStyle name="Normal 2 3 9 16" xfId="2652"/>
    <cellStyle name="Normal 2 3 9 16 2" xfId="2653"/>
    <cellStyle name="Normal 2 3 9 17" xfId="2654"/>
    <cellStyle name="Normal 2 3 9 2" xfId="2655"/>
    <cellStyle name="Normal 2 3 9 2 2" xfId="2656"/>
    <cellStyle name="Normal 2 3 9 3" xfId="2657"/>
    <cellStyle name="Normal 2 3 9 3 2" xfId="2658"/>
    <cellStyle name="Normal 2 3 9 4" xfId="2659"/>
    <cellStyle name="Normal 2 3 9 4 2" xfId="2660"/>
    <cellStyle name="Normal 2 3 9 5" xfId="2661"/>
    <cellStyle name="Normal 2 3 9 5 2" xfId="2662"/>
    <cellStyle name="Normal 2 3 9 6" xfId="2663"/>
    <cellStyle name="Normal 2 3 9 6 2" xfId="2664"/>
    <cellStyle name="Normal 2 3 9 7" xfId="2665"/>
    <cellStyle name="Normal 2 3 9 7 2" xfId="2666"/>
    <cellStyle name="Normal 2 3 9 8" xfId="2667"/>
    <cellStyle name="Normal 2 3 9 8 2" xfId="2668"/>
    <cellStyle name="Normal 2 3 9 9" xfId="2669"/>
    <cellStyle name="Normal 2 3 9 9 2" xfId="2670"/>
    <cellStyle name="Normal 2 30" xfId="2671"/>
    <cellStyle name="Normal 2 30 2" xfId="2672"/>
    <cellStyle name="Normal 2 31" xfId="2673"/>
    <cellStyle name="Normal 2 31 2" xfId="2674"/>
    <cellStyle name="Normal 2 32" xfId="2675"/>
    <cellStyle name="Normal 2 32 2" xfId="2676"/>
    <cellStyle name="Normal 2 33" xfId="2677"/>
    <cellStyle name="Normal 2 34" xfId="2678"/>
    <cellStyle name="Normal 2 35" xfId="2679"/>
    <cellStyle name="Normal 2 4" xfId="2680"/>
    <cellStyle name="Normal 2 4 10" xfId="2681"/>
    <cellStyle name="Normal 2 4 10 2" xfId="2682"/>
    <cellStyle name="Normal 2 4 11" xfId="2683"/>
    <cellStyle name="Normal 2 4 11 2" xfId="2684"/>
    <cellStyle name="Normal 2 4 11 2 2" xfId="2685"/>
    <cellStyle name="Normal 2 4 11 2 3" xfId="2686"/>
    <cellStyle name="Normal 2 4 11 2 4" xfId="2687"/>
    <cellStyle name="Normal 2 4 11 2 5" xfId="2688"/>
    <cellStyle name="Normal 2 4 11 3" xfId="2689"/>
    <cellStyle name="Normal 2 4 11 4" xfId="2690"/>
    <cellStyle name="Normal 2 4 12" xfId="2691"/>
    <cellStyle name="Normal 2 4 12 2" xfId="2692"/>
    <cellStyle name="Normal 2 4 13" xfId="2693"/>
    <cellStyle name="Normal 2 4 13 2" xfId="2694"/>
    <cellStyle name="Normal 2 4 14" xfId="2695"/>
    <cellStyle name="Normal 2 4 14 2" xfId="2696"/>
    <cellStyle name="Normal 2 4 15" xfId="2697"/>
    <cellStyle name="Normal 2 4 15 2" xfId="2698"/>
    <cellStyle name="Normal 2 4 16" xfId="2699"/>
    <cellStyle name="Normal 2 4 16 2" xfId="2700"/>
    <cellStyle name="Normal 2 4 17" xfId="2701"/>
    <cellStyle name="Normal 2 4 18" xfId="2702"/>
    <cellStyle name="Normal 2 4 19" xfId="2703"/>
    <cellStyle name="Normal 2 4 2" xfId="2704"/>
    <cellStyle name="Normal 2 4 2 10" xfId="2705"/>
    <cellStyle name="Normal 2 4 2 11" xfId="2706"/>
    <cellStyle name="Normal 2 4 2 11 2" xfId="2707"/>
    <cellStyle name="Normal 2 4 2 11 2 2" xfId="2708"/>
    <cellStyle name="Normal 2 4 2 11 2 3" xfId="2709"/>
    <cellStyle name="Normal 2 4 2 11 2 4" xfId="2710"/>
    <cellStyle name="Normal 2 4 2 11 3" xfId="2711"/>
    <cellStyle name="Normal 2 4 2 11 4" xfId="2712"/>
    <cellStyle name="Normal 2 4 2 12" xfId="2713"/>
    <cellStyle name="Normal 2 4 2 13" xfId="2714"/>
    <cellStyle name="Normal 2 4 2 14" xfId="2715"/>
    <cellStyle name="Normal 2 4 2 15" xfId="2716"/>
    <cellStyle name="Normal 2 4 2 16" xfId="2717"/>
    <cellStyle name="Normal 2 4 2 17" xfId="2718"/>
    <cellStyle name="Normal 2 4 2 18" xfId="2719"/>
    <cellStyle name="Normal 2 4 2 19" xfId="2720"/>
    <cellStyle name="Normal 2 4 2 2" xfId="2721"/>
    <cellStyle name="Normal 2 4 2 2 10" xfId="2722"/>
    <cellStyle name="Normal 2 4 2 2 11" xfId="2723"/>
    <cellStyle name="Normal 2 4 2 2 12" xfId="2724"/>
    <cellStyle name="Normal 2 4 2 2 13" xfId="2725"/>
    <cellStyle name="Normal 2 4 2 2 14" xfId="2726"/>
    <cellStyle name="Normal 2 4 2 2 15" xfId="2727"/>
    <cellStyle name="Normal 2 4 2 2 16" xfId="2728"/>
    <cellStyle name="Normal 2 4 2 2 2" xfId="2729"/>
    <cellStyle name="Normal 2 4 2 2 2 10" xfId="2730"/>
    <cellStyle name="Normal 2 4 2 2 2 11" xfId="2731"/>
    <cellStyle name="Normal 2 4 2 2 2 12" xfId="2732"/>
    <cellStyle name="Normal 2 4 2 2 2 13" xfId="2733"/>
    <cellStyle name="Normal 2 4 2 2 2 14" xfId="2734"/>
    <cellStyle name="Normal 2 4 2 2 2 15" xfId="2735"/>
    <cellStyle name="Normal 2 4 2 2 2 16" xfId="2736"/>
    <cellStyle name="Normal 2 4 2 2 2 2" xfId="2737"/>
    <cellStyle name="Normal 2 4 2 2 2 2 10" xfId="2738"/>
    <cellStyle name="Normal 2 4 2 2 2 2 11" xfId="2739"/>
    <cellStyle name="Normal 2 4 2 2 2 2 12" xfId="2740"/>
    <cellStyle name="Normal 2 4 2 2 2 2 13" xfId="2741"/>
    <cellStyle name="Normal 2 4 2 2 2 2 2" xfId="2742"/>
    <cellStyle name="Normal 2 4 2 2 2 2 2 10" xfId="2743"/>
    <cellStyle name="Normal 2 4 2 2 2 2 2 11" xfId="2744"/>
    <cellStyle name="Normal 2 4 2 2 2 2 2 12" xfId="2745"/>
    <cellStyle name="Normal 2 4 2 2 2 2 2 13" xfId="2746"/>
    <cellStyle name="Normal 2 4 2 2 2 2 2 2" xfId="2747"/>
    <cellStyle name="Normal 2 4 2 2 2 2 2 2 2" xfId="2748"/>
    <cellStyle name="Normal 2 4 2 2 2 2 2 2 2 2" xfId="2749"/>
    <cellStyle name="Normal 2 4 2 2 2 2 2 2 2 2 2" xfId="2750"/>
    <cellStyle name="Normal 2 4 2 2 2 2 2 2 2 2 2 2" xfId="2751"/>
    <cellStyle name="Normal 2 4 2 2 2 2 2 2 2 2 2 2 2" xfId="2752"/>
    <cellStyle name="Normal 2 4 2 2 2 2 2 2 2 2 2 3" xfId="2753"/>
    <cellStyle name="Normal 2 4 2 2 2 2 2 2 2 2 2 4" xfId="2754"/>
    <cellStyle name="Normal 2 4 2 2 2 2 2 2 2 2 3" xfId="2755"/>
    <cellStyle name="Normal 2 4 2 2 2 2 2 2 2 2 4" xfId="2756"/>
    <cellStyle name="Normal 2 4 2 2 2 2 2 2 2 3" xfId="2757"/>
    <cellStyle name="Normal 2 4 2 2 2 2 2 2 2 4" xfId="2758"/>
    <cellStyle name="Normal 2 4 2 2 2 2 2 2 2 5" xfId="2759"/>
    <cellStyle name="Normal 2 4 2 2 2 2 2 2 2 6" xfId="2760"/>
    <cellStyle name="Normal 2 4 2 2 2 2 2 2 2 7" xfId="2761"/>
    <cellStyle name="Normal 2 4 2 2 2 2 2 2 3" xfId="2762"/>
    <cellStyle name="Normal 2 4 2 2 2 2 2 2 3 2" xfId="2763"/>
    <cellStyle name="Normal 2 4 2 2 2 2 2 2 3 2 2" xfId="2764"/>
    <cellStyle name="Normal 2 4 2 2 2 2 2 2 3 2 3" xfId="2765"/>
    <cellStyle name="Normal 2 4 2 2 2 2 2 2 3 2 4" xfId="2766"/>
    <cellStyle name="Normal 2 4 2 2 2 2 2 2 3 3" xfId="2767"/>
    <cellStyle name="Normal 2 4 2 2 2 2 2 2 3 4" xfId="2768"/>
    <cellStyle name="Normal 2 4 2 2 2 2 2 2 4" xfId="2769"/>
    <cellStyle name="Normal 2 4 2 2 2 2 2 2 5" xfId="2770"/>
    <cellStyle name="Normal 2 4 2 2 2 2 2 2 6" xfId="2771"/>
    <cellStyle name="Normal 2 4 2 2 2 2 2 2 7" xfId="2772"/>
    <cellStyle name="Normal 2 4 2 2 2 2 2 3" xfId="2773"/>
    <cellStyle name="Normal 2 4 2 2 2 2 2 4" xfId="2774"/>
    <cellStyle name="Normal 2 4 2 2 2 2 2 5" xfId="2775"/>
    <cellStyle name="Normal 2 4 2 2 2 2 2 5 2" xfId="2776"/>
    <cellStyle name="Normal 2 4 2 2 2 2 2 5 2 2" xfId="2777"/>
    <cellStyle name="Normal 2 4 2 2 2 2 2 5 2 3" xfId="2778"/>
    <cellStyle name="Normal 2 4 2 2 2 2 2 5 2 4" xfId="2779"/>
    <cellStyle name="Normal 2 4 2 2 2 2 2 5 3" xfId="2780"/>
    <cellStyle name="Normal 2 4 2 2 2 2 2 5 4" xfId="2781"/>
    <cellStyle name="Normal 2 4 2 2 2 2 2 6" xfId="2782"/>
    <cellStyle name="Normal 2 4 2 2 2 2 2 7" xfId="2783"/>
    <cellStyle name="Normal 2 4 2 2 2 2 2 8" xfId="2784"/>
    <cellStyle name="Normal 2 4 2 2 2 2 2 9" xfId="2785"/>
    <cellStyle name="Normal 2 4 2 2 2 2 3" xfId="2786"/>
    <cellStyle name="Normal 2 4 2 2 2 2 3 2" xfId="2787"/>
    <cellStyle name="Normal 2 4 2 2 2 2 3 2 2" xfId="2788"/>
    <cellStyle name="Normal 2 4 2 2 2 2 3 2 2 2" xfId="2789"/>
    <cellStyle name="Normal 2 4 2 2 2 2 3 2 2 2 2" xfId="2790"/>
    <cellStyle name="Normal 2 4 2 2 2 2 3 2 2 2 2 2" xfId="2791"/>
    <cellStyle name="Normal 2 4 2 2 2 2 3 2 2 2 3" xfId="2792"/>
    <cellStyle name="Normal 2 4 2 2 2 2 3 2 2 2 4" xfId="2793"/>
    <cellStyle name="Normal 2 4 2 2 2 2 3 2 2 3" xfId="2794"/>
    <cellStyle name="Normal 2 4 2 2 2 2 3 2 2 4" xfId="2795"/>
    <cellStyle name="Normal 2 4 2 2 2 2 3 2 3" xfId="2796"/>
    <cellStyle name="Normal 2 4 2 2 2 2 3 2 4" xfId="2797"/>
    <cellStyle name="Normal 2 4 2 2 2 2 3 2 5" xfId="2798"/>
    <cellStyle name="Normal 2 4 2 2 2 2 3 2 6" xfId="2799"/>
    <cellStyle name="Normal 2 4 2 2 2 2 3 2 7" xfId="2800"/>
    <cellStyle name="Normal 2 4 2 2 2 2 3 3" xfId="2801"/>
    <cellStyle name="Normal 2 4 2 2 2 2 3 3 2" xfId="2802"/>
    <cellStyle name="Normal 2 4 2 2 2 2 3 3 2 2" xfId="2803"/>
    <cellStyle name="Normal 2 4 2 2 2 2 3 3 2 3" xfId="2804"/>
    <cellStyle name="Normal 2 4 2 2 2 2 3 3 2 4" xfId="2805"/>
    <cellStyle name="Normal 2 4 2 2 2 2 3 3 3" xfId="2806"/>
    <cellStyle name="Normal 2 4 2 2 2 2 3 3 4" xfId="2807"/>
    <cellStyle name="Normal 2 4 2 2 2 2 3 4" xfId="2808"/>
    <cellStyle name="Normal 2 4 2 2 2 2 3 5" xfId="2809"/>
    <cellStyle name="Normal 2 4 2 2 2 2 3 6" xfId="2810"/>
    <cellStyle name="Normal 2 4 2 2 2 2 3 7" xfId="2811"/>
    <cellStyle name="Normal 2 4 2 2 2 2 4" xfId="2812"/>
    <cellStyle name="Normal 2 4 2 2 2 2 5" xfId="2813"/>
    <cellStyle name="Normal 2 4 2 2 2 2 5 2" xfId="2814"/>
    <cellStyle name="Normal 2 4 2 2 2 2 5 2 2" xfId="2815"/>
    <cellStyle name="Normal 2 4 2 2 2 2 5 2 3" xfId="2816"/>
    <cellStyle name="Normal 2 4 2 2 2 2 5 2 4" xfId="2817"/>
    <cellStyle name="Normal 2 4 2 2 2 2 5 3" xfId="2818"/>
    <cellStyle name="Normal 2 4 2 2 2 2 5 4" xfId="2819"/>
    <cellStyle name="Normal 2 4 2 2 2 2 6" xfId="2820"/>
    <cellStyle name="Normal 2 4 2 2 2 2 7" xfId="2821"/>
    <cellStyle name="Normal 2 4 2 2 2 2 8" xfId="2822"/>
    <cellStyle name="Normal 2 4 2 2 2 2 9" xfId="2823"/>
    <cellStyle name="Normal 2 4 2 2 2 3" xfId="2824"/>
    <cellStyle name="Normal 2 4 2 2 2 4" xfId="2825"/>
    <cellStyle name="Normal 2 4 2 2 2 5" xfId="2826"/>
    <cellStyle name="Normal 2 4 2 2 2 5 2" xfId="2827"/>
    <cellStyle name="Normal 2 4 2 2 2 5 2 2" xfId="2828"/>
    <cellStyle name="Normal 2 4 2 2 2 5 2 2 2" xfId="2829"/>
    <cellStyle name="Normal 2 4 2 2 2 5 2 2 2 2" xfId="2830"/>
    <cellStyle name="Normal 2 4 2 2 2 5 2 2 2 2 2" xfId="2831"/>
    <cellStyle name="Normal 2 4 2 2 2 5 2 2 2 3" xfId="2832"/>
    <cellStyle name="Normal 2 4 2 2 2 5 2 2 2 4" xfId="2833"/>
    <cellStyle name="Normal 2 4 2 2 2 5 2 2 3" xfId="2834"/>
    <cellStyle name="Normal 2 4 2 2 2 5 2 2 4" xfId="2835"/>
    <cellStyle name="Normal 2 4 2 2 2 5 2 3" xfId="2836"/>
    <cellStyle name="Normal 2 4 2 2 2 5 2 4" xfId="2837"/>
    <cellStyle name="Normal 2 4 2 2 2 5 2 5" xfId="2838"/>
    <cellStyle name="Normal 2 4 2 2 2 5 2 6" xfId="2839"/>
    <cellStyle name="Normal 2 4 2 2 2 5 2 7" xfId="2840"/>
    <cellStyle name="Normal 2 4 2 2 2 5 3" xfId="2841"/>
    <cellStyle name="Normal 2 4 2 2 2 5 3 2" xfId="2842"/>
    <cellStyle name="Normal 2 4 2 2 2 5 3 2 2" xfId="2843"/>
    <cellStyle name="Normal 2 4 2 2 2 5 3 2 3" xfId="2844"/>
    <cellStyle name="Normal 2 4 2 2 2 5 3 2 4" xfId="2845"/>
    <cellStyle name="Normal 2 4 2 2 2 5 3 3" xfId="2846"/>
    <cellStyle name="Normal 2 4 2 2 2 5 3 4" xfId="2847"/>
    <cellStyle name="Normal 2 4 2 2 2 5 4" xfId="2848"/>
    <cellStyle name="Normal 2 4 2 2 2 5 5" xfId="2849"/>
    <cellStyle name="Normal 2 4 2 2 2 5 6" xfId="2850"/>
    <cellStyle name="Normal 2 4 2 2 2 5 7" xfId="2851"/>
    <cellStyle name="Normal 2 4 2 2 2 6" xfId="2852"/>
    <cellStyle name="Normal 2 4 2 2 2 7" xfId="2853"/>
    <cellStyle name="Normal 2 4 2 2 2 8" xfId="2854"/>
    <cellStyle name="Normal 2 4 2 2 2 8 2" xfId="2855"/>
    <cellStyle name="Normal 2 4 2 2 2 8 2 2" xfId="2856"/>
    <cellStyle name="Normal 2 4 2 2 2 8 2 3" xfId="2857"/>
    <cellStyle name="Normal 2 4 2 2 2 8 2 4" xfId="2858"/>
    <cellStyle name="Normal 2 4 2 2 2 8 3" xfId="2859"/>
    <cellStyle name="Normal 2 4 2 2 2 8 4" xfId="2860"/>
    <cellStyle name="Normal 2 4 2 2 2 9" xfId="2861"/>
    <cellStyle name="Normal 2 4 2 2 3" xfId="2862"/>
    <cellStyle name="Normal 2 4 2 2 3 10" xfId="2863"/>
    <cellStyle name="Normal 2 4 2 2 3 11" xfId="2864"/>
    <cellStyle name="Normal 2 4 2 2 3 12" xfId="2865"/>
    <cellStyle name="Normal 2 4 2 2 3 13" xfId="2866"/>
    <cellStyle name="Normal 2 4 2 2 3 2" xfId="2867"/>
    <cellStyle name="Normal 2 4 2 2 3 2 10" xfId="2868"/>
    <cellStyle name="Normal 2 4 2 2 3 2 11" xfId="2869"/>
    <cellStyle name="Normal 2 4 2 2 3 2 12" xfId="2870"/>
    <cellStyle name="Normal 2 4 2 2 3 2 13" xfId="2871"/>
    <cellStyle name="Normal 2 4 2 2 3 2 2" xfId="2872"/>
    <cellStyle name="Normal 2 4 2 2 3 2 2 2" xfId="2873"/>
    <cellStyle name="Normal 2 4 2 2 3 2 2 2 2" xfId="2874"/>
    <cellStyle name="Normal 2 4 2 2 3 2 2 2 2 2" xfId="2875"/>
    <cellStyle name="Normal 2 4 2 2 3 2 2 2 2 2 2" xfId="2876"/>
    <cellStyle name="Normal 2 4 2 2 3 2 2 2 2 2 2 2" xfId="2877"/>
    <cellStyle name="Normal 2 4 2 2 3 2 2 2 2 2 3" xfId="2878"/>
    <cellStyle name="Normal 2 4 2 2 3 2 2 2 2 2 4" xfId="2879"/>
    <cellStyle name="Normal 2 4 2 2 3 2 2 2 2 3" xfId="2880"/>
    <cellStyle name="Normal 2 4 2 2 3 2 2 2 2 4" xfId="2881"/>
    <cellStyle name="Normal 2 4 2 2 3 2 2 2 3" xfId="2882"/>
    <cellStyle name="Normal 2 4 2 2 3 2 2 2 4" xfId="2883"/>
    <cellStyle name="Normal 2 4 2 2 3 2 2 2 5" xfId="2884"/>
    <cellStyle name="Normal 2 4 2 2 3 2 2 2 6" xfId="2885"/>
    <cellStyle name="Normal 2 4 2 2 3 2 2 2 7" xfId="2886"/>
    <cellStyle name="Normal 2 4 2 2 3 2 2 3" xfId="2887"/>
    <cellStyle name="Normal 2 4 2 2 3 2 2 3 2" xfId="2888"/>
    <cellStyle name="Normal 2 4 2 2 3 2 2 3 2 2" xfId="2889"/>
    <cellStyle name="Normal 2 4 2 2 3 2 2 3 2 3" xfId="2890"/>
    <cellStyle name="Normal 2 4 2 2 3 2 2 3 2 4" xfId="2891"/>
    <cellStyle name="Normal 2 4 2 2 3 2 2 3 3" xfId="2892"/>
    <cellStyle name="Normal 2 4 2 2 3 2 2 3 4" xfId="2893"/>
    <cellStyle name="Normal 2 4 2 2 3 2 2 4" xfId="2894"/>
    <cellStyle name="Normal 2 4 2 2 3 2 2 5" xfId="2895"/>
    <cellStyle name="Normal 2 4 2 2 3 2 2 6" xfId="2896"/>
    <cellStyle name="Normal 2 4 2 2 3 2 2 7" xfId="2897"/>
    <cellStyle name="Normal 2 4 2 2 3 2 3" xfId="2898"/>
    <cellStyle name="Normal 2 4 2 2 3 2 4" xfId="2899"/>
    <cellStyle name="Normal 2 4 2 2 3 2 5" xfId="2900"/>
    <cellStyle name="Normal 2 4 2 2 3 2 5 2" xfId="2901"/>
    <cellStyle name="Normal 2 4 2 2 3 2 5 2 2" xfId="2902"/>
    <cellStyle name="Normal 2 4 2 2 3 2 5 2 3" xfId="2903"/>
    <cellStyle name="Normal 2 4 2 2 3 2 5 2 4" xfId="2904"/>
    <cellStyle name="Normal 2 4 2 2 3 2 5 3" xfId="2905"/>
    <cellStyle name="Normal 2 4 2 2 3 2 5 4" xfId="2906"/>
    <cellStyle name="Normal 2 4 2 2 3 2 6" xfId="2907"/>
    <cellStyle name="Normal 2 4 2 2 3 2 7" xfId="2908"/>
    <cellStyle name="Normal 2 4 2 2 3 2 8" xfId="2909"/>
    <cellStyle name="Normal 2 4 2 2 3 2 9" xfId="2910"/>
    <cellStyle name="Normal 2 4 2 2 3 3" xfId="2911"/>
    <cellStyle name="Normal 2 4 2 2 3 3 2" xfId="2912"/>
    <cellStyle name="Normal 2 4 2 2 3 3 2 2" xfId="2913"/>
    <cellStyle name="Normal 2 4 2 2 3 3 2 2 2" xfId="2914"/>
    <cellStyle name="Normal 2 4 2 2 3 3 2 2 2 2" xfId="2915"/>
    <cellStyle name="Normal 2 4 2 2 3 3 2 2 2 2 2" xfId="2916"/>
    <cellStyle name="Normal 2 4 2 2 3 3 2 2 2 3" xfId="2917"/>
    <cellStyle name="Normal 2 4 2 2 3 3 2 2 2 4" xfId="2918"/>
    <cellStyle name="Normal 2 4 2 2 3 3 2 2 3" xfId="2919"/>
    <cellStyle name="Normal 2 4 2 2 3 3 2 2 4" xfId="2920"/>
    <cellStyle name="Normal 2 4 2 2 3 3 2 3" xfId="2921"/>
    <cellStyle name="Normal 2 4 2 2 3 3 2 4" xfId="2922"/>
    <cellStyle name="Normal 2 4 2 2 3 3 2 5" xfId="2923"/>
    <cellStyle name="Normal 2 4 2 2 3 3 2 6" xfId="2924"/>
    <cellStyle name="Normal 2 4 2 2 3 3 2 7" xfId="2925"/>
    <cellStyle name="Normal 2 4 2 2 3 3 3" xfId="2926"/>
    <cellStyle name="Normal 2 4 2 2 3 3 3 2" xfId="2927"/>
    <cellStyle name="Normal 2 4 2 2 3 3 3 2 2" xfId="2928"/>
    <cellStyle name="Normal 2 4 2 2 3 3 3 2 3" xfId="2929"/>
    <cellStyle name="Normal 2 4 2 2 3 3 3 2 4" xfId="2930"/>
    <cellStyle name="Normal 2 4 2 2 3 3 3 3" xfId="2931"/>
    <cellStyle name="Normal 2 4 2 2 3 3 3 4" xfId="2932"/>
    <cellStyle name="Normal 2 4 2 2 3 3 4" xfId="2933"/>
    <cellStyle name="Normal 2 4 2 2 3 3 5" xfId="2934"/>
    <cellStyle name="Normal 2 4 2 2 3 3 6" xfId="2935"/>
    <cellStyle name="Normal 2 4 2 2 3 3 7" xfId="2936"/>
    <cellStyle name="Normal 2 4 2 2 3 4" xfId="2937"/>
    <cellStyle name="Normal 2 4 2 2 3 5" xfId="2938"/>
    <cellStyle name="Normal 2 4 2 2 3 5 2" xfId="2939"/>
    <cellStyle name="Normal 2 4 2 2 3 5 2 2" xfId="2940"/>
    <cellStyle name="Normal 2 4 2 2 3 5 2 3" xfId="2941"/>
    <cellStyle name="Normal 2 4 2 2 3 5 2 4" xfId="2942"/>
    <cellStyle name="Normal 2 4 2 2 3 5 3" xfId="2943"/>
    <cellStyle name="Normal 2 4 2 2 3 5 4" xfId="2944"/>
    <cellStyle name="Normal 2 4 2 2 3 6" xfId="2945"/>
    <cellStyle name="Normal 2 4 2 2 3 7" xfId="2946"/>
    <cellStyle name="Normal 2 4 2 2 3 8" xfId="2947"/>
    <cellStyle name="Normal 2 4 2 2 3 9" xfId="2948"/>
    <cellStyle name="Normal 2 4 2 2 4" xfId="2949"/>
    <cellStyle name="Normal 2 4 2 2 4 10" xfId="2950"/>
    <cellStyle name="Normal 2 4 2 2 4 11" xfId="2951"/>
    <cellStyle name="Normal 2 4 2 2 4 12" xfId="2952"/>
    <cellStyle name="Normal 2 4 2 2 4 13" xfId="2953"/>
    <cellStyle name="Normal 2 4 2 2 4 2" xfId="2954"/>
    <cellStyle name="Normal 2 4 2 2 4 3" xfId="2955"/>
    <cellStyle name="Normal 2 4 2 2 4 4" xfId="2956"/>
    <cellStyle name="Normal 2 4 2 2 4 5" xfId="2957"/>
    <cellStyle name="Normal 2 4 2 2 4 6" xfId="2958"/>
    <cellStyle name="Normal 2 4 2 2 4 7" xfId="2959"/>
    <cellStyle name="Normal 2 4 2 2 4 8" xfId="2960"/>
    <cellStyle name="Normal 2 4 2 2 4 9" xfId="2961"/>
    <cellStyle name="Normal 2 4 2 2 5" xfId="2962"/>
    <cellStyle name="Normal 2 4 2 2 5 2" xfId="2963"/>
    <cellStyle name="Normal 2 4 2 2 5 2 2" xfId="2964"/>
    <cellStyle name="Normal 2 4 2 2 5 2 2 2" xfId="2965"/>
    <cellStyle name="Normal 2 4 2 2 5 2 2 2 2" xfId="2966"/>
    <cellStyle name="Normal 2 4 2 2 5 2 2 2 2 2" xfId="2967"/>
    <cellStyle name="Normal 2 4 2 2 5 2 2 2 3" xfId="2968"/>
    <cellStyle name="Normal 2 4 2 2 5 2 2 2 4" xfId="2969"/>
    <cellStyle name="Normal 2 4 2 2 5 2 2 3" xfId="2970"/>
    <cellStyle name="Normal 2 4 2 2 5 2 2 4" xfId="2971"/>
    <cellStyle name="Normal 2 4 2 2 5 2 3" xfId="2972"/>
    <cellStyle name="Normal 2 4 2 2 5 2 4" xfId="2973"/>
    <cellStyle name="Normal 2 4 2 2 5 2 5" xfId="2974"/>
    <cellStyle name="Normal 2 4 2 2 5 2 6" xfId="2975"/>
    <cellStyle name="Normal 2 4 2 2 5 2 7" xfId="2976"/>
    <cellStyle name="Normal 2 4 2 2 5 3" xfId="2977"/>
    <cellStyle name="Normal 2 4 2 2 5 3 2" xfId="2978"/>
    <cellStyle name="Normal 2 4 2 2 5 3 2 2" xfId="2979"/>
    <cellStyle name="Normal 2 4 2 2 5 3 2 3" xfId="2980"/>
    <cellStyle name="Normal 2 4 2 2 5 3 2 4" xfId="2981"/>
    <cellStyle name="Normal 2 4 2 2 5 3 3" xfId="2982"/>
    <cellStyle name="Normal 2 4 2 2 5 3 4" xfId="2983"/>
    <cellStyle name="Normal 2 4 2 2 5 4" xfId="2984"/>
    <cellStyle name="Normal 2 4 2 2 5 5" xfId="2985"/>
    <cellStyle name="Normal 2 4 2 2 5 6" xfId="2986"/>
    <cellStyle name="Normal 2 4 2 2 5 7" xfId="2987"/>
    <cellStyle name="Normal 2 4 2 2 6" xfId="2988"/>
    <cellStyle name="Normal 2 4 2 2 7" xfId="2989"/>
    <cellStyle name="Normal 2 4 2 2 8" xfId="2990"/>
    <cellStyle name="Normal 2 4 2 2 8 2" xfId="2991"/>
    <cellStyle name="Normal 2 4 2 2 8 2 2" xfId="2992"/>
    <cellStyle name="Normal 2 4 2 2 8 2 3" xfId="2993"/>
    <cellStyle name="Normal 2 4 2 2 8 2 4" xfId="2994"/>
    <cellStyle name="Normal 2 4 2 2 8 3" xfId="2995"/>
    <cellStyle name="Normal 2 4 2 2 8 4" xfId="2996"/>
    <cellStyle name="Normal 2 4 2 2 9" xfId="2997"/>
    <cellStyle name="Normal 2 4 2 20" xfId="2998"/>
    <cellStyle name="Normal 2 4 2 3" xfId="2999"/>
    <cellStyle name="Normal 2 4 2 4" xfId="3000"/>
    <cellStyle name="Normal 2 4 2 5" xfId="3001"/>
    <cellStyle name="Normal 2 4 2 5 10" xfId="3002"/>
    <cellStyle name="Normal 2 4 2 5 11" xfId="3003"/>
    <cellStyle name="Normal 2 4 2 5 12" xfId="3004"/>
    <cellStyle name="Normal 2 4 2 5 13" xfId="3005"/>
    <cellStyle name="Normal 2 4 2 5 2" xfId="3006"/>
    <cellStyle name="Normal 2 4 2 5 2 10" xfId="3007"/>
    <cellStyle name="Normal 2 4 2 5 2 11" xfId="3008"/>
    <cellStyle name="Normal 2 4 2 5 2 12" xfId="3009"/>
    <cellStyle name="Normal 2 4 2 5 2 13" xfId="3010"/>
    <cellStyle name="Normal 2 4 2 5 2 2" xfId="3011"/>
    <cellStyle name="Normal 2 4 2 5 2 2 2" xfId="3012"/>
    <cellStyle name="Normal 2 4 2 5 2 2 2 2" xfId="3013"/>
    <cellStyle name="Normal 2 4 2 5 2 2 2 2 2" xfId="3014"/>
    <cellStyle name="Normal 2 4 2 5 2 2 2 2 2 2" xfId="3015"/>
    <cellStyle name="Normal 2 4 2 5 2 2 2 2 2 2 2" xfId="3016"/>
    <cellStyle name="Normal 2 4 2 5 2 2 2 2 2 3" xfId="3017"/>
    <cellStyle name="Normal 2 4 2 5 2 2 2 2 2 4" xfId="3018"/>
    <cellStyle name="Normal 2 4 2 5 2 2 2 2 3" xfId="3019"/>
    <cellStyle name="Normal 2 4 2 5 2 2 2 2 4" xfId="3020"/>
    <cellStyle name="Normal 2 4 2 5 2 2 2 3" xfId="3021"/>
    <cellStyle name="Normal 2 4 2 5 2 2 2 4" xfId="3022"/>
    <cellStyle name="Normal 2 4 2 5 2 2 2 5" xfId="3023"/>
    <cellStyle name="Normal 2 4 2 5 2 2 2 6" xfId="3024"/>
    <cellStyle name="Normal 2 4 2 5 2 2 2 7" xfId="3025"/>
    <cellStyle name="Normal 2 4 2 5 2 2 3" xfId="3026"/>
    <cellStyle name="Normal 2 4 2 5 2 2 3 2" xfId="3027"/>
    <cellStyle name="Normal 2 4 2 5 2 2 3 2 2" xfId="3028"/>
    <cellStyle name="Normal 2 4 2 5 2 2 3 2 3" xfId="3029"/>
    <cellStyle name="Normal 2 4 2 5 2 2 3 2 4" xfId="3030"/>
    <cellStyle name="Normal 2 4 2 5 2 2 3 3" xfId="3031"/>
    <cellStyle name="Normal 2 4 2 5 2 2 3 4" xfId="3032"/>
    <cellStyle name="Normal 2 4 2 5 2 2 4" xfId="3033"/>
    <cellStyle name="Normal 2 4 2 5 2 2 5" xfId="3034"/>
    <cellStyle name="Normal 2 4 2 5 2 2 6" xfId="3035"/>
    <cellStyle name="Normal 2 4 2 5 2 2 7" xfId="3036"/>
    <cellStyle name="Normal 2 4 2 5 2 3" xfId="3037"/>
    <cellStyle name="Normal 2 4 2 5 2 4" xfId="3038"/>
    <cellStyle name="Normal 2 4 2 5 2 5" xfId="3039"/>
    <cellStyle name="Normal 2 4 2 5 2 5 2" xfId="3040"/>
    <cellStyle name="Normal 2 4 2 5 2 5 2 2" xfId="3041"/>
    <cellStyle name="Normal 2 4 2 5 2 5 2 3" xfId="3042"/>
    <cellStyle name="Normal 2 4 2 5 2 5 2 4" xfId="3043"/>
    <cellStyle name="Normal 2 4 2 5 2 5 3" xfId="3044"/>
    <cellStyle name="Normal 2 4 2 5 2 5 4" xfId="3045"/>
    <cellStyle name="Normal 2 4 2 5 2 6" xfId="3046"/>
    <cellStyle name="Normal 2 4 2 5 2 7" xfId="3047"/>
    <cellStyle name="Normal 2 4 2 5 2 8" xfId="3048"/>
    <cellStyle name="Normal 2 4 2 5 2 9" xfId="3049"/>
    <cellStyle name="Normal 2 4 2 5 3" xfId="3050"/>
    <cellStyle name="Normal 2 4 2 5 3 2" xfId="3051"/>
    <cellStyle name="Normal 2 4 2 5 3 2 2" xfId="3052"/>
    <cellStyle name="Normal 2 4 2 5 3 2 2 2" xfId="3053"/>
    <cellStyle name="Normal 2 4 2 5 3 2 2 2 2" xfId="3054"/>
    <cellStyle name="Normal 2 4 2 5 3 2 2 2 2 2" xfId="3055"/>
    <cellStyle name="Normal 2 4 2 5 3 2 2 2 3" xfId="3056"/>
    <cellStyle name="Normal 2 4 2 5 3 2 2 2 4" xfId="3057"/>
    <cellStyle name="Normal 2 4 2 5 3 2 2 3" xfId="3058"/>
    <cellStyle name="Normal 2 4 2 5 3 2 2 4" xfId="3059"/>
    <cellStyle name="Normal 2 4 2 5 3 2 3" xfId="3060"/>
    <cellStyle name="Normal 2 4 2 5 3 2 4" xfId="3061"/>
    <cellStyle name="Normal 2 4 2 5 3 2 5" xfId="3062"/>
    <cellStyle name="Normal 2 4 2 5 3 2 6" xfId="3063"/>
    <cellStyle name="Normal 2 4 2 5 3 2 7" xfId="3064"/>
    <cellStyle name="Normal 2 4 2 5 3 3" xfId="3065"/>
    <cellStyle name="Normal 2 4 2 5 3 3 2" xfId="3066"/>
    <cellStyle name="Normal 2 4 2 5 3 3 2 2" xfId="3067"/>
    <cellStyle name="Normal 2 4 2 5 3 3 2 3" xfId="3068"/>
    <cellStyle name="Normal 2 4 2 5 3 3 2 4" xfId="3069"/>
    <cellStyle name="Normal 2 4 2 5 3 3 3" xfId="3070"/>
    <cellStyle name="Normal 2 4 2 5 3 3 4" xfId="3071"/>
    <cellStyle name="Normal 2 4 2 5 3 4" xfId="3072"/>
    <cellStyle name="Normal 2 4 2 5 3 5" xfId="3073"/>
    <cellStyle name="Normal 2 4 2 5 3 6" xfId="3074"/>
    <cellStyle name="Normal 2 4 2 5 3 7" xfId="3075"/>
    <cellStyle name="Normal 2 4 2 5 4" xfId="3076"/>
    <cellStyle name="Normal 2 4 2 5 5" xfId="3077"/>
    <cellStyle name="Normal 2 4 2 5 5 2" xfId="3078"/>
    <cellStyle name="Normal 2 4 2 5 5 2 2" xfId="3079"/>
    <cellStyle name="Normal 2 4 2 5 5 2 3" xfId="3080"/>
    <cellStyle name="Normal 2 4 2 5 5 2 4" xfId="3081"/>
    <cellStyle name="Normal 2 4 2 5 5 3" xfId="3082"/>
    <cellStyle name="Normal 2 4 2 5 5 4" xfId="3083"/>
    <cellStyle name="Normal 2 4 2 5 6" xfId="3084"/>
    <cellStyle name="Normal 2 4 2 5 7" xfId="3085"/>
    <cellStyle name="Normal 2 4 2 5 8" xfId="3086"/>
    <cellStyle name="Normal 2 4 2 5 9" xfId="3087"/>
    <cellStyle name="Normal 2 4 2 6" xfId="3088"/>
    <cellStyle name="Normal 2 4 2 7" xfId="3089"/>
    <cellStyle name="Normal 2 4 2 8" xfId="3090"/>
    <cellStyle name="Normal 2 4 2 8 2" xfId="3091"/>
    <cellStyle name="Normal 2 4 2 8 2 2" xfId="3092"/>
    <cellStyle name="Normal 2 4 2 8 2 2 2" xfId="3093"/>
    <cellStyle name="Normal 2 4 2 8 2 2 2 2" xfId="3094"/>
    <cellStyle name="Normal 2 4 2 8 2 2 2 2 2" xfId="3095"/>
    <cellStyle name="Normal 2 4 2 8 2 2 2 3" xfId="3096"/>
    <cellStyle name="Normal 2 4 2 8 2 2 2 4" xfId="3097"/>
    <cellStyle name="Normal 2 4 2 8 2 2 3" xfId="3098"/>
    <cellStyle name="Normal 2 4 2 8 2 2 4" xfId="3099"/>
    <cellStyle name="Normal 2 4 2 8 2 3" xfId="3100"/>
    <cellStyle name="Normal 2 4 2 8 2 4" xfId="3101"/>
    <cellStyle name="Normal 2 4 2 8 2 5" xfId="3102"/>
    <cellStyle name="Normal 2 4 2 8 2 6" xfId="3103"/>
    <cellStyle name="Normal 2 4 2 8 2 7" xfId="3104"/>
    <cellStyle name="Normal 2 4 2 8 3" xfId="3105"/>
    <cellStyle name="Normal 2 4 2 8 3 2" xfId="3106"/>
    <cellStyle name="Normal 2 4 2 8 3 2 2" xfId="3107"/>
    <cellStyle name="Normal 2 4 2 8 3 2 3" xfId="3108"/>
    <cellStyle name="Normal 2 4 2 8 3 2 4" xfId="3109"/>
    <cellStyle name="Normal 2 4 2 8 3 3" xfId="3110"/>
    <cellStyle name="Normal 2 4 2 8 3 4" xfId="3111"/>
    <cellStyle name="Normal 2 4 2 8 4" xfId="3112"/>
    <cellStyle name="Normal 2 4 2 8 5" xfId="3113"/>
    <cellStyle name="Normal 2 4 2 8 6" xfId="3114"/>
    <cellStyle name="Normal 2 4 2 8 7" xfId="3115"/>
    <cellStyle name="Normal 2 4 2 9" xfId="3116"/>
    <cellStyle name="Normal 2 4 20" xfId="3117"/>
    <cellStyle name="Normal 2 4 21" xfId="3118"/>
    <cellStyle name="Normal 2 4 22" xfId="3119"/>
    <cellStyle name="Normal 2 4 23" xfId="3120"/>
    <cellStyle name="Normal 2 4 24" xfId="3121"/>
    <cellStyle name="Normal 2 4 25" xfId="3122"/>
    <cellStyle name="Normal 2 4 26" xfId="3123"/>
    <cellStyle name="Normal 2 4 27" xfId="3124"/>
    <cellStyle name="Normal 2 4 28" xfId="3125"/>
    <cellStyle name="Normal 2 4 29" xfId="3126"/>
    <cellStyle name="Normal 2 4 3" xfId="3127"/>
    <cellStyle name="Normal 2 4 3 10" xfId="3128"/>
    <cellStyle name="Normal 2 4 3 11" xfId="3129"/>
    <cellStyle name="Normal 2 4 3 12" xfId="3130"/>
    <cellStyle name="Normal 2 4 3 13" xfId="3131"/>
    <cellStyle name="Normal 2 4 3 14" xfId="3132"/>
    <cellStyle name="Normal 2 4 3 15" xfId="3133"/>
    <cellStyle name="Normal 2 4 3 16" xfId="3134"/>
    <cellStyle name="Normal 2 4 3 17" xfId="3135"/>
    <cellStyle name="Normal 2 4 3 2" xfId="3136"/>
    <cellStyle name="Normal 2 4 3 2 10" xfId="3137"/>
    <cellStyle name="Normal 2 4 3 2 11" xfId="3138"/>
    <cellStyle name="Normal 2 4 3 2 12" xfId="3139"/>
    <cellStyle name="Normal 2 4 3 2 13" xfId="3140"/>
    <cellStyle name="Normal 2 4 3 2 14" xfId="3141"/>
    <cellStyle name="Normal 2 4 3 2 15" xfId="3142"/>
    <cellStyle name="Normal 2 4 3 2 16" xfId="3143"/>
    <cellStyle name="Normal 2 4 3 2 2" xfId="3144"/>
    <cellStyle name="Normal 2 4 3 2 2 10" xfId="3145"/>
    <cellStyle name="Normal 2 4 3 2 2 11" xfId="3146"/>
    <cellStyle name="Normal 2 4 3 2 2 12" xfId="3147"/>
    <cellStyle name="Normal 2 4 3 2 2 13" xfId="3148"/>
    <cellStyle name="Normal 2 4 3 2 2 2" xfId="3149"/>
    <cellStyle name="Normal 2 4 3 2 2 2 10" xfId="3150"/>
    <cellStyle name="Normal 2 4 3 2 2 2 11" xfId="3151"/>
    <cellStyle name="Normal 2 4 3 2 2 2 12" xfId="3152"/>
    <cellStyle name="Normal 2 4 3 2 2 2 13" xfId="3153"/>
    <cellStyle name="Normal 2 4 3 2 2 2 2" xfId="3154"/>
    <cellStyle name="Normal 2 4 3 2 2 2 2 2" xfId="3155"/>
    <cellStyle name="Normal 2 4 3 2 2 2 2 2 2" xfId="3156"/>
    <cellStyle name="Normal 2 4 3 2 2 2 2 2 2 2" xfId="3157"/>
    <cellStyle name="Normal 2 4 3 2 2 2 2 2 2 2 2" xfId="3158"/>
    <cellStyle name="Normal 2 4 3 2 2 2 2 2 2 2 2 2" xfId="3159"/>
    <cellStyle name="Normal 2 4 3 2 2 2 2 2 2 2 3" xfId="3160"/>
    <cellStyle name="Normal 2 4 3 2 2 2 2 2 2 2 4" xfId="3161"/>
    <cellStyle name="Normal 2 4 3 2 2 2 2 2 2 3" xfId="3162"/>
    <cellStyle name="Normal 2 4 3 2 2 2 2 2 2 4" xfId="3163"/>
    <cellStyle name="Normal 2 4 3 2 2 2 2 2 3" xfId="3164"/>
    <cellStyle name="Normal 2 4 3 2 2 2 2 2 4" xfId="3165"/>
    <cellStyle name="Normal 2 4 3 2 2 2 2 2 5" xfId="3166"/>
    <cellStyle name="Normal 2 4 3 2 2 2 2 2 6" xfId="3167"/>
    <cellStyle name="Normal 2 4 3 2 2 2 2 2 7" xfId="3168"/>
    <cellStyle name="Normal 2 4 3 2 2 2 2 3" xfId="3169"/>
    <cellStyle name="Normal 2 4 3 2 2 2 2 3 2" xfId="3170"/>
    <cellStyle name="Normal 2 4 3 2 2 2 2 3 2 2" xfId="3171"/>
    <cellStyle name="Normal 2 4 3 2 2 2 2 3 2 3" xfId="3172"/>
    <cellStyle name="Normal 2 4 3 2 2 2 2 3 2 4" xfId="3173"/>
    <cellStyle name="Normal 2 4 3 2 2 2 2 3 3" xfId="3174"/>
    <cellStyle name="Normal 2 4 3 2 2 2 2 3 4" xfId="3175"/>
    <cellStyle name="Normal 2 4 3 2 2 2 2 4" xfId="3176"/>
    <cellStyle name="Normal 2 4 3 2 2 2 2 5" xfId="3177"/>
    <cellStyle name="Normal 2 4 3 2 2 2 2 6" xfId="3178"/>
    <cellStyle name="Normal 2 4 3 2 2 2 2 7" xfId="3179"/>
    <cellStyle name="Normal 2 4 3 2 2 2 3" xfId="3180"/>
    <cellStyle name="Normal 2 4 3 2 2 2 4" xfId="3181"/>
    <cellStyle name="Normal 2 4 3 2 2 2 5" xfId="3182"/>
    <cellStyle name="Normal 2 4 3 2 2 2 5 2" xfId="3183"/>
    <cellStyle name="Normal 2 4 3 2 2 2 5 2 2" xfId="3184"/>
    <cellStyle name="Normal 2 4 3 2 2 2 5 2 3" xfId="3185"/>
    <cellStyle name="Normal 2 4 3 2 2 2 5 2 4" xfId="3186"/>
    <cellStyle name="Normal 2 4 3 2 2 2 5 3" xfId="3187"/>
    <cellStyle name="Normal 2 4 3 2 2 2 5 4" xfId="3188"/>
    <cellStyle name="Normal 2 4 3 2 2 2 6" xfId="3189"/>
    <cellStyle name="Normal 2 4 3 2 2 2 7" xfId="3190"/>
    <cellStyle name="Normal 2 4 3 2 2 2 8" xfId="3191"/>
    <cellStyle name="Normal 2 4 3 2 2 2 9" xfId="3192"/>
    <cellStyle name="Normal 2 4 3 2 2 3" xfId="3193"/>
    <cellStyle name="Normal 2 4 3 2 2 3 2" xfId="3194"/>
    <cellStyle name="Normal 2 4 3 2 2 3 2 2" xfId="3195"/>
    <cellStyle name="Normal 2 4 3 2 2 3 2 2 2" xfId="3196"/>
    <cellStyle name="Normal 2 4 3 2 2 3 2 2 2 2" xfId="3197"/>
    <cellStyle name="Normal 2 4 3 2 2 3 2 2 2 2 2" xfId="3198"/>
    <cellStyle name="Normal 2 4 3 2 2 3 2 2 2 3" xfId="3199"/>
    <cellStyle name="Normal 2 4 3 2 2 3 2 2 2 4" xfId="3200"/>
    <cellStyle name="Normal 2 4 3 2 2 3 2 2 3" xfId="3201"/>
    <cellStyle name="Normal 2 4 3 2 2 3 2 2 4" xfId="3202"/>
    <cellStyle name="Normal 2 4 3 2 2 3 2 3" xfId="3203"/>
    <cellStyle name="Normal 2 4 3 2 2 3 2 4" xfId="3204"/>
    <cellStyle name="Normal 2 4 3 2 2 3 2 5" xfId="3205"/>
    <cellStyle name="Normal 2 4 3 2 2 3 2 6" xfId="3206"/>
    <cellStyle name="Normal 2 4 3 2 2 3 2 7" xfId="3207"/>
    <cellStyle name="Normal 2 4 3 2 2 3 3" xfId="3208"/>
    <cellStyle name="Normal 2 4 3 2 2 3 3 2" xfId="3209"/>
    <cellStyle name="Normal 2 4 3 2 2 3 3 2 2" xfId="3210"/>
    <cellStyle name="Normal 2 4 3 2 2 3 3 2 3" xfId="3211"/>
    <cellStyle name="Normal 2 4 3 2 2 3 3 2 4" xfId="3212"/>
    <cellStyle name="Normal 2 4 3 2 2 3 3 3" xfId="3213"/>
    <cellStyle name="Normal 2 4 3 2 2 3 3 4" xfId="3214"/>
    <cellStyle name="Normal 2 4 3 2 2 3 4" xfId="3215"/>
    <cellStyle name="Normal 2 4 3 2 2 3 5" xfId="3216"/>
    <cellStyle name="Normal 2 4 3 2 2 3 6" xfId="3217"/>
    <cellStyle name="Normal 2 4 3 2 2 3 7" xfId="3218"/>
    <cellStyle name="Normal 2 4 3 2 2 4" xfId="3219"/>
    <cellStyle name="Normal 2 4 3 2 2 5" xfId="3220"/>
    <cellStyle name="Normal 2 4 3 2 2 5 2" xfId="3221"/>
    <cellStyle name="Normal 2 4 3 2 2 5 2 2" xfId="3222"/>
    <cellStyle name="Normal 2 4 3 2 2 5 2 3" xfId="3223"/>
    <cellStyle name="Normal 2 4 3 2 2 5 2 4" xfId="3224"/>
    <cellStyle name="Normal 2 4 3 2 2 5 3" xfId="3225"/>
    <cellStyle name="Normal 2 4 3 2 2 5 4" xfId="3226"/>
    <cellStyle name="Normal 2 4 3 2 2 6" xfId="3227"/>
    <cellStyle name="Normal 2 4 3 2 2 7" xfId="3228"/>
    <cellStyle name="Normal 2 4 3 2 2 8" xfId="3229"/>
    <cellStyle name="Normal 2 4 3 2 2 9" xfId="3230"/>
    <cellStyle name="Normal 2 4 3 2 3" xfId="3231"/>
    <cellStyle name="Normal 2 4 3 2 3 10" xfId="3232"/>
    <cellStyle name="Normal 2 4 3 2 3 11" xfId="3233"/>
    <cellStyle name="Normal 2 4 3 2 3 12" xfId="3234"/>
    <cellStyle name="Normal 2 4 3 2 3 13" xfId="3235"/>
    <cellStyle name="Normal 2 4 3 2 3 2" xfId="3236"/>
    <cellStyle name="Normal 2 4 3 2 3 3" xfId="3237"/>
    <cellStyle name="Normal 2 4 3 2 3 4" xfId="3238"/>
    <cellStyle name="Normal 2 4 3 2 3 5" xfId="3239"/>
    <cellStyle name="Normal 2 4 3 2 3 6" xfId="3240"/>
    <cellStyle name="Normal 2 4 3 2 3 7" xfId="3241"/>
    <cellStyle name="Normal 2 4 3 2 3 8" xfId="3242"/>
    <cellStyle name="Normal 2 4 3 2 3 9" xfId="3243"/>
    <cellStyle name="Normal 2 4 3 2 4" xfId="3244"/>
    <cellStyle name="Normal 2 4 3 2 4 10" xfId="3245"/>
    <cellStyle name="Normal 2 4 3 2 4 11" xfId="3246"/>
    <cellStyle name="Normal 2 4 3 2 4 12" xfId="3247"/>
    <cellStyle name="Normal 2 4 3 2 4 13" xfId="3248"/>
    <cellStyle name="Normal 2 4 3 2 4 2" xfId="3249"/>
    <cellStyle name="Normal 2 4 3 2 4 3" xfId="3250"/>
    <cellStyle name="Normal 2 4 3 2 4 4" xfId="3251"/>
    <cellStyle name="Normal 2 4 3 2 4 5" xfId="3252"/>
    <cellStyle name="Normal 2 4 3 2 4 6" xfId="3253"/>
    <cellStyle name="Normal 2 4 3 2 4 7" xfId="3254"/>
    <cellStyle name="Normal 2 4 3 2 4 8" xfId="3255"/>
    <cellStyle name="Normal 2 4 3 2 4 9" xfId="3256"/>
    <cellStyle name="Normal 2 4 3 2 5" xfId="3257"/>
    <cellStyle name="Normal 2 4 3 2 5 2" xfId="3258"/>
    <cellStyle name="Normal 2 4 3 2 5 2 2" xfId="3259"/>
    <cellStyle name="Normal 2 4 3 2 5 2 2 2" xfId="3260"/>
    <cellStyle name="Normal 2 4 3 2 5 2 2 2 2" xfId="3261"/>
    <cellStyle name="Normal 2 4 3 2 5 2 2 2 2 2" xfId="3262"/>
    <cellStyle name="Normal 2 4 3 2 5 2 2 2 3" xfId="3263"/>
    <cellStyle name="Normal 2 4 3 2 5 2 2 2 4" xfId="3264"/>
    <cellStyle name="Normal 2 4 3 2 5 2 2 3" xfId="3265"/>
    <cellStyle name="Normal 2 4 3 2 5 2 2 4" xfId="3266"/>
    <cellStyle name="Normal 2 4 3 2 5 2 3" xfId="3267"/>
    <cellStyle name="Normal 2 4 3 2 5 2 4" xfId="3268"/>
    <cellStyle name="Normal 2 4 3 2 5 2 5" xfId="3269"/>
    <cellStyle name="Normal 2 4 3 2 5 2 6" xfId="3270"/>
    <cellStyle name="Normal 2 4 3 2 5 2 7" xfId="3271"/>
    <cellStyle name="Normal 2 4 3 2 5 3" xfId="3272"/>
    <cellStyle name="Normal 2 4 3 2 5 3 2" xfId="3273"/>
    <cellStyle name="Normal 2 4 3 2 5 3 2 2" xfId="3274"/>
    <cellStyle name="Normal 2 4 3 2 5 3 2 3" xfId="3275"/>
    <cellStyle name="Normal 2 4 3 2 5 3 2 4" xfId="3276"/>
    <cellStyle name="Normal 2 4 3 2 5 3 3" xfId="3277"/>
    <cellStyle name="Normal 2 4 3 2 5 3 4" xfId="3278"/>
    <cellStyle name="Normal 2 4 3 2 5 4" xfId="3279"/>
    <cellStyle name="Normal 2 4 3 2 5 5" xfId="3280"/>
    <cellStyle name="Normal 2 4 3 2 5 6" xfId="3281"/>
    <cellStyle name="Normal 2 4 3 2 5 7" xfId="3282"/>
    <cellStyle name="Normal 2 4 3 2 6" xfId="3283"/>
    <cellStyle name="Normal 2 4 3 2 7" xfId="3284"/>
    <cellStyle name="Normal 2 4 3 2 8" xfId="3285"/>
    <cellStyle name="Normal 2 4 3 2 8 2" xfId="3286"/>
    <cellStyle name="Normal 2 4 3 2 8 2 2" xfId="3287"/>
    <cellStyle name="Normal 2 4 3 2 8 2 3" xfId="3288"/>
    <cellStyle name="Normal 2 4 3 2 8 2 4" xfId="3289"/>
    <cellStyle name="Normal 2 4 3 2 8 3" xfId="3290"/>
    <cellStyle name="Normal 2 4 3 2 8 4" xfId="3291"/>
    <cellStyle name="Normal 2 4 3 2 9" xfId="3292"/>
    <cellStyle name="Normal 2 4 3 3" xfId="3293"/>
    <cellStyle name="Normal 2 4 3 3 10" xfId="3294"/>
    <cellStyle name="Normal 2 4 3 3 11" xfId="3295"/>
    <cellStyle name="Normal 2 4 3 3 12" xfId="3296"/>
    <cellStyle name="Normal 2 4 3 3 13" xfId="3297"/>
    <cellStyle name="Normal 2 4 3 3 2" xfId="3298"/>
    <cellStyle name="Normal 2 4 3 3 2 10" xfId="3299"/>
    <cellStyle name="Normal 2 4 3 3 2 11" xfId="3300"/>
    <cellStyle name="Normal 2 4 3 3 2 12" xfId="3301"/>
    <cellStyle name="Normal 2 4 3 3 2 13" xfId="3302"/>
    <cellStyle name="Normal 2 4 3 3 2 2" xfId="3303"/>
    <cellStyle name="Normal 2 4 3 3 2 2 2" xfId="3304"/>
    <cellStyle name="Normal 2 4 3 3 2 2 2 2" xfId="3305"/>
    <cellStyle name="Normal 2 4 3 3 2 2 2 2 2" xfId="3306"/>
    <cellStyle name="Normal 2 4 3 3 2 2 2 2 2 2" xfId="3307"/>
    <cellStyle name="Normal 2 4 3 3 2 2 2 2 2 2 2" xfId="3308"/>
    <cellStyle name="Normal 2 4 3 3 2 2 2 2 2 3" xfId="3309"/>
    <cellStyle name="Normal 2 4 3 3 2 2 2 2 2 4" xfId="3310"/>
    <cellStyle name="Normal 2 4 3 3 2 2 2 2 3" xfId="3311"/>
    <cellStyle name="Normal 2 4 3 3 2 2 2 2 4" xfId="3312"/>
    <cellStyle name="Normal 2 4 3 3 2 2 2 3" xfId="3313"/>
    <cellStyle name="Normal 2 4 3 3 2 2 2 4" xfId="3314"/>
    <cellStyle name="Normal 2 4 3 3 2 2 2 5" xfId="3315"/>
    <cellStyle name="Normal 2 4 3 3 2 2 2 6" xfId="3316"/>
    <cellStyle name="Normal 2 4 3 3 2 2 2 7" xfId="3317"/>
    <cellStyle name="Normal 2 4 3 3 2 2 3" xfId="3318"/>
    <cellStyle name="Normal 2 4 3 3 2 2 3 2" xfId="3319"/>
    <cellStyle name="Normal 2 4 3 3 2 2 3 2 2" xfId="3320"/>
    <cellStyle name="Normal 2 4 3 3 2 2 3 2 3" xfId="3321"/>
    <cellStyle name="Normal 2 4 3 3 2 2 3 2 4" xfId="3322"/>
    <cellStyle name="Normal 2 4 3 3 2 2 3 3" xfId="3323"/>
    <cellStyle name="Normal 2 4 3 3 2 2 3 4" xfId="3324"/>
    <cellStyle name="Normal 2 4 3 3 2 2 4" xfId="3325"/>
    <cellStyle name="Normal 2 4 3 3 2 2 5" xfId="3326"/>
    <cellStyle name="Normal 2 4 3 3 2 2 6" xfId="3327"/>
    <cellStyle name="Normal 2 4 3 3 2 2 7" xfId="3328"/>
    <cellStyle name="Normal 2 4 3 3 2 3" xfId="3329"/>
    <cellStyle name="Normal 2 4 3 3 2 4" xfId="3330"/>
    <cellStyle name="Normal 2 4 3 3 2 5" xfId="3331"/>
    <cellStyle name="Normal 2 4 3 3 2 5 2" xfId="3332"/>
    <cellStyle name="Normal 2 4 3 3 2 5 2 2" xfId="3333"/>
    <cellStyle name="Normal 2 4 3 3 2 5 2 3" xfId="3334"/>
    <cellStyle name="Normal 2 4 3 3 2 5 2 4" xfId="3335"/>
    <cellStyle name="Normal 2 4 3 3 2 5 3" xfId="3336"/>
    <cellStyle name="Normal 2 4 3 3 2 5 4" xfId="3337"/>
    <cellStyle name="Normal 2 4 3 3 2 6" xfId="3338"/>
    <cellStyle name="Normal 2 4 3 3 2 7" xfId="3339"/>
    <cellStyle name="Normal 2 4 3 3 2 8" xfId="3340"/>
    <cellStyle name="Normal 2 4 3 3 2 9" xfId="3341"/>
    <cellStyle name="Normal 2 4 3 3 3" xfId="3342"/>
    <cellStyle name="Normal 2 4 3 3 3 2" xfId="3343"/>
    <cellStyle name="Normal 2 4 3 3 3 2 2" xfId="3344"/>
    <cellStyle name="Normal 2 4 3 3 3 2 2 2" xfId="3345"/>
    <cellStyle name="Normal 2 4 3 3 3 2 2 2 2" xfId="3346"/>
    <cellStyle name="Normal 2 4 3 3 3 2 2 2 2 2" xfId="3347"/>
    <cellStyle name="Normal 2 4 3 3 3 2 2 2 3" xfId="3348"/>
    <cellStyle name="Normal 2 4 3 3 3 2 2 2 4" xfId="3349"/>
    <cellStyle name="Normal 2 4 3 3 3 2 2 3" xfId="3350"/>
    <cellStyle name="Normal 2 4 3 3 3 2 2 4" xfId="3351"/>
    <cellStyle name="Normal 2 4 3 3 3 2 3" xfId="3352"/>
    <cellStyle name="Normal 2 4 3 3 3 2 4" xfId="3353"/>
    <cellStyle name="Normal 2 4 3 3 3 2 5" xfId="3354"/>
    <cellStyle name="Normal 2 4 3 3 3 2 6" xfId="3355"/>
    <cellStyle name="Normal 2 4 3 3 3 2 7" xfId="3356"/>
    <cellStyle name="Normal 2 4 3 3 3 3" xfId="3357"/>
    <cellStyle name="Normal 2 4 3 3 3 3 2" xfId="3358"/>
    <cellStyle name="Normal 2 4 3 3 3 3 2 2" xfId="3359"/>
    <cellStyle name="Normal 2 4 3 3 3 3 2 3" xfId="3360"/>
    <cellStyle name="Normal 2 4 3 3 3 3 2 4" xfId="3361"/>
    <cellStyle name="Normal 2 4 3 3 3 3 3" xfId="3362"/>
    <cellStyle name="Normal 2 4 3 3 3 3 4" xfId="3363"/>
    <cellStyle name="Normal 2 4 3 3 3 4" xfId="3364"/>
    <cellStyle name="Normal 2 4 3 3 3 5" xfId="3365"/>
    <cellStyle name="Normal 2 4 3 3 3 6" xfId="3366"/>
    <cellStyle name="Normal 2 4 3 3 3 7" xfId="3367"/>
    <cellStyle name="Normal 2 4 3 3 4" xfId="3368"/>
    <cellStyle name="Normal 2 4 3 3 5" xfId="3369"/>
    <cellStyle name="Normal 2 4 3 3 5 2" xfId="3370"/>
    <cellStyle name="Normal 2 4 3 3 5 2 2" xfId="3371"/>
    <cellStyle name="Normal 2 4 3 3 5 2 3" xfId="3372"/>
    <cellStyle name="Normal 2 4 3 3 5 2 4" xfId="3373"/>
    <cellStyle name="Normal 2 4 3 3 5 3" xfId="3374"/>
    <cellStyle name="Normal 2 4 3 3 5 4" xfId="3375"/>
    <cellStyle name="Normal 2 4 3 3 6" xfId="3376"/>
    <cellStyle name="Normal 2 4 3 3 7" xfId="3377"/>
    <cellStyle name="Normal 2 4 3 3 8" xfId="3378"/>
    <cellStyle name="Normal 2 4 3 3 9" xfId="3379"/>
    <cellStyle name="Normal 2 4 3 4" xfId="3380"/>
    <cellStyle name="Normal 2 4 3 5" xfId="3381"/>
    <cellStyle name="Normal 2 4 3 5 2" xfId="3382"/>
    <cellStyle name="Normal 2 4 3 5 2 2" xfId="3383"/>
    <cellStyle name="Normal 2 4 3 5 2 2 2" xfId="3384"/>
    <cellStyle name="Normal 2 4 3 5 2 2 2 2" xfId="3385"/>
    <cellStyle name="Normal 2 4 3 5 2 2 2 2 2" xfId="3386"/>
    <cellStyle name="Normal 2 4 3 5 2 2 2 3" xfId="3387"/>
    <cellStyle name="Normal 2 4 3 5 2 2 2 4" xfId="3388"/>
    <cellStyle name="Normal 2 4 3 5 2 2 3" xfId="3389"/>
    <cellStyle name="Normal 2 4 3 5 2 2 4" xfId="3390"/>
    <cellStyle name="Normal 2 4 3 5 2 3" xfId="3391"/>
    <cellStyle name="Normal 2 4 3 5 2 4" xfId="3392"/>
    <cellStyle name="Normal 2 4 3 5 2 5" xfId="3393"/>
    <cellStyle name="Normal 2 4 3 5 2 6" xfId="3394"/>
    <cellStyle name="Normal 2 4 3 5 2 7" xfId="3395"/>
    <cellStyle name="Normal 2 4 3 5 3" xfId="3396"/>
    <cellStyle name="Normal 2 4 3 5 3 2" xfId="3397"/>
    <cellStyle name="Normal 2 4 3 5 3 2 2" xfId="3398"/>
    <cellStyle name="Normal 2 4 3 5 3 2 3" xfId="3399"/>
    <cellStyle name="Normal 2 4 3 5 3 2 4" xfId="3400"/>
    <cellStyle name="Normal 2 4 3 5 3 3" xfId="3401"/>
    <cellStyle name="Normal 2 4 3 5 3 4" xfId="3402"/>
    <cellStyle name="Normal 2 4 3 5 4" xfId="3403"/>
    <cellStyle name="Normal 2 4 3 5 5" xfId="3404"/>
    <cellStyle name="Normal 2 4 3 5 6" xfId="3405"/>
    <cellStyle name="Normal 2 4 3 5 7" xfId="3406"/>
    <cellStyle name="Normal 2 4 3 6" xfId="3407"/>
    <cellStyle name="Normal 2 4 3 7" xfId="3408"/>
    <cellStyle name="Normal 2 4 3 8" xfId="3409"/>
    <cellStyle name="Normal 2 4 3 8 2" xfId="3410"/>
    <cellStyle name="Normal 2 4 3 8 2 2" xfId="3411"/>
    <cellStyle name="Normal 2 4 3 8 2 3" xfId="3412"/>
    <cellStyle name="Normal 2 4 3 8 2 4" xfId="3413"/>
    <cellStyle name="Normal 2 4 3 8 3" xfId="3414"/>
    <cellStyle name="Normal 2 4 3 8 4" xfId="3415"/>
    <cellStyle name="Normal 2 4 3 9" xfId="3416"/>
    <cellStyle name="Normal 2 4 4" xfId="3417"/>
    <cellStyle name="Normal 2 4 4 10" xfId="3418"/>
    <cellStyle name="Normal 2 4 4 11" xfId="3419"/>
    <cellStyle name="Normal 2 4 4 12" xfId="3420"/>
    <cellStyle name="Normal 2 4 4 13" xfId="3421"/>
    <cellStyle name="Normal 2 4 4 2" xfId="3422"/>
    <cellStyle name="Normal 2 4 4 3" xfId="3423"/>
    <cellStyle name="Normal 2 4 4 4" xfId="3424"/>
    <cellStyle name="Normal 2 4 4 5" xfId="3425"/>
    <cellStyle name="Normal 2 4 4 6" xfId="3426"/>
    <cellStyle name="Normal 2 4 4 7" xfId="3427"/>
    <cellStyle name="Normal 2 4 4 8" xfId="3428"/>
    <cellStyle name="Normal 2 4 4 9" xfId="3429"/>
    <cellStyle name="Normal 2 4 5" xfId="3430"/>
    <cellStyle name="Normal 2 4 5 10" xfId="3431"/>
    <cellStyle name="Normal 2 4 5 11" xfId="3432"/>
    <cellStyle name="Normal 2 4 5 12" xfId="3433"/>
    <cellStyle name="Normal 2 4 5 13" xfId="3434"/>
    <cellStyle name="Normal 2 4 5 14" xfId="3435"/>
    <cellStyle name="Normal 2 4 5 2" xfId="3436"/>
    <cellStyle name="Normal 2 4 5 2 10" xfId="3437"/>
    <cellStyle name="Normal 2 4 5 2 11" xfId="3438"/>
    <cellStyle name="Normal 2 4 5 2 12" xfId="3439"/>
    <cellStyle name="Normal 2 4 5 2 13" xfId="3440"/>
    <cellStyle name="Normal 2 4 5 2 2" xfId="3441"/>
    <cellStyle name="Normal 2 4 5 2 2 2" xfId="3442"/>
    <cellStyle name="Normal 2 4 5 2 2 2 2" xfId="3443"/>
    <cellStyle name="Normal 2 4 5 2 2 2 2 2" xfId="3444"/>
    <cellStyle name="Normal 2 4 5 2 2 2 2 2 2" xfId="3445"/>
    <cellStyle name="Normal 2 4 5 2 2 2 2 2 2 2" xfId="3446"/>
    <cellStyle name="Normal 2 4 5 2 2 2 2 2 3" xfId="3447"/>
    <cellStyle name="Normal 2 4 5 2 2 2 2 2 4" xfId="3448"/>
    <cellStyle name="Normal 2 4 5 2 2 2 2 3" xfId="3449"/>
    <cellStyle name="Normal 2 4 5 2 2 2 2 4" xfId="3450"/>
    <cellStyle name="Normal 2 4 5 2 2 2 3" xfId="3451"/>
    <cellStyle name="Normal 2 4 5 2 2 2 4" xfId="3452"/>
    <cellStyle name="Normal 2 4 5 2 2 2 5" xfId="3453"/>
    <cellStyle name="Normal 2 4 5 2 2 2 6" xfId="3454"/>
    <cellStyle name="Normal 2 4 5 2 2 2 7" xfId="3455"/>
    <cellStyle name="Normal 2 4 5 2 2 3" xfId="3456"/>
    <cellStyle name="Normal 2 4 5 2 2 3 2" xfId="3457"/>
    <cellStyle name="Normal 2 4 5 2 2 3 2 2" xfId="3458"/>
    <cellStyle name="Normal 2 4 5 2 2 3 2 3" xfId="3459"/>
    <cellStyle name="Normal 2 4 5 2 2 3 2 4" xfId="3460"/>
    <cellStyle name="Normal 2 4 5 2 2 3 3" xfId="3461"/>
    <cellStyle name="Normal 2 4 5 2 2 3 4" xfId="3462"/>
    <cellStyle name="Normal 2 4 5 2 2 4" xfId="3463"/>
    <cellStyle name="Normal 2 4 5 2 2 5" xfId="3464"/>
    <cellStyle name="Normal 2 4 5 2 2 6" xfId="3465"/>
    <cellStyle name="Normal 2 4 5 2 2 7" xfId="3466"/>
    <cellStyle name="Normal 2 4 5 2 3" xfId="3467"/>
    <cellStyle name="Normal 2 4 5 2 4" xfId="3468"/>
    <cellStyle name="Normal 2 4 5 2 5" xfId="3469"/>
    <cellStyle name="Normal 2 4 5 2 5 2" xfId="3470"/>
    <cellStyle name="Normal 2 4 5 2 5 2 2" xfId="3471"/>
    <cellStyle name="Normal 2 4 5 2 5 2 3" xfId="3472"/>
    <cellStyle name="Normal 2 4 5 2 5 2 4" xfId="3473"/>
    <cellStyle name="Normal 2 4 5 2 5 3" xfId="3474"/>
    <cellStyle name="Normal 2 4 5 2 5 4" xfId="3475"/>
    <cellStyle name="Normal 2 4 5 2 6" xfId="3476"/>
    <cellStyle name="Normal 2 4 5 2 7" xfId="3477"/>
    <cellStyle name="Normal 2 4 5 2 8" xfId="3478"/>
    <cellStyle name="Normal 2 4 5 2 9" xfId="3479"/>
    <cellStyle name="Normal 2 4 5 3" xfId="3480"/>
    <cellStyle name="Normal 2 4 5 3 2" xfId="3481"/>
    <cellStyle name="Normal 2 4 5 3 2 2" xfId="3482"/>
    <cellStyle name="Normal 2 4 5 3 2 2 2" xfId="3483"/>
    <cellStyle name="Normal 2 4 5 3 2 2 2 2" xfId="3484"/>
    <cellStyle name="Normal 2 4 5 3 2 2 2 2 2" xfId="3485"/>
    <cellStyle name="Normal 2 4 5 3 2 2 2 3" xfId="3486"/>
    <cellStyle name="Normal 2 4 5 3 2 2 2 4" xfId="3487"/>
    <cellStyle name="Normal 2 4 5 3 2 2 3" xfId="3488"/>
    <cellStyle name="Normal 2 4 5 3 2 2 4" xfId="3489"/>
    <cellStyle name="Normal 2 4 5 3 2 3" xfId="3490"/>
    <cellStyle name="Normal 2 4 5 3 2 4" xfId="3491"/>
    <cellStyle name="Normal 2 4 5 3 2 5" xfId="3492"/>
    <cellStyle name="Normal 2 4 5 3 2 6" xfId="3493"/>
    <cellStyle name="Normal 2 4 5 3 2 7" xfId="3494"/>
    <cellStyle name="Normal 2 4 5 3 3" xfId="3495"/>
    <cellStyle name="Normal 2 4 5 3 3 2" xfId="3496"/>
    <cellStyle name="Normal 2 4 5 3 3 2 2" xfId="3497"/>
    <cellStyle name="Normal 2 4 5 3 3 2 3" xfId="3498"/>
    <cellStyle name="Normal 2 4 5 3 3 2 4" xfId="3499"/>
    <cellStyle name="Normal 2 4 5 3 3 3" xfId="3500"/>
    <cellStyle name="Normal 2 4 5 3 3 4" xfId="3501"/>
    <cellStyle name="Normal 2 4 5 3 4" xfId="3502"/>
    <cellStyle name="Normal 2 4 5 3 5" xfId="3503"/>
    <cellStyle name="Normal 2 4 5 3 6" xfId="3504"/>
    <cellStyle name="Normal 2 4 5 3 7" xfId="3505"/>
    <cellStyle name="Normal 2 4 5 4" xfId="3506"/>
    <cellStyle name="Normal 2 4 5 5" xfId="3507"/>
    <cellStyle name="Normal 2 4 5 5 2" xfId="3508"/>
    <cellStyle name="Normal 2 4 5 5 2 2" xfId="3509"/>
    <cellStyle name="Normal 2 4 5 5 2 3" xfId="3510"/>
    <cellStyle name="Normal 2 4 5 5 2 4" xfId="3511"/>
    <cellStyle name="Normal 2 4 5 5 3" xfId="3512"/>
    <cellStyle name="Normal 2 4 5 5 4" xfId="3513"/>
    <cellStyle name="Normal 2 4 5 6" xfId="3514"/>
    <cellStyle name="Normal 2 4 5 7" xfId="3515"/>
    <cellStyle name="Normal 2 4 5 8" xfId="3516"/>
    <cellStyle name="Normal 2 4 5 9" xfId="3517"/>
    <cellStyle name="Normal 2 4 6" xfId="3518"/>
    <cellStyle name="Normal 2 4 6 10" xfId="3519"/>
    <cellStyle name="Normal 2 4 6 11" xfId="3520"/>
    <cellStyle name="Normal 2 4 6 12" xfId="3521"/>
    <cellStyle name="Normal 2 4 6 13" xfId="3522"/>
    <cellStyle name="Normal 2 4 6 2" xfId="3523"/>
    <cellStyle name="Normal 2 4 6 3" xfId="3524"/>
    <cellStyle name="Normal 2 4 6 4" xfId="3525"/>
    <cellStyle name="Normal 2 4 6 5" xfId="3526"/>
    <cellStyle name="Normal 2 4 6 6" xfId="3527"/>
    <cellStyle name="Normal 2 4 6 7" xfId="3528"/>
    <cellStyle name="Normal 2 4 6 8" xfId="3529"/>
    <cellStyle name="Normal 2 4 6 9" xfId="3530"/>
    <cellStyle name="Normal 2 4 7" xfId="3531"/>
    <cellStyle name="Normal 2 4 7 10" xfId="3532"/>
    <cellStyle name="Normal 2 4 7 11" xfId="3533"/>
    <cellStyle name="Normal 2 4 7 12" xfId="3534"/>
    <cellStyle name="Normal 2 4 7 13" xfId="3535"/>
    <cellStyle name="Normal 2 4 7 2" xfId="3536"/>
    <cellStyle name="Normal 2 4 7 3" xfId="3537"/>
    <cellStyle name="Normal 2 4 7 4" xfId="3538"/>
    <cellStyle name="Normal 2 4 7 5" xfId="3539"/>
    <cellStyle name="Normal 2 4 7 6" xfId="3540"/>
    <cellStyle name="Normal 2 4 7 7" xfId="3541"/>
    <cellStyle name="Normal 2 4 7 8" xfId="3542"/>
    <cellStyle name="Normal 2 4 7 9" xfId="3543"/>
    <cellStyle name="Normal 2 4 8" xfId="3544"/>
    <cellStyle name="Normal 2 4 8 2" xfId="3545"/>
    <cellStyle name="Normal 2 4 8 2 2" xfId="3546"/>
    <cellStyle name="Normal 2 4 8 2 2 2" xfId="3547"/>
    <cellStyle name="Normal 2 4 8 2 2 2 2" xfId="3548"/>
    <cellStyle name="Normal 2 4 8 2 2 2 2 2" xfId="3549"/>
    <cellStyle name="Normal 2 4 8 2 2 2 3" xfId="3550"/>
    <cellStyle name="Normal 2 4 8 2 2 2 4" xfId="3551"/>
    <cellStyle name="Normal 2 4 8 2 2 3" xfId="3552"/>
    <cellStyle name="Normal 2 4 8 2 2 4" xfId="3553"/>
    <cellStyle name="Normal 2 4 8 2 3" xfId="3554"/>
    <cellStyle name="Normal 2 4 8 2 4" xfId="3555"/>
    <cellStyle name="Normal 2 4 8 2 5" xfId="3556"/>
    <cellStyle name="Normal 2 4 8 2 6" xfId="3557"/>
    <cellStyle name="Normal 2 4 8 2 7" xfId="3558"/>
    <cellStyle name="Normal 2 4 8 3" xfId="3559"/>
    <cellStyle name="Normal 2 4 8 3 2" xfId="3560"/>
    <cellStyle name="Normal 2 4 8 3 2 2" xfId="3561"/>
    <cellStyle name="Normal 2 4 8 3 2 3" xfId="3562"/>
    <cellStyle name="Normal 2 4 8 3 2 4" xfId="3563"/>
    <cellStyle name="Normal 2 4 8 3 3" xfId="3564"/>
    <cellStyle name="Normal 2 4 8 3 4" xfId="3565"/>
    <cellStyle name="Normal 2 4 8 4" xfId="3566"/>
    <cellStyle name="Normal 2 4 8 5" xfId="3567"/>
    <cellStyle name="Normal 2 4 8 6" xfId="3568"/>
    <cellStyle name="Normal 2 4 8 7" xfId="3569"/>
    <cellStyle name="Normal 2 4 8 8" xfId="3570"/>
    <cellStyle name="Normal 2 4 9" xfId="3571"/>
    <cellStyle name="Normal 2 4 9 2" xfId="3572"/>
    <cellStyle name="Normal 2 5" xfId="3573"/>
    <cellStyle name="Normal 2 5 10" xfId="3574"/>
    <cellStyle name="Normal 2 5 10 2" xfId="3575"/>
    <cellStyle name="Normal 2 5 11" xfId="3576"/>
    <cellStyle name="Normal 2 5 11 2" xfId="3577"/>
    <cellStyle name="Normal 2 5 12" xfId="3578"/>
    <cellStyle name="Normal 2 5 12 2" xfId="3579"/>
    <cellStyle name="Normal 2 5 13" xfId="3580"/>
    <cellStyle name="Normal 2 5 13 2" xfId="3581"/>
    <cellStyle name="Normal 2 5 14" xfId="3582"/>
    <cellStyle name="Normal 2 5 14 2" xfId="3583"/>
    <cellStyle name="Normal 2 5 15" xfId="3584"/>
    <cellStyle name="Normal 2 5 15 2" xfId="3585"/>
    <cellStyle name="Normal 2 5 16" xfId="3586"/>
    <cellStyle name="Normal 2 5 16 2" xfId="3587"/>
    <cellStyle name="Normal 2 5 17" xfId="3588"/>
    <cellStyle name="Normal 2 5 17 2" xfId="3589"/>
    <cellStyle name="Normal 2 5 18" xfId="3590"/>
    <cellStyle name="Normal 2 5 19" xfId="3591"/>
    <cellStyle name="Normal 2 5 2" xfId="3592"/>
    <cellStyle name="Normal 2 5 2 10" xfId="3593"/>
    <cellStyle name="Normal 2 5 2 11" xfId="3594"/>
    <cellStyle name="Normal 2 5 2 12" xfId="3595"/>
    <cellStyle name="Normal 2 5 2 13" xfId="3596"/>
    <cellStyle name="Normal 2 5 2 14" xfId="3597"/>
    <cellStyle name="Normal 2 5 2 15" xfId="3598"/>
    <cellStyle name="Normal 2 5 2 16" xfId="3599"/>
    <cellStyle name="Normal 2 5 2 17" xfId="3600"/>
    <cellStyle name="Normal 2 5 2 2" xfId="3601"/>
    <cellStyle name="Normal 2 5 2 2 10" xfId="3602"/>
    <cellStyle name="Normal 2 5 2 2 11" xfId="3603"/>
    <cellStyle name="Normal 2 5 2 2 12" xfId="3604"/>
    <cellStyle name="Normal 2 5 2 2 13" xfId="3605"/>
    <cellStyle name="Normal 2 5 2 2 2" xfId="3606"/>
    <cellStyle name="Normal 2 5 2 2 2 10" xfId="3607"/>
    <cellStyle name="Normal 2 5 2 2 2 11" xfId="3608"/>
    <cellStyle name="Normal 2 5 2 2 2 12" xfId="3609"/>
    <cellStyle name="Normal 2 5 2 2 2 13" xfId="3610"/>
    <cellStyle name="Normal 2 5 2 2 2 2" xfId="3611"/>
    <cellStyle name="Normal 2 5 2 2 2 2 2" xfId="3612"/>
    <cellStyle name="Normal 2 5 2 2 2 2 2 2" xfId="3613"/>
    <cellStyle name="Normal 2 5 2 2 2 2 2 2 2" xfId="3614"/>
    <cellStyle name="Normal 2 5 2 2 2 2 2 2 2 2" xfId="3615"/>
    <cellStyle name="Normal 2 5 2 2 2 2 2 2 2 2 2" xfId="3616"/>
    <cellStyle name="Normal 2 5 2 2 2 2 2 2 2 3" xfId="3617"/>
    <cellStyle name="Normal 2 5 2 2 2 2 2 2 2 4" xfId="3618"/>
    <cellStyle name="Normal 2 5 2 2 2 2 2 2 3" xfId="3619"/>
    <cellStyle name="Normal 2 5 2 2 2 2 2 2 4" xfId="3620"/>
    <cellStyle name="Normal 2 5 2 2 2 2 2 3" xfId="3621"/>
    <cellStyle name="Normal 2 5 2 2 2 2 2 4" xfId="3622"/>
    <cellStyle name="Normal 2 5 2 2 2 2 2 5" xfId="3623"/>
    <cellStyle name="Normal 2 5 2 2 2 2 2 6" xfId="3624"/>
    <cellStyle name="Normal 2 5 2 2 2 2 2 7" xfId="3625"/>
    <cellStyle name="Normal 2 5 2 2 2 2 3" xfId="3626"/>
    <cellStyle name="Normal 2 5 2 2 2 2 3 2" xfId="3627"/>
    <cellStyle name="Normal 2 5 2 2 2 2 3 2 2" xfId="3628"/>
    <cellStyle name="Normal 2 5 2 2 2 2 3 2 3" xfId="3629"/>
    <cellStyle name="Normal 2 5 2 2 2 2 3 2 4" xfId="3630"/>
    <cellStyle name="Normal 2 5 2 2 2 2 3 3" xfId="3631"/>
    <cellStyle name="Normal 2 5 2 2 2 2 3 4" xfId="3632"/>
    <cellStyle name="Normal 2 5 2 2 2 2 4" xfId="3633"/>
    <cellStyle name="Normal 2 5 2 2 2 2 5" xfId="3634"/>
    <cellStyle name="Normal 2 5 2 2 2 2 6" xfId="3635"/>
    <cellStyle name="Normal 2 5 2 2 2 2 7" xfId="3636"/>
    <cellStyle name="Normal 2 5 2 2 2 3" xfId="3637"/>
    <cellStyle name="Normal 2 5 2 2 2 4" xfId="3638"/>
    <cellStyle name="Normal 2 5 2 2 2 5" xfId="3639"/>
    <cellStyle name="Normal 2 5 2 2 2 5 2" xfId="3640"/>
    <cellStyle name="Normal 2 5 2 2 2 5 2 2" xfId="3641"/>
    <cellStyle name="Normal 2 5 2 2 2 5 2 3" xfId="3642"/>
    <cellStyle name="Normal 2 5 2 2 2 5 2 4" xfId="3643"/>
    <cellStyle name="Normal 2 5 2 2 2 5 3" xfId="3644"/>
    <cellStyle name="Normal 2 5 2 2 2 5 4" xfId="3645"/>
    <cellStyle name="Normal 2 5 2 2 2 6" xfId="3646"/>
    <cellStyle name="Normal 2 5 2 2 2 7" xfId="3647"/>
    <cellStyle name="Normal 2 5 2 2 2 8" xfId="3648"/>
    <cellStyle name="Normal 2 5 2 2 2 9" xfId="3649"/>
    <cellStyle name="Normal 2 5 2 2 3" xfId="3650"/>
    <cellStyle name="Normal 2 5 2 2 3 2" xfId="3651"/>
    <cellStyle name="Normal 2 5 2 2 3 2 2" xfId="3652"/>
    <cellStyle name="Normal 2 5 2 2 3 2 2 2" xfId="3653"/>
    <cellStyle name="Normal 2 5 2 2 3 2 2 2 2" xfId="3654"/>
    <cellStyle name="Normal 2 5 2 2 3 2 2 2 2 2" xfId="3655"/>
    <cellStyle name="Normal 2 5 2 2 3 2 2 2 3" xfId="3656"/>
    <cellStyle name="Normal 2 5 2 2 3 2 2 2 4" xfId="3657"/>
    <cellStyle name="Normal 2 5 2 2 3 2 2 3" xfId="3658"/>
    <cellStyle name="Normal 2 5 2 2 3 2 2 4" xfId="3659"/>
    <cellStyle name="Normal 2 5 2 2 3 2 3" xfId="3660"/>
    <cellStyle name="Normal 2 5 2 2 3 2 4" xfId="3661"/>
    <cellStyle name="Normal 2 5 2 2 3 2 5" xfId="3662"/>
    <cellStyle name="Normal 2 5 2 2 3 2 6" xfId="3663"/>
    <cellStyle name="Normal 2 5 2 2 3 2 7" xfId="3664"/>
    <cellStyle name="Normal 2 5 2 2 3 3" xfId="3665"/>
    <cellStyle name="Normal 2 5 2 2 3 3 2" xfId="3666"/>
    <cellStyle name="Normal 2 5 2 2 3 3 2 2" xfId="3667"/>
    <cellStyle name="Normal 2 5 2 2 3 3 2 3" xfId="3668"/>
    <cellStyle name="Normal 2 5 2 2 3 3 2 4" xfId="3669"/>
    <cellStyle name="Normal 2 5 2 2 3 3 3" xfId="3670"/>
    <cellStyle name="Normal 2 5 2 2 3 3 4" xfId="3671"/>
    <cellStyle name="Normal 2 5 2 2 3 4" xfId="3672"/>
    <cellStyle name="Normal 2 5 2 2 3 5" xfId="3673"/>
    <cellStyle name="Normal 2 5 2 2 3 6" xfId="3674"/>
    <cellStyle name="Normal 2 5 2 2 3 7" xfId="3675"/>
    <cellStyle name="Normal 2 5 2 2 4" xfId="3676"/>
    <cellStyle name="Normal 2 5 2 2 5" xfId="3677"/>
    <cellStyle name="Normal 2 5 2 2 5 2" xfId="3678"/>
    <cellStyle name="Normal 2 5 2 2 5 2 2" xfId="3679"/>
    <cellStyle name="Normal 2 5 2 2 5 2 3" xfId="3680"/>
    <cellStyle name="Normal 2 5 2 2 5 2 4" xfId="3681"/>
    <cellStyle name="Normal 2 5 2 2 5 3" xfId="3682"/>
    <cellStyle name="Normal 2 5 2 2 5 4" xfId="3683"/>
    <cellStyle name="Normal 2 5 2 2 6" xfId="3684"/>
    <cellStyle name="Normal 2 5 2 2 7" xfId="3685"/>
    <cellStyle name="Normal 2 5 2 2 8" xfId="3686"/>
    <cellStyle name="Normal 2 5 2 2 9" xfId="3687"/>
    <cellStyle name="Normal 2 5 2 3" xfId="3688"/>
    <cellStyle name="Normal 2 5 2 4" xfId="3689"/>
    <cellStyle name="Normal 2 5 2 5" xfId="3690"/>
    <cellStyle name="Normal 2 5 2 5 2" xfId="3691"/>
    <cellStyle name="Normal 2 5 2 5 2 2" xfId="3692"/>
    <cellStyle name="Normal 2 5 2 5 2 2 2" xfId="3693"/>
    <cellStyle name="Normal 2 5 2 5 2 2 2 2" xfId="3694"/>
    <cellStyle name="Normal 2 5 2 5 2 2 2 2 2" xfId="3695"/>
    <cellStyle name="Normal 2 5 2 5 2 2 2 3" xfId="3696"/>
    <cellStyle name="Normal 2 5 2 5 2 2 2 4" xfId="3697"/>
    <cellStyle name="Normal 2 5 2 5 2 2 3" xfId="3698"/>
    <cellStyle name="Normal 2 5 2 5 2 2 4" xfId="3699"/>
    <cellStyle name="Normal 2 5 2 5 2 3" xfId="3700"/>
    <cellStyle name="Normal 2 5 2 5 2 4" xfId="3701"/>
    <cellStyle name="Normal 2 5 2 5 2 5" xfId="3702"/>
    <cellStyle name="Normal 2 5 2 5 2 6" xfId="3703"/>
    <cellStyle name="Normal 2 5 2 5 2 7" xfId="3704"/>
    <cellStyle name="Normal 2 5 2 5 3" xfId="3705"/>
    <cellStyle name="Normal 2 5 2 5 3 2" xfId="3706"/>
    <cellStyle name="Normal 2 5 2 5 3 2 2" xfId="3707"/>
    <cellStyle name="Normal 2 5 2 5 3 2 3" xfId="3708"/>
    <cellStyle name="Normal 2 5 2 5 3 2 4" xfId="3709"/>
    <cellStyle name="Normal 2 5 2 5 3 3" xfId="3710"/>
    <cellStyle name="Normal 2 5 2 5 3 4" xfId="3711"/>
    <cellStyle name="Normal 2 5 2 5 4" xfId="3712"/>
    <cellStyle name="Normal 2 5 2 5 5" xfId="3713"/>
    <cellStyle name="Normal 2 5 2 5 6" xfId="3714"/>
    <cellStyle name="Normal 2 5 2 5 7" xfId="3715"/>
    <cellStyle name="Normal 2 5 2 6" xfId="3716"/>
    <cellStyle name="Normal 2 5 2 7" xfId="3717"/>
    <cellStyle name="Normal 2 5 2 8" xfId="3718"/>
    <cellStyle name="Normal 2 5 2 8 2" xfId="3719"/>
    <cellStyle name="Normal 2 5 2 8 2 2" xfId="3720"/>
    <cellStyle name="Normal 2 5 2 8 2 3" xfId="3721"/>
    <cellStyle name="Normal 2 5 2 8 2 4" xfId="3722"/>
    <cellStyle name="Normal 2 5 2 8 3" xfId="3723"/>
    <cellStyle name="Normal 2 5 2 8 4" xfId="3724"/>
    <cellStyle name="Normal 2 5 2 9" xfId="3725"/>
    <cellStyle name="Normal 2 5 20" xfId="3726"/>
    <cellStyle name="Normal 2 5 21" xfId="3727"/>
    <cellStyle name="Normal 2 5 22" xfId="3728"/>
    <cellStyle name="Normal 2 5 23" xfId="3729"/>
    <cellStyle name="Normal 2 5 24" xfId="3730"/>
    <cellStyle name="Normal 2 5 25" xfId="3731"/>
    <cellStyle name="Normal 2 5 26" xfId="3732"/>
    <cellStyle name="Normal 2 5 3" xfId="3733"/>
    <cellStyle name="Normal 2 5 3 10" xfId="3734"/>
    <cellStyle name="Normal 2 5 3 11" xfId="3735"/>
    <cellStyle name="Normal 2 5 3 12" xfId="3736"/>
    <cellStyle name="Normal 2 5 3 13" xfId="3737"/>
    <cellStyle name="Normal 2 5 3 14" xfId="3738"/>
    <cellStyle name="Normal 2 5 3 2" xfId="3739"/>
    <cellStyle name="Normal 2 5 3 2 10" xfId="3740"/>
    <cellStyle name="Normal 2 5 3 2 11" xfId="3741"/>
    <cellStyle name="Normal 2 5 3 2 12" xfId="3742"/>
    <cellStyle name="Normal 2 5 3 2 13" xfId="3743"/>
    <cellStyle name="Normal 2 5 3 2 2" xfId="3744"/>
    <cellStyle name="Normal 2 5 3 2 2 2" xfId="3745"/>
    <cellStyle name="Normal 2 5 3 2 2 2 2" xfId="3746"/>
    <cellStyle name="Normal 2 5 3 2 2 2 2 2" xfId="3747"/>
    <cellStyle name="Normal 2 5 3 2 2 2 2 2 2" xfId="3748"/>
    <cellStyle name="Normal 2 5 3 2 2 2 2 2 2 2" xfId="3749"/>
    <cellStyle name="Normal 2 5 3 2 2 2 2 2 3" xfId="3750"/>
    <cellStyle name="Normal 2 5 3 2 2 2 2 2 4" xfId="3751"/>
    <cellStyle name="Normal 2 5 3 2 2 2 2 3" xfId="3752"/>
    <cellStyle name="Normal 2 5 3 2 2 2 2 4" xfId="3753"/>
    <cellStyle name="Normal 2 5 3 2 2 2 3" xfId="3754"/>
    <cellStyle name="Normal 2 5 3 2 2 2 4" xfId="3755"/>
    <cellStyle name="Normal 2 5 3 2 2 2 5" xfId="3756"/>
    <cellStyle name="Normal 2 5 3 2 2 2 6" xfId="3757"/>
    <cellStyle name="Normal 2 5 3 2 2 2 7" xfId="3758"/>
    <cellStyle name="Normal 2 5 3 2 2 3" xfId="3759"/>
    <cellStyle name="Normal 2 5 3 2 2 3 2" xfId="3760"/>
    <cellStyle name="Normal 2 5 3 2 2 3 2 2" xfId="3761"/>
    <cellStyle name="Normal 2 5 3 2 2 3 2 3" xfId="3762"/>
    <cellStyle name="Normal 2 5 3 2 2 3 2 4" xfId="3763"/>
    <cellStyle name="Normal 2 5 3 2 2 3 3" xfId="3764"/>
    <cellStyle name="Normal 2 5 3 2 2 3 4" xfId="3765"/>
    <cellStyle name="Normal 2 5 3 2 2 4" xfId="3766"/>
    <cellStyle name="Normal 2 5 3 2 2 5" xfId="3767"/>
    <cellStyle name="Normal 2 5 3 2 2 6" xfId="3768"/>
    <cellStyle name="Normal 2 5 3 2 2 7" xfId="3769"/>
    <cellStyle name="Normal 2 5 3 2 3" xfId="3770"/>
    <cellStyle name="Normal 2 5 3 2 4" xfId="3771"/>
    <cellStyle name="Normal 2 5 3 2 5" xfId="3772"/>
    <cellStyle name="Normal 2 5 3 2 5 2" xfId="3773"/>
    <cellStyle name="Normal 2 5 3 2 5 2 2" xfId="3774"/>
    <cellStyle name="Normal 2 5 3 2 5 2 3" xfId="3775"/>
    <cellStyle name="Normal 2 5 3 2 5 2 4" xfId="3776"/>
    <cellStyle name="Normal 2 5 3 2 5 3" xfId="3777"/>
    <cellStyle name="Normal 2 5 3 2 5 4" xfId="3778"/>
    <cellStyle name="Normal 2 5 3 2 6" xfId="3779"/>
    <cellStyle name="Normal 2 5 3 2 7" xfId="3780"/>
    <cellStyle name="Normal 2 5 3 2 8" xfId="3781"/>
    <cellStyle name="Normal 2 5 3 2 9" xfId="3782"/>
    <cellStyle name="Normal 2 5 3 3" xfId="3783"/>
    <cellStyle name="Normal 2 5 3 3 2" xfId="3784"/>
    <cellStyle name="Normal 2 5 3 3 2 2" xfId="3785"/>
    <cellStyle name="Normal 2 5 3 3 2 2 2" xfId="3786"/>
    <cellStyle name="Normal 2 5 3 3 2 2 2 2" xfId="3787"/>
    <cellStyle name="Normal 2 5 3 3 2 2 2 2 2" xfId="3788"/>
    <cellStyle name="Normal 2 5 3 3 2 2 2 3" xfId="3789"/>
    <cellStyle name="Normal 2 5 3 3 2 2 2 4" xfId="3790"/>
    <cellStyle name="Normal 2 5 3 3 2 2 3" xfId="3791"/>
    <cellStyle name="Normal 2 5 3 3 2 2 4" xfId="3792"/>
    <cellStyle name="Normal 2 5 3 3 2 3" xfId="3793"/>
    <cellStyle name="Normal 2 5 3 3 2 4" xfId="3794"/>
    <cellStyle name="Normal 2 5 3 3 2 5" xfId="3795"/>
    <cellStyle name="Normal 2 5 3 3 2 6" xfId="3796"/>
    <cellStyle name="Normal 2 5 3 3 2 7" xfId="3797"/>
    <cellStyle name="Normal 2 5 3 3 3" xfId="3798"/>
    <cellStyle name="Normal 2 5 3 3 3 2" xfId="3799"/>
    <cellStyle name="Normal 2 5 3 3 3 2 2" xfId="3800"/>
    <cellStyle name="Normal 2 5 3 3 3 2 3" xfId="3801"/>
    <cellStyle name="Normal 2 5 3 3 3 2 4" xfId="3802"/>
    <cellStyle name="Normal 2 5 3 3 3 3" xfId="3803"/>
    <cellStyle name="Normal 2 5 3 3 3 4" xfId="3804"/>
    <cellStyle name="Normal 2 5 3 3 4" xfId="3805"/>
    <cellStyle name="Normal 2 5 3 3 5" xfId="3806"/>
    <cellStyle name="Normal 2 5 3 3 6" xfId="3807"/>
    <cellStyle name="Normal 2 5 3 3 7" xfId="3808"/>
    <cellStyle name="Normal 2 5 3 4" xfId="3809"/>
    <cellStyle name="Normal 2 5 3 5" xfId="3810"/>
    <cellStyle name="Normal 2 5 3 5 2" xfId="3811"/>
    <cellStyle name="Normal 2 5 3 5 2 2" xfId="3812"/>
    <cellStyle name="Normal 2 5 3 5 2 3" xfId="3813"/>
    <cellStyle name="Normal 2 5 3 5 2 4" xfId="3814"/>
    <cellStyle name="Normal 2 5 3 5 3" xfId="3815"/>
    <cellStyle name="Normal 2 5 3 5 4" xfId="3816"/>
    <cellStyle name="Normal 2 5 3 6" xfId="3817"/>
    <cellStyle name="Normal 2 5 3 7" xfId="3818"/>
    <cellStyle name="Normal 2 5 3 8" xfId="3819"/>
    <cellStyle name="Normal 2 5 3 9" xfId="3820"/>
    <cellStyle name="Normal 2 5 4" xfId="3821"/>
    <cellStyle name="Normal 2 5 4 10" xfId="3822"/>
    <cellStyle name="Normal 2 5 4 11" xfId="3823"/>
    <cellStyle name="Normal 2 5 4 12" xfId="3824"/>
    <cellStyle name="Normal 2 5 4 13" xfId="3825"/>
    <cellStyle name="Normal 2 5 4 2" xfId="3826"/>
    <cellStyle name="Normal 2 5 4 3" xfId="3827"/>
    <cellStyle name="Normal 2 5 4 4" xfId="3828"/>
    <cellStyle name="Normal 2 5 4 5" xfId="3829"/>
    <cellStyle name="Normal 2 5 4 6" xfId="3830"/>
    <cellStyle name="Normal 2 5 4 7" xfId="3831"/>
    <cellStyle name="Normal 2 5 4 8" xfId="3832"/>
    <cellStyle name="Normal 2 5 4 9" xfId="3833"/>
    <cellStyle name="Normal 2 5 5" xfId="3834"/>
    <cellStyle name="Normal 2 5 5 2" xfId="3835"/>
    <cellStyle name="Normal 2 5 5 2 2" xfId="3836"/>
    <cellStyle name="Normal 2 5 5 2 2 2" xfId="3837"/>
    <cellStyle name="Normal 2 5 5 2 2 2 2" xfId="3838"/>
    <cellStyle name="Normal 2 5 5 2 2 2 2 2" xfId="3839"/>
    <cellStyle name="Normal 2 5 5 2 2 2 3" xfId="3840"/>
    <cellStyle name="Normal 2 5 5 2 2 2 4" xfId="3841"/>
    <cellStyle name="Normal 2 5 5 2 2 3" xfId="3842"/>
    <cellStyle name="Normal 2 5 5 2 2 4" xfId="3843"/>
    <cellStyle name="Normal 2 5 5 2 3" xfId="3844"/>
    <cellStyle name="Normal 2 5 5 2 4" xfId="3845"/>
    <cellStyle name="Normal 2 5 5 2 5" xfId="3846"/>
    <cellStyle name="Normal 2 5 5 2 6" xfId="3847"/>
    <cellStyle name="Normal 2 5 5 2 7" xfId="3848"/>
    <cellStyle name="Normal 2 5 5 3" xfId="3849"/>
    <cellStyle name="Normal 2 5 5 3 2" xfId="3850"/>
    <cellStyle name="Normal 2 5 5 3 2 2" xfId="3851"/>
    <cellStyle name="Normal 2 5 5 3 2 3" xfId="3852"/>
    <cellStyle name="Normal 2 5 5 3 2 4" xfId="3853"/>
    <cellStyle name="Normal 2 5 5 3 3" xfId="3854"/>
    <cellStyle name="Normal 2 5 5 3 4" xfId="3855"/>
    <cellStyle name="Normal 2 5 5 4" xfId="3856"/>
    <cellStyle name="Normal 2 5 5 5" xfId="3857"/>
    <cellStyle name="Normal 2 5 5 6" xfId="3858"/>
    <cellStyle name="Normal 2 5 5 7" xfId="3859"/>
    <cellStyle name="Normal 2 5 5 8" xfId="3860"/>
    <cellStyle name="Normal 2 5 6" xfId="3861"/>
    <cellStyle name="Normal 2 5 6 2" xfId="3862"/>
    <cellStyle name="Normal 2 5 7" xfId="3863"/>
    <cellStyle name="Normal 2 5 7 2" xfId="3864"/>
    <cellStyle name="Normal 2 5 8" xfId="3865"/>
    <cellStyle name="Normal 2 5 8 2" xfId="3866"/>
    <cellStyle name="Normal 2 5 8 2 2" xfId="3867"/>
    <cellStyle name="Normal 2 5 8 2 3" xfId="3868"/>
    <cellStyle name="Normal 2 5 8 2 4" xfId="3869"/>
    <cellStyle name="Normal 2 5 8 2 5" xfId="3870"/>
    <cellStyle name="Normal 2 5 8 3" xfId="3871"/>
    <cellStyle name="Normal 2 5 8 4" xfId="3872"/>
    <cellStyle name="Normal 2 5 9" xfId="3873"/>
    <cellStyle name="Normal 2 5 9 2" xfId="3874"/>
    <cellStyle name="Normal 2 6" xfId="3875"/>
    <cellStyle name="Normal 2 6 10" xfId="3876"/>
    <cellStyle name="Normal 2 6 10 2" xfId="3877"/>
    <cellStyle name="Normal 2 6 11" xfId="3878"/>
    <cellStyle name="Normal 2 6 11 2" xfId="3879"/>
    <cellStyle name="Normal 2 6 12" xfId="3880"/>
    <cellStyle name="Normal 2 6 12 2" xfId="3881"/>
    <cellStyle name="Normal 2 6 13" xfId="3882"/>
    <cellStyle name="Normal 2 6 13 2" xfId="3883"/>
    <cellStyle name="Normal 2 6 14" xfId="3884"/>
    <cellStyle name="Normal 2 6 14 2" xfId="3885"/>
    <cellStyle name="Normal 2 6 15" xfId="3886"/>
    <cellStyle name="Normal 2 6 15 2" xfId="3887"/>
    <cellStyle name="Normal 2 6 16" xfId="3888"/>
    <cellStyle name="Normal 2 6 16 2" xfId="3889"/>
    <cellStyle name="Normal 2 6 17" xfId="3890"/>
    <cellStyle name="Normal 2 6 2" xfId="3891"/>
    <cellStyle name="Normal 2 6 2 2" xfId="3892"/>
    <cellStyle name="Normal 2 6 3" xfId="3893"/>
    <cellStyle name="Normal 2 6 3 2" xfId="3894"/>
    <cellStyle name="Normal 2 6 4" xfId="3895"/>
    <cellStyle name="Normal 2 6 4 2" xfId="3896"/>
    <cellStyle name="Normal 2 6 5" xfId="3897"/>
    <cellStyle name="Normal 2 6 5 2" xfId="3898"/>
    <cellStyle name="Normal 2 6 6" xfId="3899"/>
    <cellStyle name="Normal 2 6 6 2" xfId="3900"/>
    <cellStyle name="Normal 2 6 7" xfId="3901"/>
    <cellStyle name="Normal 2 6 7 2" xfId="3902"/>
    <cellStyle name="Normal 2 6 8" xfId="3903"/>
    <cellStyle name="Normal 2 6 8 2" xfId="3904"/>
    <cellStyle name="Normal 2 6 9" xfId="3905"/>
    <cellStyle name="Normal 2 6 9 2" xfId="3906"/>
    <cellStyle name="Normal 2 7" xfId="3907"/>
    <cellStyle name="Normal 2 7 10" xfId="3908"/>
    <cellStyle name="Normal 2 7 10 2" xfId="3909"/>
    <cellStyle name="Normal 2 7 11" xfId="3910"/>
    <cellStyle name="Normal 2 7 11 2" xfId="3911"/>
    <cellStyle name="Normal 2 7 12" xfId="3912"/>
    <cellStyle name="Normal 2 7 12 2" xfId="3913"/>
    <cellStyle name="Normal 2 7 13" xfId="3914"/>
    <cellStyle name="Normal 2 7 13 2" xfId="3915"/>
    <cellStyle name="Normal 2 7 14" xfId="3916"/>
    <cellStyle name="Normal 2 7 14 2" xfId="3917"/>
    <cellStyle name="Normal 2 7 15" xfId="3918"/>
    <cellStyle name="Normal 2 7 15 2" xfId="3919"/>
    <cellStyle name="Normal 2 7 16" xfId="3920"/>
    <cellStyle name="Normal 2 7 16 2" xfId="3921"/>
    <cellStyle name="Normal 2 7 17" xfId="3922"/>
    <cellStyle name="Normal 2 7 2" xfId="3923"/>
    <cellStyle name="Normal 2 7 2 2" xfId="3924"/>
    <cellStyle name="Normal 2 7 3" xfId="3925"/>
    <cellStyle name="Normal 2 7 3 2" xfId="3926"/>
    <cellStyle name="Normal 2 7 4" xfId="3927"/>
    <cellStyle name="Normal 2 7 4 2" xfId="3928"/>
    <cellStyle name="Normal 2 7 5" xfId="3929"/>
    <cellStyle name="Normal 2 7 5 2" xfId="3930"/>
    <cellStyle name="Normal 2 7 6" xfId="3931"/>
    <cellStyle name="Normal 2 7 6 2" xfId="3932"/>
    <cellStyle name="Normal 2 7 7" xfId="3933"/>
    <cellStyle name="Normal 2 7 7 2" xfId="3934"/>
    <cellStyle name="Normal 2 7 8" xfId="3935"/>
    <cellStyle name="Normal 2 7 8 2" xfId="3936"/>
    <cellStyle name="Normal 2 7 9" xfId="3937"/>
    <cellStyle name="Normal 2 7 9 2" xfId="3938"/>
    <cellStyle name="Normal 2 8" xfId="3939"/>
    <cellStyle name="Normal 2 8 10" xfId="3940"/>
    <cellStyle name="Normal 2 8 10 2" xfId="3941"/>
    <cellStyle name="Normal 2 8 11" xfId="3942"/>
    <cellStyle name="Normal 2 8 11 2" xfId="3943"/>
    <cellStyle name="Normal 2 8 12" xfId="3944"/>
    <cellStyle name="Normal 2 8 12 2" xfId="3945"/>
    <cellStyle name="Normal 2 8 13" xfId="3946"/>
    <cellStyle name="Normal 2 8 13 2" xfId="3947"/>
    <cellStyle name="Normal 2 8 14" xfId="3948"/>
    <cellStyle name="Normal 2 8 14 2" xfId="3949"/>
    <cellStyle name="Normal 2 8 15" xfId="3950"/>
    <cellStyle name="Normal 2 8 15 2" xfId="3951"/>
    <cellStyle name="Normal 2 8 16" xfId="3952"/>
    <cellStyle name="Normal 2 8 16 2" xfId="3953"/>
    <cellStyle name="Normal 2 8 17" xfId="3954"/>
    <cellStyle name="Normal 2 8 2" xfId="3955"/>
    <cellStyle name="Normal 2 8 2 2" xfId="3956"/>
    <cellStyle name="Normal 2 8 3" xfId="3957"/>
    <cellStyle name="Normal 2 8 3 2" xfId="3958"/>
    <cellStyle name="Normal 2 8 4" xfId="3959"/>
    <cellStyle name="Normal 2 8 4 2" xfId="3960"/>
    <cellStyle name="Normal 2 8 5" xfId="3961"/>
    <cellStyle name="Normal 2 8 5 2" xfId="3962"/>
    <cellStyle name="Normal 2 8 6" xfId="3963"/>
    <cellStyle name="Normal 2 8 6 2" xfId="3964"/>
    <cellStyle name="Normal 2 8 7" xfId="3965"/>
    <cellStyle name="Normal 2 8 7 2" xfId="3966"/>
    <cellStyle name="Normal 2 8 8" xfId="3967"/>
    <cellStyle name="Normal 2 8 8 2" xfId="3968"/>
    <cellStyle name="Normal 2 8 9" xfId="3969"/>
    <cellStyle name="Normal 2 8 9 2" xfId="3970"/>
    <cellStyle name="Normal 2 9" xfId="3971"/>
    <cellStyle name="Normal 2 9 10" xfId="3972"/>
    <cellStyle name="Normal 2 9 10 2" xfId="3973"/>
    <cellStyle name="Normal 2 9 11" xfId="3974"/>
    <cellStyle name="Normal 2 9 11 2" xfId="3975"/>
    <cellStyle name="Normal 2 9 12" xfId="3976"/>
    <cellStyle name="Normal 2 9 12 2" xfId="3977"/>
    <cellStyle name="Normal 2 9 13" xfId="3978"/>
    <cellStyle name="Normal 2 9 13 2" xfId="3979"/>
    <cellStyle name="Normal 2 9 14" xfId="3980"/>
    <cellStyle name="Normal 2 9 14 2" xfId="3981"/>
    <cellStyle name="Normal 2 9 15" xfId="3982"/>
    <cellStyle name="Normal 2 9 15 2" xfId="3983"/>
    <cellStyle name="Normal 2 9 16" xfId="3984"/>
    <cellStyle name="Normal 2 9 16 2" xfId="3985"/>
    <cellStyle name="Normal 2 9 17" xfId="3986"/>
    <cellStyle name="Normal 2 9 2" xfId="3987"/>
    <cellStyle name="Normal 2 9 2 10" xfId="3988"/>
    <cellStyle name="Normal 2 9 2 11" xfId="3989"/>
    <cellStyle name="Normal 2 9 2 12" xfId="3990"/>
    <cellStyle name="Normal 2 9 2 13" xfId="3991"/>
    <cellStyle name="Normal 2 9 2 14" xfId="3992"/>
    <cellStyle name="Normal 2 9 2 2" xfId="3993"/>
    <cellStyle name="Normal 2 9 2 2 2" xfId="3994"/>
    <cellStyle name="Normal 2 9 2 2 2 2" xfId="3995"/>
    <cellStyle name="Normal 2 9 2 2 2 2 2" xfId="3996"/>
    <cellStyle name="Normal 2 9 2 2 2 2 2 2" xfId="3997"/>
    <cellStyle name="Normal 2 9 2 2 2 2 2 2 2" xfId="3998"/>
    <cellStyle name="Normal 2 9 2 2 2 2 2 3" xfId="3999"/>
    <cellStyle name="Normal 2 9 2 2 2 2 2 4" xfId="4000"/>
    <cellStyle name="Normal 2 9 2 2 2 2 3" xfId="4001"/>
    <cellStyle name="Normal 2 9 2 2 2 2 4" xfId="4002"/>
    <cellStyle name="Normal 2 9 2 2 2 3" xfId="4003"/>
    <cellStyle name="Normal 2 9 2 2 2 4" xfId="4004"/>
    <cellStyle name="Normal 2 9 2 2 2 5" xfId="4005"/>
    <cellStyle name="Normal 2 9 2 2 2 6" xfId="4006"/>
    <cellStyle name="Normal 2 9 2 2 2 7" xfId="4007"/>
    <cellStyle name="Normal 2 9 2 2 3" xfId="4008"/>
    <cellStyle name="Normal 2 9 2 2 3 2" xfId="4009"/>
    <cellStyle name="Normal 2 9 2 2 3 2 2" xfId="4010"/>
    <cellStyle name="Normal 2 9 2 2 3 2 3" xfId="4011"/>
    <cellStyle name="Normal 2 9 2 2 3 2 4" xfId="4012"/>
    <cellStyle name="Normal 2 9 2 2 3 3" xfId="4013"/>
    <cellStyle name="Normal 2 9 2 2 3 4" xfId="4014"/>
    <cellStyle name="Normal 2 9 2 2 4" xfId="4015"/>
    <cellStyle name="Normal 2 9 2 2 5" xfId="4016"/>
    <cellStyle name="Normal 2 9 2 2 6" xfId="4017"/>
    <cellStyle name="Normal 2 9 2 2 7" xfId="4018"/>
    <cellStyle name="Normal 2 9 2 3" xfId="4019"/>
    <cellStyle name="Normal 2 9 2 4" xfId="4020"/>
    <cellStyle name="Normal 2 9 2 5" xfId="4021"/>
    <cellStyle name="Normal 2 9 2 5 2" xfId="4022"/>
    <cellStyle name="Normal 2 9 2 5 2 2" xfId="4023"/>
    <cellStyle name="Normal 2 9 2 5 2 3" xfId="4024"/>
    <cellStyle name="Normal 2 9 2 5 2 4" xfId="4025"/>
    <cellStyle name="Normal 2 9 2 5 3" xfId="4026"/>
    <cellStyle name="Normal 2 9 2 5 4" xfId="4027"/>
    <cellStyle name="Normal 2 9 2 6" xfId="4028"/>
    <cellStyle name="Normal 2 9 2 7" xfId="4029"/>
    <cellStyle name="Normal 2 9 2 8" xfId="4030"/>
    <cellStyle name="Normal 2 9 2 9" xfId="4031"/>
    <cellStyle name="Normal 2 9 3" xfId="4032"/>
    <cellStyle name="Normal 2 9 3 2" xfId="4033"/>
    <cellStyle name="Normal 2 9 3 2 2" xfId="4034"/>
    <cellStyle name="Normal 2 9 3 2 2 2" xfId="4035"/>
    <cellStyle name="Normal 2 9 3 2 2 2 2" xfId="4036"/>
    <cellStyle name="Normal 2 9 3 2 2 2 2 2" xfId="4037"/>
    <cellStyle name="Normal 2 9 3 2 2 2 3" xfId="4038"/>
    <cellStyle name="Normal 2 9 3 2 2 2 4" xfId="4039"/>
    <cellStyle name="Normal 2 9 3 2 2 3" xfId="4040"/>
    <cellStyle name="Normal 2 9 3 2 2 4" xfId="4041"/>
    <cellStyle name="Normal 2 9 3 2 3" xfId="4042"/>
    <cellStyle name="Normal 2 9 3 2 4" xfId="4043"/>
    <cellStyle name="Normal 2 9 3 2 5" xfId="4044"/>
    <cellStyle name="Normal 2 9 3 2 6" xfId="4045"/>
    <cellStyle name="Normal 2 9 3 2 7" xfId="4046"/>
    <cellStyle name="Normal 2 9 3 3" xfId="4047"/>
    <cellStyle name="Normal 2 9 3 3 2" xfId="4048"/>
    <cellStyle name="Normal 2 9 3 3 2 2" xfId="4049"/>
    <cellStyle name="Normal 2 9 3 3 2 3" xfId="4050"/>
    <cellStyle name="Normal 2 9 3 3 2 4" xfId="4051"/>
    <cellStyle name="Normal 2 9 3 3 3" xfId="4052"/>
    <cellStyle name="Normal 2 9 3 3 4" xfId="4053"/>
    <cellStyle name="Normal 2 9 3 4" xfId="4054"/>
    <cellStyle name="Normal 2 9 3 5" xfId="4055"/>
    <cellStyle name="Normal 2 9 3 6" xfId="4056"/>
    <cellStyle name="Normal 2 9 3 7" xfId="4057"/>
    <cellStyle name="Normal 2 9 3 8" xfId="4058"/>
    <cellStyle name="Normal 2 9 4" xfId="4059"/>
    <cellStyle name="Normal 2 9 4 2" xfId="4060"/>
    <cellStyle name="Normal 2 9 5" xfId="4061"/>
    <cellStyle name="Normal 2 9 5 2" xfId="4062"/>
    <cellStyle name="Normal 2 9 5 2 2" xfId="4063"/>
    <cellStyle name="Normal 2 9 5 2 3" xfId="4064"/>
    <cellStyle name="Normal 2 9 5 2 4" xfId="4065"/>
    <cellStyle name="Normal 2 9 5 2 5" xfId="4066"/>
    <cellStyle name="Normal 2 9 5 3" xfId="4067"/>
    <cellStyle name="Normal 2 9 5 4" xfId="4068"/>
    <cellStyle name="Normal 2 9 6" xfId="4069"/>
    <cellStyle name="Normal 2 9 6 2" xfId="4070"/>
    <cellStyle name="Normal 2 9 7" xfId="4071"/>
    <cellStyle name="Normal 2 9 7 2" xfId="4072"/>
    <cellStyle name="Normal 2 9 8" xfId="4073"/>
    <cellStyle name="Normal 2 9 8 2" xfId="4074"/>
    <cellStyle name="Normal 2 9 9" xfId="4075"/>
    <cellStyle name="Normal 2 9 9 2" xfId="4076"/>
    <cellStyle name="Normal 20" xfId="4077"/>
    <cellStyle name="Normal 20 10" xfId="4078"/>
    <cellStyle name="Normal 20 11" xfId="4079"/>
    <cellStyle name="Normal 20 12" xfId="4080"/>
    <cellStyle name="Normal 20 13" xfId="4081"/>
    <cellStyle name="Normal 20 14" xfId="4082"/>
    <cellStyle name="Normal 20 15" xfId="4083"/>
    <cellStyle name="Normal 20 16" xfId="4084"/>
    <cellStyle name="Normal 20 17" xfId="4085"/>
    <cellStyle name="Normal 20 18" xfId="4086"/>
    <cellStyle name="Normal 20 19" xfId="4087"/>
    <cellStyle name="Normal 20 2" xfId="4088"/>
    <cellStyle name="Normal 20 2 10" xfId="4089"/>
    <cellStyle name="Normal 20 2 11" xfId="4090"/>
    <cellStyle name="Normal 20 2 12" xfId="4091"/>
    <cellStyle name="Normal 20 2 13" xfId="4092"/>
    <cellStyle name="Normal 20 2 2" xfId="4093"/>
    <cellStyle name="Normal 20 2 3" xfId="4094"/>
    <cellStyle name="Normal 20 2 4" xfId="4095"/>
    <cellStyle name="Normal 20 2 5" xfId="4096"/>
    <cellStyle name="Normal 20 2 6" xfId="4097"/>
    <cellStyle name="Normal 20 2 7" xfId="4098"/>
    <cellStyle name="Normal 20 2 8" xfId="4099"/>
    <cellStyle name="Normal 20 2 9" xfId="4100"/>
    <cellStyle name="Normal 20 20" xfId="4101"/>
    <cellStyle name="Normal 20 21" xfId="4102"/>
    <cellStyle name="Normal 20 22" xfId="4103"/>
    <cellStyle name="Normal 20 23" xfId="4104"/>
    <cellStyle name="Normal 20 24" xfId="4105"/>
    <cellStyle name="Normal 20 25" xfId="4106"/>
    <cellStyle name="Normal 20 26" xfId="4107"/>
    <cellStyle name="Normal 20 27" xfId="4108"/>
    <cellStyle name="Normal 20 28" xfId="4109"/>
    <cellStyle name="Normal 20 29" xfId="4110"/>
    <cellStyle name="Normal 20 3" xfId="4111"/>
    <cellStyle name="Normal 20 3 10" xfId="4112"/>
    <cellStyle name="Normal 20 3 11" xfId="4113"/>
    <cellStyle name="Normal 20 3 12" xfId="4114"/>
    <cellStyle name="Normal 20 3 13" xfId="4115"/>
    <cellStyle name="Normal 20 3 2" xfId="4116"/>
    <cellStyle name="Normal 20 3 3" xfId="4117"/>
    <cellStyle name="Normal 20 3 4" xfId="4118"/>
    <cellStyle name="Normal 20 3 5" xfId="4119"/>
    <cellStyle name="Normal 20 3 6" xfId="4120"/>
    <cellStyle name="Normal 20 3 7" xfId="4121"/>
    <cellStyle name="Normal 20 3 8" xfId="4122"/>
    <cellStyle name="Normal 20 3 9" xfId="4123"/>
    <cellStyle name="Normal 20 30" xfId="4124"/>
    <cellStyle name="Normal 20 31" xfId="4125"/>
    <cellStyle name="Normal 20 4" xfId="4126"/>
    <cellStyle name="Normal 20 4 10" xfId="4127"/>
    <cellStyle name="Normal 20 4 11" xfId="4128"/>
    <cellStyle name="Normal 20 4 12" xfId="4129"/>
    <cellStyle name="Normal 20 4 13" xfId="4130"/>
    <cellStyle name="Normal 20 4 2" xfId="4131"/>
    <cellStyle name="Normal 20 4 3" xfId="4132"/>
    <cellStyle name="Normal 20 4 4" xfId="4133"/>
    <cellStyle name="Normal 20 4 5" xfId="4134"/>
    <cellStyle name="Normal 20 4 6" xfId="4135"/>
    <cellStyle name="Normal 20 4 7" xfId="4136"/>
    <cellStyle name="Normal 20 4 8" xfId="4137"/>
    <cellStyle name="Normal 20 4 9" xfId="4138"/>
    <cellStyle name="Normal 20 5" xfId="4139"/>
    <cellStyle name="Normal 20 5 10" xfId="4140"/>
    <cellStyle name="Normal 20 5 11" xfId="4141"/>
    <cellStyle name="Normal 20 5 12" xfId="4142"/>
    <cellStyle name="Normal 20 5 13" xfId="4143"/>
    <cellStyle name="Normal 20 5 2" xfId="4144"/>
    <cellStyle name="Normal 20 5 3" xfId="4145"/>
    <cellStyle name="Normal 20 5 4" xfId="4146"/>
    <cellStyle name="Normal 20 5 5" xfId="4147"/>
    <cellStyle name="Normal 20 5 6" xfId="4148"/>
    <cellStyle name="Normal 20 5 7" xfId="4149"/>
    <cellStyle name="Normal 20 5 8" xfId="4150"/>
    <cellStyle name="Normal 20 5 9" xfId="4151"/>
    <cellStyle name="Normal 20 6" xfId="4152"/>
    <cellStyle name="Normal 20 6 10" xfId="4153"/>
    <cellStyle name="Normal 20 6 11" xfId="4154"/>
    <cellStyle name="Normal 20 6 12" xfId="4155"/>
    <cellStyle name="Normal 20 6 13" xfId="4156"/>
    <cellStyle name="Normal 20 6 2" xfId="4157"/>
    <cellStyle name="Normal 20 6 3" xfId="4158"/>
    <cellStyle name="Normal 20 6 4" xfId="4159"/>
    <cellStyle name="Normal 20 6 5" xfId="4160"/>
    <cellStyle name="Normal 20 6 6" xfId="4161"/>
    <cellStyle name="Normal 20 6 7" xfId="4162"/>
    <cellStyle name="Normal 20 6 8" xfId="4163"/>
    <cellStyle name="Normal 20 6 9" xfId="4164"/>
    <cellStyle name="Normal 20 7" xfId="4165"/>
    <cellStyle name="Normal 20 7 10" xfId="4166"/>
    <cellStyle name="Normal 20 7 11" xfId="4167"/>
    <cellStyle name="Normal 20 7 12" xfId="4168"/>
    <cellStyle name="Normal 20 7 13" xfId="4169"/>
    <cellStyle name="Normal 20 7 2" xfId="4170"/>
    <cellStyle name="Normal 20 7 3" xfId="4171"/>
    <cellStyle name="Normal 20 7 4" xfId="4172"/>
    <cellStyle name="Normal 20 7 5" xfId="4173"/>
    <cellStyle name="Normal 20 7 6" xfId="4174"/>
    <cellStyle name="Normal 20 7 7" xfId="4175"/>
    <cellStyle name="Normal 20 7 8" xfId="4176"/>
    <cellStyle name="Normal 20 7 9" xfId="4177"/>
    <cellStyle name="Normal 20 8" xfId="4178"/>
    <cellStyle name="Normal 20 8 10" xfId="4179"/>
    <cellStyle name="Normal 20 8 11" xfId="4180"/>
    <cellStyle name="Normal 20 8 12" xfId="4181"/>
    <cellStyle name="Normal 20 8 13" xfId="4182"/>
    <cellStyle name="Normal 20 8 2" xfId="4183"/>
    <cellStyle name="Normal 20 8 3" xfId="4184"/>
    <cellStyle name="Normal 20 8 4" xfId="4185"/>
    <cellStyle name="Normal 20 8 5" xfId="4186"/>
    <cellStyle name="Normal 20 8 6" xfId="4187"/>
    <cellStyle name="Normal 20 8 7" xfId="4188"/>
    <cellStyle name="Normal 20 8 8" xfId="4189"/>
    <cellStyle name="Normal 20 8 9" xfId="4190"/>
    <cellStyle name="Normal 20 9" xfId="4191"/>
    <cellStyle name="Normal 21" xfId="4192"/>
    <cellStyle name="Normal 21 10" xfId="4193"/>
    <cellStyle name="Normal 21 11" xfId="4194"/>
    <cellStyle name="Normal 21 12" xfId="4195"/>
    <cellStyle name="Normal 21 13" xfId="4196"/>
    <cellStyle name="Normal 21 14" xfId="4197"/>
    <cellStyle name="Normal 21 15" xfId="4198"/>
    <cellStyle name="Normal 21 16" xfId="4199"/>
    <cellStyle name="Normal 21 17" xfId="4200"/>
    <cellStyle name="Normal 21 18" xfId="4201"/>
    <cellStyle name="Normal 21 19" xfId="4202"/>
    <cellStyle name="Normal 21 2" xfId="4203"/>
    <cellStyle name="Normal 21 2 10" xfId="4204"/>
    <cellStyle name="Normal 21 2 11" xfId="4205"/>
    <cellStyle name="Normal 21 2 12" xfId="4206"/>
    <cellStyle name="Normal 21 2 13" xfId="4207"/>
    <cellStyle name="Normal 21 2 2" xfId="4208"/>
    <cellStyle name="Normal 21 2 3" xfId="4209"/>
    <cellStyle name="Normal 21 2 4" xfId="4210"/>
    <cellStyle name="Normal 21 2 5" xfId="4211"/>
    <cellStyle name="Normal 21 2 6" xfId="4212"/>
    <cellStyle name="Normal 21 2 7" xfId="4213"/>
    <cellStyle name="Normal 21 2 8" xfId="4214"/>
    <cellStyle name="Normal 21 2 9" xfId="4215"/>
    <cellStyle name="Normal 21 20" xfId="4216"/>
    <cellStyle name="Normal 21 21" xfId="4217"/>
    <cellStyle name="Normal 21 22" xfId="4218"/>
    <cellStyle name="Normal 21 23" xfId="4219"/>
    <cellStyle name="Normal 21 24" xfId="4220"/>
    <cellStyle name="Normal 21 25" xfId="4221"/>
    <cellStyle name="Normal 21 26" xfId="4222"/>
    <cellStyle name="Normal 21 27" xfId="4223"/>
    <cellStyle name="Normal 21 28" xfId="4224"/>
    <cellStyle name="Normal 21 29" xfId="4225"/>
    <cellStyle name="Normal 21 3" xfId="4226"/>
    <cellStyle name="Normal 21 3 10" xfId="4227"/>
    <cellStyle name="Normal 21 3 11" xfId="4228"/>
    <cellStyle name="Normal 21 3 12" xfId="4229"/>
    <cellStyle name="Normal 21 3 13" xfId="4230"/>
    <cellStyle name="Normal 21 3 2" xfId="4231"/>
    <cellStyle name="Normal 21 3 3" xfId="4232"/>
    <cellStyle name="Normal 21 3 4" xfId="4233"/>
    <cellStyle name="Normal 21 3 5" xfId="4234"/>
    <cellStyle name="Normal 21 3 6" xfId="4235"/>
    <cellStyle name="Normal 21 3 7" xfId="4236"/>
    <cellStyle name="Normal 21 3 8" xfId="4237"/>
    <cellStyle name="Normal 21 3 9" xfId="4238"/>
    <cellStyle name="Normal 21 30" xfId="4239"/>
    <cellStyle name="Normal 21 31" xfId="4240"/>
    <cellStyle name="Normal 21 4" xfId="4241"/>
    <cellStyle name="Normal 21 4 10" xfId="4242"/>
    <cellStyle name="Normal 21 4 11" xfId="4243"/>
    <cellStyle name="Normal 21 4 12" xfId="4244"/>
    <cellStyle name="Normal 21 4 13" xfId="4245"/>
    <cellStyle name="Normal 21 4 2" xfId="4246"/>
    <cellStyle name="Normal 21 4 3" xfId="4247"/>
    <cellStyle name="Normal 21 4 4" xfId="4248"/>
    <cellStyle name="Normal 21 4 5" xfId="4249"/>
    <cellStyle name="Normal 21 4 6" xfId="4250"/>
    <cellStyle name="Normal 21 4 7" xfId="4251"/>
    <cellStyle name="Normal 21 4 8" xfId="4252"/>
    <cellStyle name="Normal 21 4 9" xfId="4253"/>
    <cellStyle name="Normal 21 5" xfId="4254"/>
    <cellStyle name="Normal 21 5 10" xfId="4255"/>
    <cellStyle name="Normal 21 5 11" xfId="4256"/>
    <cellStyle name="Normal 21 5 12" xfId="4257"/>
    <cellStyle name="Normal 21 5 13" xfId="4258"/>
    <cellStyle name="Normal 21 5 2" xfId="4259"/>
    <cellStyle name="Normal 21 5 3" xfId="4260"/>
    <cellStyle name="Normal 21 5 4" xfId="4261"/>
    <cellStyle name="Normal 21 5 5" xfId="4262"/>
    <cellStyle name="Normal 21 5 6" xfId="4263"/>
    <cellStyle name="Normal 21 5 7" xfId="4264"/>
    <cellStyle name="Normal 21 5 8" xfId="4265"/>
    <cellStyle name="Normal 21 5 9" xfId="4266"/>
    <cellStyle name="Normal 21 6" xfId="4267"/>
    <cellStyle name="Normal 21 6 10" xfId="4268"/>
    <cellStyle name="Normal 21 6 11" xfId="4269"/>
    <cellStyle name="Normal 21 6 12" xfId="4270"/>
    <cellStyle name="Normal 21 6 13" xfId="4271"/>
    <cellStyle name="Normal 21 6 2" xfId="4272"/>
    <cellStyle name="Normal 21 6 3" xfId="4273"/>
    <cellStyle name="Normal 21 6 4" xfId="4274"/>
    <cellStyle name="Normal 21 6 5" xfId="4275"/>
    <cellStyle name="Normal 21 6 6" xfId="4276"/>
    <cellStyle name="Normal 21 6 7" xfId="4277"/>
    <cellStyle name="Normal 21 6 8" xfId="4278"/>
    <cellStyle name="Normal 21 6 9" xfId="4279"/>
    <cellStyle name="Normal 21 7" xfId="4280"/>
    <cellStyle name="Normal 21 7 10" xfId="4281"/>
    <cellStyle name="Normal 21 7 11" xfId="4282"/>
    <cellStyle name="Normal 21 7 12" xfId="4283"/>
    <cellStyle name="Normal 21 7 13" xfId="4284"/>
    <cellStyle name="Normal 21 7 2" xfId="4285"/>
    <cellStyle name="Normal 21 7 3" xfId="4286"/>
    <cellStyle name="Normal 21 7 4" xfId="4287"/>
    <cellStyle name="Normal 21 7 5" xfId="4288"/>
    <cellStyle name="Normal 21 7 6" xfId="4289"/>
    <cellStyle name="Normal 21 7 7" xfId="4290"/>
    <cellStyle name="Normal 21 7 8" xfId="4291"/>
    <cellStyle name="Normal 21 7 9" xfId="4292"/>
    <cellStyle name="Normal 21 8" xfId="4293"/>
    <cellStyle name="Normal 21 8 10" xfId="4294"/>
    <cellStyle name="Normal 21 8 11" xfId="4295"/>
    <cellStyle name="Normal 21 8 12" xfId="4296"/>
    <cellStyle name="Normal 21 8 13" xfId="4297"/>
    <cellStyle name="Normal 21 8 2" xfId="4298"/>
    <cellStyle name="Normal 21 8 3" xfId="4299"/>
    <cellStyle name="Normal 21 8 4" xfId="4300"/>
    <cellStyle name="Normal 21 8 5" xfId="4301"/>
    <cellStyle name="Normal 21 8 6" xfId="4302"/>
    <cellStyle name="Normal 21 8 7" xfId="4303"/>
    <cellStyle name="Normal 21 8 8" xfId="4304"/>
    <cellStyle name="Normal 21 8 9" xfId="4305"/>
    <cellStyle name="Normal 21 9" xfId="4306"/>
    <cellStyle name="Normal 22" xfId="4307"/>
    <cellStyle name="Normal 22 10" xfId="4308"/>
    <cellStyle name="Normal 22 11" xfId="4309"/>
    <cellStyle name="Normal 22 11 2" xfId="4310"/>
    <cellStyle name="Normal 22 11 2 2" xfId="4311"/>
    <cellStyle name="Normal 22 11 2 3" xfId="4312"/>
    <cellStyle name="Normal 22 11 2 4" xfId="4313"/>
    <cellStyle name="Normal 22 11 3" xfId="4314"/>
    <cellStyle name="Normal 22 11 4" xfId="4315"/>
    <cellStyle name="Normal 22 12" xfId="4316"/>
    <cellStyle name="Normal 22 13" xfId="4317"/>
    <cellStyle name="Normal 22 14" xfId="4318"/>
    <cellStyle name="Normal 22 15" xfId="4319"/>
    <cellStyle name="Normal 22 16" xfId="4320"/>
    <cellStyle name="Normal 22 17" xfId="4321"/>
    <cellStyle name="Normal 22 18" xfId="4322"/>
    <cellStyle name="Normal 22 19" xfId="4323"/>
    <cellStyle name="Normal 22 2" xfId="4324"/>
    <cellStyle name="Normal 22 2 10" xfId="4325"/>
    <cellStyle name="Normal 22 2 11" xfId="4326"/>
    <cellStyle name="Normal 22 2 11 2" xfId="4327"/>
    <cellStyle name="Normal 22 2 11 2 2" xfId="4328"/>
    <cellStyle name="Normal 22 2 11 2 3" xfId="4329"/>
    <cellStyle name="Normal 22 2 11 2 4" xfId="4330"/>
    <cellStyle name="Normal 22 2 11 3" xfId="4331"/>
    <cellStyle name="Normal 22 2 11 4" xfId="4332"/>
    <cellStyle name="Normal 22 2 12" xfId="4333"/>
    <cellStyle name="Normal 22 2 13" xfId="4334"/>
    <cellStyle name="Normal 22 2 14" xfId="4335"/>
    <cellStyle name="Normal 22 2 15" xfId="4336"/>
    <cellStyle name="Normal 22 2 16" xfId="4337"/>
    <cellStyle name="Normal 22 2 17" xfId="4338"/>
    <cellStyle name="Normal 22 2 18" xfId="4339"/>
    <cellStyle name="Normal 22 2 19" xfId="4340"/>
    <cellStyle name="Normal 22 2 2" xfId="4341"/>
    <cellStyle name="Normal 22 2 2 10" xfId="4342"/>
    <cellStyle name="Normal 22 2 2 11" xfId="4343"/>
    <cellStyle name="Normal 22 2 2 12" xfId="4344"/>
    <cellStyle name="Normal 22 2 2 13" xfId="4345"/>
    <cellStyle name="Normal 22 2 2 14" xfId="4346"/>
    <cellStyle name="Normal 22 2 2 15" xfId="4347"/>
    <cellStyle name="Normal 22 2 2 16" xfId="4348"/>
    <cellStyle name="Normal 22 2 2 2" xfId="4349"/>
    <cellStyle name="Normal 22 2 2 2 10" xfId="4350"/>
    <cellStyle name="Normal 22 2 2 2 11" xfId="4351"/>
    <cellStyle name="Normal 22 2 2 2 12" xfId="4352"/>
    <cellStyle name="Normal 22 2 2 2 13" xfId="4353"/>
    <cellStyle name="Normal 22 2 2 2 14" xfId="4354"/>
    <cellStyle name="Normal 22 2 2 2 15" xfId="4355"/>
    <cellStyle name="Normal 22 2 2 2 16" xfId="4356"/>
    <cellStyle name="Normal 22 2 2 2 2" xfId="4357"/>
    <cellStyle name="Normal 22 2 2 2 2 10" xfId="4358"/>
    <cellStyle name="Normal 22 2 2 2 2 11" xfId="4359"/>
    <cellStyle name="Normal 22 2 2 2 2 12" xfId="4360"/>
    <cellStyle name="Normal 22 2 2 2 2 13" xfId="4361"/>
    <cellStyle name="Normal 22 2 2 2 2 2" xfId="4362"/>
    <cellStyle name="Normal 22 2 2 2 2 2 10" xfId="4363"/>
    <cellStyle name="Normal 22 2 2 2 2 2 11" xfId="4364"/>
    <cellStyle name="Normal 22 2 2 2 2 2 12" xfId="4365"/>
    <cellStyle name="Normal 22 2 2 2 2 2 13" xfId="4366"/>
    <cellStyle name="Normal 22 2 2 2 2 2 2" xfId="4367"/>
    <cellStyle name="Normal 22 2 2 2 2 2 2 2" xfId="4368"/>
    <cellStyle name="Normal 22 2 2 2 2 2 2 2 2" xfId="4369"/>
    <cellStyle name="Normal 22 2 2 2 2 2 2 2 2 2" xfId="4370"/>
    <cellStyle name="Normal 22 2 2 2 2 2 2 2 2 2 2" xfId="4371"/>
    <cellStyle name="Normal 22 2 2 2 2 2 2 2 2 2 2 2" xfId="4372"/>
    <cellStyle name="Normal 22 2 2 2 2 2 2 2 2 2 3" xfId="4373"/>
    <cellStyle name="Normal 22 2 2 2 2 2 2 2 2 2 4" xfId="4374"/>
    <cellStyle name="Normal 22 2 2 2 2 2 2 2 2 3" xfId="4375"/>
    <cellStyle name="Normal 22 2 2 2 2 2 2 2 2 4" xfId="4376"/>
    <cellStyle name="Normal 22 2 2 2 2 2 2 2 3" xfId="4377"/>
    <cellStyle name="Normal 22 2 2 2 2 2 2 2 4" xfId="4378"/>
    <cellStyle name="Normal 22 2 2 2 2 2 2 2 5" xfId="4379"/>
    <cellStyle name="Normal 22 2 2 2 2 2 2 2 6" xfId="4380"/>
    <cellStyle name="Normal 22 2 2 2 2 2 2 2 7" xfId="4381"/>
    <cellStyle name="Normal 22 2 2 2 2 2 2 3" xfId="4382"/>
    <cellStyle name="Normal 22 2 2 2 2 2 2 3 2" xfId="4383"/>
    <cellStyle name="Normal 22 2 2 2 2 2 2 3 2 2" xfId="4384"/>
    <cellStyle name="Normal 22 2 2 2 2 2 2 3 2 3" xfId="4385"/>
    <cellStyle name="Normal 22 2 2 2 2 2 2 3 2 4" xfId="4386"/>
    <cellStyle name="Normal 22 2 2 2 2 2 2 3 3" xfId="4387"/>
    <cellStyle name="Normal 22 2 2 2 2 2 2 3 4" xfId="4388"/>
    <cellStyle name="Normal 22 2 2 2 2 2 2 4" xfId="4389"/>
    <cellStyle name="Normal 22 2 2 2 2 2 2 5" xfId="4390"/>
    <cellStyle name="Normal 22 2 2 2 2 2 2 6" xfId="4391"/>
    <cellStyle name="Normal 22 2 2 2 2 2 2 7" xfId="4392"/>
    <cellStyle name="Normal 22 2 2 2 2 2 3" xfId="4393"/>
    <cellStyle name="Normal 22 2 2 2 2 2 4" xfId="4394"/>
    <cellStyle name="Normal 22 2 2 2 2 2 5" xfId="4395"/>
    <cellStyle name="Normal 22 2 2 2 2 2 5 2" xfId="4396"/>
    <cellStyle name="Normal 22 2 2 2 2 2 5 2 2" xfId="4397"/>
    <cellStyle name="Normal 22 2 2 2 2 2 5 2 3" xfId="4398"/>
    <cellStyle name="Normal 22 2 2 2 2 2 5 2 4" xfId="4399"/>
    <cellStyle name="Normal 22 2 2 2 2 2 5 3" xfId="4400"/>
    <cellStyle name="Normal 22 2 2 2 2 2 5 4" xfId="4401"/>
    <cellStyle name="Normal 22 2 2 2 2 2 6" xfId="4402"/>
    <cellStyle name="Normal 22 2 2 2 2 2 7" xfId="4403"/>
    <cellStyle name="Normal 22 2 2 2 2 2 8" xfId="4404"/>
    <cellStyle name="Normal 22 2 2 2 2 2 9" xfId="4405"/>
    <cellStyle name="Normal 22 2 2 2 2 3" xfId="4406"/>
    <cellStyle name="Normal 22 2 2 2 2 3 2" xfId="4407"/>
    <cellStyle name="Normal 22 2 2 2 2 3 2 2" xfId="4408"/>
    <cellStyle name="Normal 22 2 2 2 2 3 2 2 2" xfId="4409"/>
    <cellStyle name="Normal 22 2 2 2 2 3 2 2 2 2" xfId="4410"/>
    <cellStyle name="Normal 22 2 2 2 2 3 2 2 2 2 2" xfId="4411"/>
    <cellStyle name="Normal 22 2 2 2 2 3 2 2 2 3" xfId="4412"/>
    <cellStyle name="Normal 22 2 2 2 2 3 2 2 2 4" xfId="4413"/>
    <cellStyle name="Normal 22 2 2 2 2 3 2 2 3" xfId="4414"/>
    <cellStyle name="Normal 22 2 2 2 2 3 2 2 4" xfId="4415"/>
    <cellStyle name="Normal 22 2 2 2 2 3 2 3" xfId="4416"/>
    <cellStyle name="Normal 22 2 2 2 2 3 2 4" xfId="4417"/>
    <cellStyle name="Normal 22 2 2 2 2 3 2 5" xfId="4418"/>
    <cellStyle name="Normal 22 2 2 2 2 3 2 6" xfId="4419"/>
    <cellStyle name="Normal 22 2 2 2 2 3 2 7" xfId="4420"/>
    <cellStyle name="Normal 22 2 2 2 2 3 3" xfId="4421"/>
    <cellStyle name="Normal 22 2 2 2 2 3 3 2" xfId="4422"/>
    <cellStyle name="Normal 22 2 2 2 2 3 3 2 2" xfId="4423"/>
    <cellStyle name="Normal 22 2 2 2 2 3 3 2 3" xfId="4424"/>
    <cellStyle name="Normal 22 2 2 2 2 3 3 2 4" xfId="4425"/>
    <cellStyle name="Normal 22 2 2 2 2 3 3 3" xfId="4426"/>
    <cellStyle name="Normal 22 2 2 2 2 3 3 4" xfId="4427"/>
    <cellStyle name="Normal 22 2 2 2 2 3 4" xfId="4428"/>
    <cellStyle name="Normal 22 2 2 2 2 3 5" xfId="4429"/>
    <cellStyle name="Normal 22 2 2 2 2 3 6" xfId="4430"/>
    <cellStyle name="Normal 22 2 2 2 2 3 7" xfId="4431"/>
    <cellStyle name="Normal 22 2 2 2 2 4" xfId="4432"/>
    <cellStyle name="Normal 22 2 2 2 2 5" xfId="4433"/>
    <cellStyle name="Normal 22 2 2 2 2 5 2" xfId="4434"/>
    <cellStyle name="Normal 22 2 2 2 2 5 2 2" xfId="4435"/>
    <cellStyle name="Normal 22 2 2 2 2 5 2 3" xfId="4436"/>
    <cellStyle name="Normal 22 2 2 2 2 5 2 4" xfId="4437"/>
    <cellStyle name="Normal 22 2 2 2 2 5 3" xfId="4438"/>
    <cellStyle name="Normal 22 2 2 2 2 5 4" xfId="4439"/>
    <cellStyle name="Normal 22 2 2 2 2 6" xfId="4440"/>
    <cellStyle name="Normal 22 2 2 2 2 7" xfId="4441"/>
    <cellStyle name="Normal 22 2 2 2 2 8" xfId="4442"/>
    <cellStyle name="Normal 22 2 2 2 2 9" xfId="4443"/>
    <cellStyle name="Normal 22 2 2 2 3" xfId="4444"/>
    <cellStyle name="Normal 22 2 2 2 3 10" xfId="4445"/>
    <cellStyle name="Normal 22 2 2 2 3 11" xfId="4446"/>
    <cellStyle name="Normal 22 2 2 2 3 12" xfId="4447"/>
    <cellStyle name="Normal 22 2 2 2 3 13" xfId="4448"/>
    <cellStyle name="Normal 22 2 2 2 3 2" xfId="4449"/>
    <cellStyle name="Normal 22 2 2 2 3 3" xfId="4450"/>
    <cellStyle name="Normal 22 2 2 2 3 4" xfId="4451"/>
    <cellStyle name="Normal 22 2 2 2 3 5" xfId="4452"/>
    <cellStyle name="Normal 22 2 2 2 3 6" xfId="4453"/>
    <cellStyle name="Normal 22 2 2 2 3 7" xfId="4454"/>
    <cellStyle name="Normal 22 2 2 2 3 8" xfId="4455"/>
    <cellStyle name="Normal 22 2 2 2 3 9" xfId="4456"/>
    <cellStyle name="Normal 22 2 2 2 4" xfId="4457"/>
    <cellStyle name="Normal 22 2 2 2 4 10" xfId="4458"/>
    <cellStyle name="Normal 22 2 2 2 4 11" xfId="4459"/>
    <cellStyle name="Normal 22 2 2 2 4 12" xfId="4460"/>
    <cellStyle name="Normal 22 2 2 2 4 13" xfId="4461"/>
    <cellStyle name="Normal 22 2 2 2 4 2" xfId="4462"/>
    <cellStyle name="Normal 22 2 2 2 4 3" xfId="4463"/>
    <cellStyle name="Normal 22 2 2 2 4 4" xfId="4464"/>
    <cellStyle name="Normal 22 2 2 2 4 5" xfId="4465"/>
    <cellStyle name="Normal 22 2 2 2 4 6" xfId="4466"/>
    <cellStyle name="Normal 22 2 2 2 4 7" xfId="4467"/>
    <cellStyle name="Normal 22 2 2 2 4 8" xfId="4468"/>
    <cellStyle name="Normal 22 2 2 2 4 9" xfId="4469"/>
    <cellStyle name="Normal 22 2 2 2 5" xfId="4470"/>
    <cellStyle name="Normal 22 2 2 2 5 2" xfId="4471"/>
    <cellStyle name="Normal 22 2 2 2 5 2 2" xfId="4472"/>
    <cellStyle name="Normal 22 2 2 2 5 2 2 2" xfId="4473"/>
    <cellStyle name="Normal 22 2 2 2 5 2 2 2 2" xfId="4474"/>
    <cellStyle name="Normal 22 2 2 2 5 2 2 2 2 2" xfId="4475"/>
    <cellStyle name="Normal 22 2 2 2 5 2 2 2 3" xfId="4476"/>
    <cellStyle name="Normal 22 2 2 2 5 2 2 2 4" xfId="4477"/>
    <cellStyle name="Normal 22 2 2 2 5 2 2 3" xfId="4478"/>
    <cellStyle name="Normal 22 2 2 2 5 2 2 4" xfId="4479"/>
    <cellStyle name="Normal 22 2 2 2 5 2 3" xfId="4480"/>
    <cellStyle name="Normal 22 2 2 2 5 2 4" xfId="4481"/>
    <cellStyle name="Normal 22 2 2 2 5 2 5" xfId="4482"/>
    <cellStyle name="Normal 22 2 2 2 5 2 6" xfId="4483"/>
    <cellStyle name="Normal 22 2 2 2 5 2 7" xfId="4484"/>
    <cellStyle name="Normal 22 2 2 2 5 3" xfId="4485"/>
    <cellStyle name="Normal 22 2 2 2 5 3 2" xfId="4486"/>
    <cellStyle name="Normal 22 2 2 2 5 3 2 2" xfId="4487"/>
    <cellStyle name="Normal 22 2 2 2 5 3 2 3" xfId="4488"/>
    <cellStyle name="Normal 22 2 2 2 5 3 2 4" xfId="4489"/>
    <cellStyle name="Normal 22 2 2 2 5 3 3" xfId="4490"/>
    <cellStyle name="Normal 22 2 2 2 5 3 4" xfId="4491"/>
    <cellStyle name="Normal 22 2 2 2 5 4" xfId="4492"/>
    <cellStyle name="Normal 22 2 2 2 5 5" xfId="4493"/>
    <cellStyle name="Normal 22 2 2 2 5 6" xfId="4494"/>
    <cellStyle name="Normal 22 2 2 2 5 7" xfId="4495"/>
    <cellStyle name="Normal 22 2 2 2 6" xfId="4496"/>
    <cellStyle name="Normal 22 2 2 2 7" xfId="4497"/>
    <cellStyle name="Normal 22 2 2 2 8" xfId="4498"/>
    <cellStyle name="Normal 22 2 2 2 8 2" xfId="4499"/>
    <cellStyle name="Normal 22 2 2 2 8 2 2" xfId="4500"/>
    <cellStyle name="Normal 22 2 2 2 8 2 3" xfId="4501"/>
    <cellStyle name="Normal 22 2 2 2 8 2 4" xfId="4502"/>
    <cellStyle name="Normal 22 2 2 2 8 3" xfId="4503"/>
    <cellStyle name="Normal 22 2 2 2 8 4" xfId="4504"/>
    <cellStyle name="Normal 22 2 2 2 9" xfId="4505"/>
    <cellStyle name="Normal 22 2 2 3" xfId="4506"/>
    <cellStyle name="Normal 22 2 2 3 10" xfId="4507"/>
    <cellStyle name="Normal 22 2 2 3 11" xfId="4508"/>
    <cellStyle name="Normal 22 2 2 3 12" xfId="4509"/>
    <cellStyle name="Normal 22 2 2 3 13" xfId="4510"/>
    <cellStyle name="Normal 22 2 2 3 2" xfId="4511"/>
    <cellStyle name="Normal 22 2 2 3 2 10" xfId="4512"/>
    <cellStyle name="Normal 22 2 2 3 2 11" xfId="4513"/>
    <cellStyle name="Normal 22 2 2 3 2 12" xfId="4514"/>
    <cellStyle name="Normal 22 2 2 3 2 13" xfId="4515"/>
    <cellStyle name="Normal 22 2 2 3 2 2" xfId="4516"/>
    <cellStyle name="Normal 22 2 2 3 2 2 2" xfId="4517"/>
    <cellStyle name="Normal 22 2 2 3 2 2 2 2" xfId="4518"/>
    <cellStyle name="Normal 22 2 2 3 2 2 2 2 2" xfId="4519"/>
    <cellStyle name="Normal 22 2 2 3 2 2 2 2 2 2" xfId="4520"/>
    <cellStyle name="Normal 22 2 2 3 2 2 2 2 2 2 2" xfId="4521"/>
    <cellStyle name="Normal 22 2 2 3 2 2 2 2 2 3" xfId="4522"/>
    <cellStyle name="Normal 22 2 2 3 2 2 2 2 2 4" xfId="4523"/>
    <cellStyle name="Normal 22 2 2 3 2 2 2 2 3" xfId="4524"/>
    <cellStyle name="Normal 22 2 2 3 2 2 2 2 4" xfId="4525"/>
    <cellStyle name="Normal 22 2 2 3 2 2 2 3" xfId="4526"/>
    <cellStyle name="Normal 22 2 2 3 2 2 2 4" xfId="4527"/>
    <cellStyle name="Normal 22 2 2 3 2 2 2 5" xfId="4528"/>
    <cellStyle name="Normal 22 2 2 3 2 2 2 6" xfId="4529"/>
    <cellStyle name="Normal 22 2 2 3 2 2 2 7" xfId="4530"/>
    <cellStyle name="Normal 22 2 2 3 2 2 3" xfId="4531"/>
    <cellStyle name="Normal 22 2 2 3 2 2 3 2" xfId="4532"/>
    <cellStyle name="Normal 22 2 2 3 2 2 3 2 2" xfId="4533"/>
    <cellStyle name="Normal 22 2 2 3 2 2 3 2 3" xfId="4534"/>
    <cellStyle name="Normal 22 2 2 3 2 2 3 2 4" xfId="4535"/>
    <cellStyle name="Normal 22 2 2 3 2 2 3 3" xfId="4536"/>
    <cellStyle name="Normal 22 2 2 3 2 2 3 4" xfId="4537"/>
    <cellStyle name="Normal 22 2 2 3 2 2 4" xfId="4538"/>
    <cellStyle name="Normal 22 2 2 3 2 2 5" xfId="4539"/>
    <cellStyle name="Normal 22 2 2 3 2 2 6" xfId="4540"/>
    <cellStyle name="Normal 22 2 2 3 2 2 7" xfId="4541"/>
    <cellStyle name="Normal 22 2 2 3 2 3" xfId="4542"/>
    <cellStyle name="Normal 22 2 2 3 2 4" xfId="4543"/>
    <cellStyle name="Normal 22 2 2 3 2 5" xfId="4544"/>
    <cellStyle name="Normal 22 2 2 3 2 5 2" xfId="4545"/>
    <cellStyle name="Normal 22 2 2 3 2 5 2 2" xfId="4546"/>
    <cellStyle name="Normal 22 2 2 3 2 5 2 3" xfId="4547"/>
    <cellStyle name="Normal 22 2 2 3 2 5 2 4" xfId="4548"/>
    <cellStyle name="Normal 22 2 2 3 2 5 3" xfId="4549"/>
    <cellStyle name="Normal 22 2 2 3 2 5 4" xfId="4550"/>
    <cellStyle name="Normal 22 2 2 3 2 6" xfId="4551"/>
    <cellStyle name="Normal 22 2 2 3 2 7" xfId="4552"/>
    <cellStyle name="Normal 22 2 2 3 2 8" xfId="4553"/>
    <cellStyle name="Normal 22 2 2 3 2 9" xfId="4554"/>
    <cellStyle name="Normal 22 2 2 3 3" xfId="4555"/>
    <cellStyle name="Normal 22 2 2 3 3 2" xfId="4556"/>
    <cellStyle name="Normal 22 2 2 3 3 2 2" xfId="4557"/>
    <cellStyle name="Normal 22 2 2 3 3 2 2 2" xfId="4558"/>
    <cellStyle name="Normal 22 2 2 3 3 2 2 2 2" xfId="4559"/>
    <cellStyle name="Normal 22 2 2 3 3 2 2 2 2 2" xfId="4560"/>
    <cellStyle name="Normal 22 2 2 3 3 2 2 2 3" xfId="4561"/>
    <cellStyle name="Normal 22 2 2 3 3 2 2 2 4" xfId="4562"/>
    <cellStyle name="Normal 22 2 2 3 3 2 2 3" xfId="4563"/>
    <cellStyle name="Normal 22 2 2 3 3 2 2 4" xfId="4564"/>
    <cellStyle name="Normal 22 2 2 3 3 2 3" xfId="4565"/>
    <cellStyle name="Normal 22 2 2 3 3 2 4" xfId="4566"/>
    <cellStyle name="Normal 22 2 2 3 3 2 5" xfId="4567"/>
    <cellStyle name="Normal 22 2 2 3 3 2 6" xfId="4568"/>
    <cellStyle name="Normal 22 2 2 3 3 2 7" xfId="4569"/>
    <cellStyle name="Normal 22 2 2 3 3 3" xfId="4570"/>
    <cellStyle name="Normal 22 2 2 3 3 3 2" xfId="4571"/>
    <cellStyle name="Normal 22 2 2 3 3 3 2 2" xfId="4572"/>
    <cellStyle name="Normal 22 2 2 3 3 3 2 3" xfId="4573"/>
    <cellStyle name="Normal 22 2 2 3 3 3 2 4" xfId="4574"/>
    <cellStyle name="Normal 22 2 2 3 3 3 3" xfId="4575"/>
    <cellStyle name="Normal 22 2 2 3 3 3 4" xfId="4576"/>
    <cellStyle name="Normal 22 2 2 3 3 4" xfId="4577"/>
    <cellStyle name="Normal 22 2 2 3 3 5" xfId="4578"/>
    <cellStyle name="Normal 22 2 2 3 3 6" xfId="4579"/>
    <cellStyle name="Normal 22 2 2 3 3 7" xfId="4580"/>
    <cellStyle name="Normal 22 2 2 3 4" xfId="4581"/>
    <cellStyle name="Normal 22 2 2 3 5" xfId="4582"/>
    <cellStyle name="Normal 22 2 2 3 5 2" xfId="4583"/>
    <cellStyle name="Normal 22 2 2 3 5 2 2" xfId="4584"/>
    <cellStyle name="Normal 22 2 2 3 5 2 3" xfId="4585"/>
    <cellStyle name="Normal 22 2 2 3 5 2 4" xfId="4586"/>
    <cellStyle name="Normal 22 2 2 3 5 3" xfId="4587"/>
    <cellStyle name="Normal 22 2 2 3 5 4" xfId="4588"/>
    <cellStyle name="Normal 22 2 2 3 6" xfId="4589"/>
    <cellStyle name="Normal 22 2 2 3 7" xfId="4590"/>
    <cellStyle name="Normal 22 2 2 3 8" xfId="4591"/>
    <cellStyle name="Normal 22 2 2 3 9" xfId="4592"/>
    <cellStyle name="Normal 22 2 2 4" xfId="4593"/>
    <cellStyle name="Normal 22 2 2 5" xfId="4594"/>
    <cellStyle name="Normal 22 2 2 5 2" xfId="4595"/>
    <cellStyle name="Normal 22 2 2 5 2 2" xfId="4596"/>
    <cellStyle name="Normal 22 2 2 5 2 2 2" xfId="4597"/>
    <cellStyle name="Normal 22 2 2 5 2 2 2 2" xfId="4598"/>
    <cellStyle name="Normal 22 2 2 5 2 2 2 2 2" xfId="4599"/>
    <cellStyle name="Normal 22 2 2 5 2 2 2 3" xfId="4600"/>
    <cellStyle name="Normal 22 2 2 5 2 2 2 4" xfId="4601"/>
    <cellStyle name="Normal 22 2 2 5 2 2 3" xfId="4602"/>
    <cellStyle name="Normal 22 2 2 5 2 2 4" xfId="4603"/>
    <cellStyle name="Normal 22 2 2 5 2 3" xfId="4604"/>
    <cellStyle name="Normal 22 2 2 5 2 4" xfId="4605"/>
    <cellStyle name="Normal 22 2 2 5 2 5" xfId="4606"/>
    <cellStyle name="Normal 22 2 2 5 2 6" xfId="4607"/>
    <cellStyle name="Normal 22 2 2 5 2 7" xfId="4608"/>
    <cellStyle name="Normal 22 2 2 5 3" xfId="4609"/>
    <cellStyle name="Normal 22 2 2 5 3 2" xfId="4610"/>
    <cellStyle name="Normal 22 2 2 5 3 2 2" xfId="4611"/>
    <cellStyle name="Normal 22 2 2 5 3 2 3" xfId="4612"/>
    <cellStyle name="Normal 22 2 2 5 3 2 4" xfId="4613"/>
    <cellStyle name="Normal 22 2 2 5 3 3" xfId="4614"/>
    <cellStyle name="Normal 22 2 2 5 3 4" xfId="4615"/>
    <cellStyle name="Normal 22 2 2 5 4" xfId="4616"/>
    <cellStyle name="Normal 22 2 2 5 5" xfId="4617"/>
    <cellStyle name="Normal 22 2 2 5 6" xfId="4618"/>
    <cellStyle name="Normal 22 2 2 5 7" xfId="4619"/>
    <cellStyle name="Normal 22 2 2 6" xfId="4620"/>
    <cellStyle name="Normal 22 2 2 7" xfId="4621"/>
    <cellStyle name="Normal 22 2 2 8" xfId="4622"/>
    <cellStyle name="Normal 22 2 2 8 2" xfId="4623"/>
    <cellStyle name="Normal 22 2 2 8 2 2" xfId="4624"/>
    <cellStyle name="Normal 22 2 2 8 2 3" xfId="4625"/>
    <cellStyle name="Normal 22 2 2 8 2 4" xfId="4626"/>
    <cellStyle name="Normal 22 2 2 8 3" xfId="4627"/>
    <cellStyle name="Normal 22 2 2 8 4" xfId="4628"/>
    <cellStyle name="Normal 22 2 2 9" xfId="4629"/>
    <cellStyle name="Normal 22 2 3" xfId="4630"/>
    <cellStyle name="Normal 22 2 3 10" xfId="4631"/>
    <cellStyle name="Normal 22 2 3 11" xfId="4632"/>
    <cellStyle name="Normal 22 2 3 12" xfId="4633"/>
    <cellStyle name="Normal 22 2 3 13" xfId="4634"/>
    <cellStyle name="Normal 22 2 3 2" xfId="4635"/>
    <cellStyle name="Normal 22 2 3 3" xfId="4636"/>
    <cellStyle name="Normal 22 2 3 4" xfId="4637"/>
    <cellStyle name="Normal 22 2 3 5" xfId="4638"/>
    <cellStyle name="Normal 22 2 3 6" xfId="4639"/>
    <cellStyle name="Normal 22 2 3 7" xfId="4640"/>
    <cellStyle name="Normal 22 2 3 8" xfId="4641"/>
    <cellStyle name="Normal 22 2 3 9" xfId="4642"/>
    <cellStyle name="Normal 22 2 4" xfId="4643"/>
    <cellStyle name="Normal 22 2 4 10" xfId="4644"/>
    <cellStyle name="Normal 22 2 4 11" xfId="4645"/>
    <cellStyle name="Normal 22 2 4 12" xfId="4646"/>
    <cellStyle name="Normal 22 2 4 13" xfId="4647"/>
    <cellStyle name="Normal 22 2 4 2" xfId="4648"/>
    <cellStyle name="Normal 22 2 4 3" xfId="4649"/>
    <cellStyle name="Normal 22 2 4 4" xfId="4650"/>
    <cellStyle name="Normal 22 2 4 5" xfId="4651"/>
    <cellStyle name="Normal 22 2 4 6" xfId="4652"/>
    <cellStyle name="Normal 22 2 4 7" xfId="4653"/>
    <cellStyle name="Normal 22 2 4 8" xfId="4654"/>
    <cellStyle name="Normal 22 2 4 9" xfId="4655"/>
    <cellStyle name="Normal 22 2 5" xfId="4656"/>
    <cellStyle name="Normal 22 2 5 10" xfId="4657"/>
    <cellStyle name="Normal 22 2 5 11" xfId="4658"/>
    <cellStyle name="Normal 22 2 5 12" xfId="4659"/>
    <cellStyle name="Normal 22 2 5 13" xfId="4660"/>
    <cellStyle name="Normal 22 2 5 2" xfId="4661"/>
    <cellStyle name="Normal 22 2 5 2 10" xfId="4662"/>
    <cellStyle name="Normal 22 2 5 2 11" xfId="4663"/>
    <cellStyle name="Normal 22 2 5 2 12" xfId="4664"/>
    <cellStyle name="Normal 22 2 5 2 13" xfId="4665"/>
    <cellStyle name="Normal 22 2 5 2 2" xfId="4666"/>
    <cellStyle name="Normal 22 2 5 2 2 2" xfId="4667"/>
    <cellStyle name="Normal 22 2 5 2 2 2 2" xfId="4668"/>
    <cellStyle name="Normal 22 2 5 2 2 2 2 2" xfId="4669"/>
    <cellStyle name="Normal 22 2 5 2 2 2 2 2 2" xfId="4670"/>
    <cellStyle name="Normal 22 2 5 2 2 2 2 2 2 2" xfId="4671"/>
    <cellStyle name="Normal 22 2 5 2 2 2 2 2 3" xfId="4672"/>
    <cellStyle name="Normal 22 2 5 2 2 2 2 2 4" xfId="4673"/>
    <cellStyle name="Normal 22 2 5 2 2 2 2 3" xfId="4674"/>
    <cellStyle name="Normal 22 2 5 2 2 2 2 4" xfId="4675"/>
    <cellStyle name="Normal 22 2 5 2 2 2 3" xfId="4676"/>
    <cellStyle name="Normal 22 2 5 2 2 2 4" xfId="4677"/>
    <cellStyle name="Normal 22 2 5 2 2 2 5" xfId="4678"/>
    <cellStyle name="Normal 22 2 5 2 2 2 6" xfId="4679"/>
    <cellStyle name="Normal 22 2 5 2 2 2 7" xfId="4680"/>
    <cellStyle name="Normal 22 2 5 2 2 3" xfId="4681"/>
    <cellStyle name="Normal 22 2 5 2 2 3 2" xfId="4682"/>
    <cellStyle name="Normal 22 2 5 2 2 3 2 2" xfId="4683"/>
    <cellStyle name="Normal 22 2 5 2 2 3 2 3" xfId="4684"/>
    <cellStyle name="Normal 22 2 5 2 2 3 2 4" xfId="4685"/>
    <cellStyle name="Normal 22 2 5 2 2 3 3" xfId="4686"/>
    <cellStyle name="Normal 22 2 5 2 2 3 4" xfId="4687"/>
    <cellStyle name="Normal 22 2 5 2 2 4" xfId="4688"/>
    <cellStyle name="Normal 22 2 5 2 2 5" xfId="4689"/>
    <cellStyle name="Normal 22 2 5 2 2 6" xfId="4690"/>
    <cellStyle name="Normal 22 2 5 2 2 7" xfId="4691"/>
    <cellStyle name="Normal 22 2 5 2 3" xfId="4692"/>
    <cellStyle name="Normal 22 2 5 2 4" xfId="4693"/>
    <cellStyle name="Normal 22 2 5 2 5" xfId="4694"/>
    <cellStyle name="Normal 22 2 5 2 5 2" xfId="4695"/>
    <cellStyle name="Normal 22 2 5 2 5 2 2" xfId="4696"/>
    <cellStyle name="Normal 22 2 5 2 5 2 3" xfId="4697"/>
    <cellStyle name="Normal 22 2 5 2 5 2 4" xfId="4698"/>
    <cellStyle name="Normal 22 2 5 2 5 3" xfId="4699"/>
    <cellStyle name="Normal 22 2 5 2 5 4" xfId="4700"/>
    <cellStyle name="Normal 22 2 5 2 6" xfId="4701"/>
    <cellStyle name="Normal 22 2 5 2 7" xfId="4702"/>
    <cellStyle name="Normal 22 2 5 2 8" xfId="4703"/>
    <cellStyle name="Normal 22 2 5 2 9" xfId="4704"/>
    <cellStyle name="Normal 22 2 5 3" xfId="4705"/>
    <cellStyle name="Normal 22 2 5 3 2" xfId="4706"/>
    <cellStyle name="Normal 22 2 5 3 2 2" xfId="4707"/>
    <cellStyle name="Normal 22 2 5 3 2 2 2" xfId="4708"/>
    <cellStyle name="Normal 22 2 5 3 2 2 2 2" xfId="4709"/>
    <cellStyle name="Normal 22 2 5 3 2 2 2 2 2" xfId="4710"/>
    <cellStyle name="Normal 22 2 5 3 2 2 2 3" xfId="4711"/>
    <cellStyle name="Normal 22 2 5 3 2 2 2 4" xfId="4712"/>
    <cellStyle name="Normal 22 2 5 3 2 2 3" xfId="4713"/>
    <cellStyle name="Normal 22 2 5 3 2 2 4" xfId="4714"/>
    <cellStyle name="Normal 22 2 5 3 2 3" xfId="4715"/>
    <cellStyle name="Normal 22 2 5 3 2 4" xfId="4716"/>
    <cellStyle name="Normal 22 2 5 3 2 5" xfId="4717"/>
    <cellStyle name="Normal 22 2 5 3 2 6" xfId="4718"/>
    <cellStyle name="Normal 22 2 5 3 2 7" xfId="4719"/>
    <cellStyle name="Normal 22 2 5 3 3" xfId="4720"/>
    <cellStyle name="Normal 22 2 5 3 3 2" xfId="4721"/>
    <cellStyle name="Normal 22 2 5 3 3 2 2" xfId="4722"/>
    <cellStyle name="Normal 22 2 5 3 3 2 3" xfId="4723"/>
    <cellStyle name="Normal 22 2 5 3 3 2 4" xfId="4724"/>
    <cellStyle name="Normal 22 2 5 3 3 3" xfId="4725"/>
    <cellStyle name="Normal 22 2 5 3 3 4" xfId="4726"/>
    <cellStyle name="Normal 22 2 5 3 4" xfId="4727"/>
    <cellStyle name="Normal 22 2 5 3 5" xfId="4728"/>
    <cellStyle name="Normal 22 2 5 3 6" xfId="4729"/>
    <cellStyle name="Normal 22 2 5 3 7" xfId="4730"/>
    <cellStyle name="Normal 22 2 5 4" xfId="4731"/>
    <cellStyle name="Normal 22 2 5 5" xfId="4732"/>
    <cellStyle name="Normal 22 2 5 5 2" xfId="4733"/>
    <cellStyle name="Normal 22 2 5 5 2 2" xfId="4734"/>
    <cellStyle name="Normal 22 2 5 5 2 3" xfId="4735"/>
    <cellStyle name="Normal 22 2 5 5 2 4" xfId="4736"/>
    <cellStyle name="Normal 22 2 5 5 3" xfId="4737"/>
    <cellStyle name="Normal 22 2 5 5 4" xfId="4738"/>
    <cellStyle name="Normal 22 2 5 6" xfId="4739"/>
    <cellStyle name="Normal 22 2 5 7" xfId="4740"/>
    <cellStyle name="Normal 22 2 5 8" xfId="4741"/>
    <cellStyle name="Normal 22 2 5 9" xfId="4742"/>
    <cellStyle name="Normal 22 2 6" xfId="4743"/>
    <cellStyle name="Normal 22 2 6 10" xfId="4744"/>
    <cellStyle name="Normal 22 2 6 11" xfId="4745"/>
    <cellStyle name="Normal 22 2 6 12" xfId="4746"/>
    <cellStyle name="Normal 22 2 6 13" xfId="4747"/>
    <cellStyle name="Normal 22 2 6 2" xfId="4748"/>
    <cellStyle name="Normal 22 2 6 3" xfId="4749"/>
    <cellStyle name="Normal 22 2 6 4" xfId="4750"/>
    <cellStyle name="Normal 22 2 6 5" xfId="4751"/>
    <cellStyle name="Normal 22 2 6 6" xfId="4752"/>
    <cellStyle name="Normal 22 2 6 7" xfId="4753"/>
    <cellStyle name="Normal 22 2 6 8" xfId="4754"/>
    <cellStyle name="Normal 22 2 6 9" xfId="4755"/>
    <cellStyle name="Normal 22 2 7" xfId="4756"/>
    <cellStyle name="Normal 22 2 7 10" xfId="4757"/>
    <cellStyle name="Normal 22 2 7 11" xfId="4758"/>
    <cellStyle name="Normal 22 2 7 12" xfId="4759"/>
    <cellStyle name="Normal 22 2 7 13" xfId="4760"/>
    <cellStyle name="Normal 22 2 7 2" xfId="4761"/>
    <cellStyle name="Normal 22 2 7 3" xfId="4762"/>
    <cellStyle name="Normal 22 2 7 4" xfId="4763"/>
    <cellStyle name="Normal 22 2 7 5" xfId="4764"/>
    <cellStyle name="Normal 22 2 7 6" xfId="4765"/>
    <cellStyle name="Normal 22 2 7 7" xfId="4766"/>
    <cellStyle name="Normal 22 2 7 8" xfId="4767"/>
    <cellStyle name="Normal 22 2 7 9" xfId="4768"/>
    <cellStyle name="Normal 22 2 8" xfId="4769"/>
    <cellStyle name="Normal 22 2 8 2" xfId="4770"/>
    <cellStyle name="Normal 22 2 8 2 2" xfId="4771"/>
    <cellStyle name="Normal 22 2 8 2 2 2" xfId="4772"/>
    <cellStyle name="Normal 22 2 8 2 2 2 2" xfId="4773"/>
    <cellStyle name="Normal 22 2 8 2 2 2 2 2" xfId="4774"/>
    <cellStyle name="Normal 22 2 8 2 2 2 3" xfId="4775"/>
    <cellStyle name="Normal 22 2 8 2 2 2 4" xfId="4776"/>
    <cellStyle name="Normal 22 2 8 2 2 3" xfId="4777"/>
    <cellStyle name="Normal 22 2 8 2 2 4" xfId="4778"/>
    <cellStyle name="Normal 22 2 8 2 3" xfId="4779"/>
    <cellStyle name="Normal 22 2 8 2 4" xfId="4780"/>
    <cellStyle name="Normal 22 2 8 2 5" xfId="4781"/>
    <cellStyle name="Normal 22 2 8 2 6" xfId="4782"/>
    <cellStyle name="Normal 22 2 8 2 7" xfId="4783"/>
    <cellStyle name="Normal 22 2 8 3" xfId="4784"/>
    <cellStyle name="Normal 22 2 8 3 2" xfId="4785"/>
    <cellStyle name="Normal 22 2 8 3 2 2" xfId="4786"/>
    <cellStyle name="Normal 22 2 8 3 2 3" xfId="4787"/>
    <cellStyle name="Normal 22 2 8 3 2 4" xfId="4788"/>
    <cellStyle name="Normal 22 2 8 3 3" xfId="4789"/>
    <cellStyle name="Normal 22 2 8 3 4" xfId="4790"/>
    <cellStyle name="Normal 22 2 8 4" xfId="4791"/>
    <cellStyle name="Normal 22 2 8 5" xfId="4792"/>
    <cellStyle name="Normal 22 2 8 6" xfId="4793"/>
    <cellStyle name="Normal 22 2 8 7" xfId="4794"/>
    <cellStyle name="Normal 22 2 9" xfId="4795"/>
    <cellStyle name="Normal 22 20" xfId="4796"/>
    <cellStyle name="Normal 22 3" xfId="4797"/>
    <cellStyle name="Normal 22 3 10" xfId="4798"/>
    <cellStyle name="Normal 22 3 11" xfId="4799"/>
    <cellStyle name="Normal 22 3 12" xfId="4800"/>
    <cellStyle name="Normal 22 3 13" xfId="4801"/>
    <cellStyle name="Normal 22 3 14" xfId="4802"/>
    <cellStyle name="Normal 22 3 15" xfId="4803"/>
    <cellStyle name="Normal 22 3 16" xfId="4804"/>
    <cellStyle name="Normal 22 3 2" xfId="4805"/>
    <cellStyle name="Normal 22 3 2 10" xfId="4806"/>
    <cellStyle name="Normal 22 3 2 11" xfId="4807"/>
    <cellStyle name="Normal 22 3 2 12" xfId="4808"/>
    <cellStyle name="Normal 22 3 2 13" xfId="4809"/>
    <cellStyle name="Normal 22 3 2 14" xfId="4810"/>
    <cellStyle name="Normal 22 3 2 15" xfId="4811"/>
    <cellStyle name="Normal 22 3 2 16" xfId="4812"/>
    <cellStyle name="Normal 22 3 2 2" xfId="4813"/>
    <cellStyle name="Normal 22 3 2 2 10" xfId="4814"/>
    <cellStyle name="Normal 22 3 2 2 11" xfId="4815"/>
    <cellStyle name="Normal 22 3 2 2 12" xfId="4816"/>
    <cellStyle name="Normal 22 3 2 2 13" xfId="4817"/>
    <cellStyle name="Normal 22 3 2 2 2" xfId="4818"/>
    <cellStyle name="Normal 22 3 2 2 2 10" xfId="4819"/>
    <cellStyle name="Normal 22 3 2 2 2 11" xfId="4820"/>
    <cellStyle name="Normal 22 3 2 2 2 12" xfId="4821"/>
    <cellStyle name="Normal 22 3 2 2 2 13" xfId="4822"/>
    <cellStyle name="Normal 22 3 2 2 2 2" xfId="4823"/>
    <cellStyle name="Normal 22 3 2 2 2 2 2" xfId="4824"/>
    <cellStyle name="Normal 22 3 2 2 2 2 2 2" xfId="4825"/>
    <cellStyle name="Normal 22 3 2 2 2 2 2 2 2" xfId="4826"/>
    <cellStyle name="Normal 22 3 2 2 2 2 2 2 2 2" xfId="4827"/>
    <cellStyle name="Normal 22 3 2 2 2 2 2 2 2 2 2" xfId="4828"/>
    <cellStyle name="Normal 22 3 2 2 2 2 2 2 2 3" xfId="4829"/>
    <cellStyle name="Normal 22 3 2 2 2 2 2 2 2 4" xfId="4830"/>
    <cellStyle name="Normal 22 3 2 2 2 2 2 2 3" xfId="4831"/>
    <cellStyle name="Normal 22 3 2 2 2 2 2 2 4" xfId="4832"/>
    <cellStyle name="Normal 22 3 2 2 2 2 2 3" xfId="4833"/>
    <cellStyle name="Normal 22 3 2 2 2 2 2 4" xfId="4834"/>
    <cellStyle name="Normal 22 3 2 2 2 2 2 5" xfId="4835"/>
    <cellStyle name="Normal 22 3 2 2 2 2 2 6" xfId="4836"/>
    <cellStyle name="Normal 22 3 2 2 2 2 2 7" xfId="4837"/>
    <cellStyle name="Normal 22 3 2 2 2 2 3" xfId="4838"/>
    <cellStyle name="Normal 22 3 2 2 2 2 3 2" xfId="4839"/>
    <cellStyle name="Normal 22 3 2 2 2 2 3 2 2" xfId="4840"/>
    <cellStyle name="Normal 22 3 2 2 2 2 3 2 3" xfId="4841"/>
    <cellStyle name="Normal 22 3 2 2 2 2 3 2 4" xfId="4842"/>
    <cellStyle name="Normal 22 3 2 2 2 2 3 3" xfId="4843"/>
    <cellStyle name="Normal 22 3 2 2 2 2 3 4" xfId="4844"/>
    <cellStyle name="Normal 22 3 2 2 2 2 4" xfId="4845"/>
    <cellStyle name="Normal 22 3 2 2 2 2 5" xfId="4846"/>
    <cellStyle name="Normal 22 3 2 2 2 2 6" xfId="4847"/>
    <cellStyle name="Normal 22 3 2 2 2 2 7" xfId="4848"/>
    <cellStyle name="Normal 22 3 2 2 2 3" xfId="4849"/>
    <cellStyle name="Normal 22 3 2 2 2 4" xfId="4850"/>
    <cellStyle name="Normal 22 3 2 2 2 5" xfId="4851"/>
    <cellStyle name="Normal 22 3 2 2 2 5 2" xfId="4852"/>
    <cellStyle name="Normal 22 3 2 2 2 5 2 2" xfId="4853"/>
    <cellStyle name="Normal 22 3 2 2 2 5 2 3" xfId="4854"/>
    <cellStyle name="Normal 22 3 2 2 2 5 2 4" xfId="4855"/>
    <cellStyle name="Normal 22 3 2 2 2 5 3" xfId="4856"/>
    <cellStyle name="Normal 22 3 2 2 2 5 4" xfId="4857"/>
    <cellStyle name="Normal 22 3 2 2 2 6" xfId="4858"/>
    <cellStyle name="Normal 22 3 2 2 2 7" xfId="4859"/>
    <cellStyle name="Normal 22 3 2 2 2 8" xfId="4860"/>
    <cellStyle name="Normal 22 3 2 2 2 9" xfId="4861"/>
    <cellStyle name="Normal 22 3 2 2 3" xfId="4862"/>
    <cellStyle name="Normal 22 3 2 2 3 2" xfId="4863"/>
    <cellStyle name="Normal 22 3 2 2 3 2 2" xfId="4864"/>
    <cellStyle name="Normal 22 3 2 2 3 2 2 2" xfId="4865"/>
    <cellStyle name="Normal 22 3 2 2 3 2 2 2 2" xfId="4866"/>
    <cellStyle name="Normal 22 3 2 2 3 2 2 2 2 2" xfId="4867"/>
    <cellStyle name="Normal 22 3 2 2 3 2 2 2 3" xfId="4868"/>
    <cellStyle name="Normal 22 3 2 2 3 2 2 2 4" xfId="4869"/>
    <cellStyle name="Normal 22 3 2 2 3 2 2 3" xfId="4870"/>
    <cellStyle name="Normal 22 3 2 2 3 2 2 4" xfId="4871"/>
    <cellStyle name="Normal 22 3 2 2 3 2 3" xfId="4872"/>
    <cellStyle name="Normal 22 3 2 2 3 2 4" xfId="4873"/>
    <cellStyle name="Normal 22 3 2 2 3 2 5" xfId="4874"/>
    <cellStyle name="Normal 22 3 2 2 3 2 6" xfId="4875"/>
    <cellStyle name="Normal 22 3 2 2 3 2 7" xfId="4876"/>
    <cellStyle name="Normal 22 3 2 2 3 3" xfId="4877"/>
    <cellStyle name="Normal 22 3 2 2 3 3 2" xfId="4878"/>
    <cellStyle name="Normal 22 3 2 2 3 3 2 2" xfId="4879"/>
    <cellStyle name="Normal 22 3 2 2 3 3 2 3" xfId="4880"/>
    <cellStyle name="Normal 22 3 2 2 3 3 2 4" xfId="4881"/>
    <cellStyle name="Normal 22 3 2 2 3 3 3" xfId="4882"/>
    <cellStyle name="Normal 22 3 2 2 3 3 4" xfId="4883"/>
    <cellStyle name="Normal 22 3 2 2 3 4" xfId="4884"/>
    <cellStyle name="Normal 22 3 2 2 3 5" xfId="4885"/>
    <cellStyle name="Normal 22 3 2 2 3 6" xfId="4886"/>
    <cellStyle name="Normal 22 3 2 2 3 7" xfId="4887"/>
    <cellStyle name="Normal 22 3 2 2 4" xfId="4888"/>
    <cellStyle name="Normal 22 3 2 2 5" xfId="4889"/>
    <cellStyle name="Normal 22 3 2 2 5 2" xfId="4890"/>
    <cellStyle name="Normal 22 3 2 2 5 2 2" xfId="4891"/>
    <cellStyle name="Normal 22 3 2 2 5 2 3" xfId="4892"/>
    <cellStyle name="Normal 22 3 2 2 5 2 4" xfId="4893"/>
    <cellStyle name="Normal 22 3 2 2 5 3" xfId="4894"/>
    <cellStyle name="Normal 22 3 2 2 5 4" xfId="4895"/>
    <cellStyle name="Normal 22 3 2 2 6" xfId="4896"/>
    <cellStyle name="Normal 22 3 2 2 7" xfId="4897"/>
    <cellStyle name="Normal 22 3 2 2 8" xfId="4898"/>
    <cellStyle name="Normal 22 3 2 2 9" xfId="4899"/>
    <cellStyle name="Normal 22 3 2 3" xfId="4900"/>
    <cellStyle name="Normal 22 3 2 4" xfId="4901"/>
    <cellStyle name="Normal 22 3 2 5" xfId="4902"/>
    <cellStyle name="Normal 22 3 2 5 2" xfId="4903"/>
    <cellStyle name="Normal 22 3 2 5 2 2" xfId="4904"/>
    <cellStyle name="Normal 22 3 2 5 2 2 2" xfId="4905"/>
    <cellStyle name="Normal 22 3 2 5 2 2 2 2" xfId="4906"/>
    <cellStyle name="Normal 22 3 2 5 2 2 2 2 2" xfId="4907"/>
    <cellStyle name="Normal 22 3 2 5 2 2 2 3" xfId="4908"/>
    <cellStyle name="Normal 22 3 2 5 2 2 2 4" xfId="4909"/>
    <cellStyle name="Normal 22 3 2 5 2 2 3" xfId="4910"/>
    <cellStyle name="Normal 22 3 2 5 2 2 4" xfId="4911"/>
    <cellStyle name="Normal 22 3 2 5 2 3" xfId="4912"/>
    <cellStyle name="Normal 22 3 2 5 2 4" xfId="4913"/>
    <cellStyle name="Normal 22 3 2 5 2 5" xfId="4914"/>
    <cellStyle name="Normal 22 3 2 5 2 6" xfId="4915"/>
    <cellStyle name="Normal 22 3 2 5 2 7" xfId="4916"/>
    <cellStyle name="Normal 22 3 2 5 3" xfId="4917"/>
    <cellStyle name="Normal 22 3 2 5 3 2" xfId="4918"/>
    <cellStyle name="Normal 22 3 2 5 3 2 2" xfId="4919"/>
    <cellStyle name="Normal 22 3 2 5 3 2 3" xfId="4920"/>
    <cellStyle name="Normal 22 3 2 5 3 2 4" xfId="4921"/>
    <cellStyle name="Normal 22 3 2 5 3 3" xfId="4922"/>
    <cellStyle name="Normal 22 3 2 5 3 4" xfId="4923"/>
    <cellStyle name="Normal 22 3 2 5 4" xfId="4924"/>
    <cellStyle name="Normal 22 3 2 5 5" xfId="4925"/>
    <cellStyle name="Normal 22 3 2 5 6" xfId="4926"/>
    <cellStyle name="Normal 22 3 2 5 7" xfId="4927"/>
    <cellStyle name="Normal 22 3 2 6" xfId="4928"/>
    <cellStyle name="Normal 22 3 2 7" xfId="4929"/>
    <cellStyle name="Normal 22 3 2 8" xfId="4930"/>
    <cellStyle name="Normal 22 3 2 8 2" xfId="4931"/>
    <cellStyle name="Normal 22 3 2 8 2 2" xfId="4932"/>
    <cellStyle name="Normal 22 3 2 8 2 3" xfId="4933"/>
    <cellStyle name="Normal 22 3 2 8 2 4" xfId="4934"/>
    <cellStyle name="Normal 22 3 2 8 3" xfId="4935"/>
    <cellStyle name="Normal 22 3 2 8 4" xfId="4936"/>
    <cellStyle name="Normal 22 3 2 9" xfId="4937"/>
    <cellStyle name="Normal 22 3 3" xfId="4938"/>
    <cellStyle name="Normal 22 3 3 10" xfId="4939"/>
    <cellStyle name="Normal 22 3 3 11" xfId="4940"/>
    <cellStyle name="Normal 22 3 3 12" xfId="4941"/>
    <cellStyle name="Normal 22 3 3 13" xfId="4942"/>
    <cellStyle name="Normal 22 3 3 2" xfId="4943"/>
    <cellStyle name="Normal 22 3 3 2 10" xfId="4944"/>
    <cellStyle name="Normal 22 3 3 2 11" xfId="4945"/>
    <cellStyle name="Normal 22 3 3 2 12" xfId="4946"/>
    <cellStyle name="Normal 22 3 3 2 13" xfId="4947"/>
    <cellStyle name="Normal 22 3 3 2 2" xfId="4948"/>
    <cellStyle name="Normal 22 3 3 2 2 2" xfId="4949"/>
    <cellStyle name="Normal 22 3 3 2 2 2 2" xfId="4950"/>
    <cellStyle name="Normal 22 3 3 2 2 2 2 2" xfId="4951"/>
    <cellStyle name="Normal 22 3 3 2 2 2 2 2 2" xfId="4952"/>
    <cellStyle name="Normal 22 3 3 2 2 2 2 2 2 2" xfId="4953"/>
    <cellStyle name="Normal 22 3 3 2 2 2 2 2 3" xfId="4954"/>
    <cellStyle name="Normal 22 3 3 2 2 2 2 2 4" xfId="4955"/>
    <cellStyle name="Normal 22 3 3 2 2 2 2 3" xfId="4956"/>
    <cellStyle name="Normal 22 3 3 2 2 2 2 4" xfId="4957"/>
    <cellStyle name="Normal 22 3 3 2 2 2 3" xfId="4958"/>
    <cellStyle name="Normal 22 3 3 2 2 2 4" xfId="4959"/>
    <cellStyle name="Normal 22 3 3 2 2 2 5" xfId="4960"/>
    <cellStyle name="Normal 22 3 3 2 2 2 6" xfId="4961"/>
    <cellStyle name="Normal 22 3 3 2 2 2 7" xfId="4962"/>
    <cellStyle name="Normal 22 3 3 2 2 3" xfId="4963"/>
    <cellStyle name="Normal 22 3 3 2 2 3 2" xfId="4964"/>
    <cellStyle name="Normal 22 3 3 2 2 3 2 2" xfId="4965"/>
    <cellStyle name="Normal 22 3 3 2 2 3 2 3" xfId="4966"/>
    <cellStyle name="Normal 22 3 3 2 2 3 2 4" xfId="4967"/>
    <cellStyle name="Normal 22 3 3 2 2 3 3" xfId="4968"/>
    <cellStyle name="Normal 22 3 3 2 2 3 4" xfId="4969"/>
    <cellStyle name="Normal 22 3 3 2 2 4" xfId="4970"/>
    <cellStyle name="Normal 22 3 3 2 2 5" xfId="4971"/>
    <cellStyle name="Normal 22 3 3 2 2 6" xfId="4972"/>
    <cellStyle name="Normal 22 3 3 2 2 7" xfId="4973"/>
    <cellStyle name="Normal 22 3 3 2 3" xfId="4974"/>
    <cellStyle name="Normal 22 3 3 2 4" xfId="4975"/>
    <cellStyle name="Normal 22 3 3 2 5" xfId="4976"/>
    <cellStyle name="Normal 22 3 3 2 5 2" xfId="4977"/>
    <cellStyle name="Normal 22 3 3 2 5 2 2" xfId="4978"/>
    <cellStyle name="Normal 22 3 3 2 5 2 3" xfId="4979"/>
    <cellStyle name="Normal 22 3 3 2 5 2 4" xfId="4980"/>
    <cellStyle name="Normal 22 3 3 2 5 3" xfId="4981"/>
    <cellStyle name="Normal 22 3 3 2 5 4" xfId="4982"/>
    <cellStyle name="Normal 22 3 3 2 6" xfId="4983"/>
    <cellStyle name="Normal 22 3 3 2 7" xfId="4984"/>
    <cellStyle name="Normal 22 3 3 2 8" xfId="4985"/>
    <cellStyle name="Normal 22 3 3 2 9" xfId="4986"/>
    <cellStyle name="Normal 22 3 3 3" xfId="4987"/>
    <cellStyle name="Normal 22 3 3 3 2" xfId="4988"/>
    <cellStyle name="Normal 22 3 3 3 2 2" xfId="4989"/>
    <cellStyle name="Normal 22 3 3 3 2 2 2" xfId="4990"/>
    <cellStyle name="Normal 22 3 3 3 2 2 2 2" xfId="4991"/>
    <cellStyle name="Normal 22 3 3 3 2 2 2 2 2" xfId="4992"/>
    <cellStyle name="Normal 22 3 3 3 2 2 2 3" xfId="4993"/>
    <cellStyle name="Normal 22 3 3 3 2 2 2 4" xfId="4994"/>
    <cellStyle name="Normal 22 3 3 3 2 2 3" xfId="4995"/>
    <cellStyle name="Normal 22 3 3 3 2 2 4" xfId="4996"/>
    <cellStyle name="Normal 22 3 3 3 2 3" xfId="4997"/>
    <cellStyle name="Normal 22 3 3 3 2 4" xfId="4998"/>
    <cellStyle name="Normal 22 3 3 3 2 5" xfId="4999"/>
    <cellStyle name="Normal 22 3 3 3 2 6" xfId="5000"/>
    <cellStyle name="Normal 22 3 3 3 2 7" xfId="5001"/>
    <cellStyle name="Normal 22 3 3 3 3" xfId="5002"/>
    <cellStyle name="Normal 22 3 3 3 3 2" xfId="5003"/>
    <cellStyle name="Normal 22 3 3 3 3 2 2" xfId="5004"/>
    <cellStyle name="Normal 22 3 3 3 3 2 3" xfId="5005"/>
    <cellStyle name="Normal 22 3 3 3 3 2 4" xfId="5006"/>
    <cellStyle name="Normal 22 3 3 3 3 3" xfId="5007"/>
    <cellStyle name="Normal 22 3 3 3 3 4" xfId="5008"/>
    <cellStyle name="Normal 22 3 3 3 4" xfId="5009"/>
    <cellStyle name="Normal 22 3 3 3 5" xfId="5010"/>
    <cellStyle name="Normal 22 3 3 3 6" xfId="5011"/>
    <cellStyle name="Normal 22 3 3 3 7" xfId="5012"/>
    <cellStyle name="Normal 22 3 3 4" xfId="5013"/>
    <cellStyle name="Normal 22 3 3 5" xfId="5014"/>
    <cellStyle name="Normal 22 3 3 5 2" xfId="5015"/>
    <cellStyle name="Normal 22 3 3 5 2 2" xfId="5016"/>
    <cellStyle name="Normal 22 3 3 5 2 3" xfId="5017"/>
    <cellStyle name="Normal 22 3 3 5 2 4" xfId="5018"/>
    <cellStyle name="Normal 22 3 3 5 3" xfId="5019"/>
    <cellStyle name="Normal 22 3 3 5 4" xfId="5020"/>
    <cellStyle name="Normal 22 3 3 6" xfId="5021"/>
    <cellStyle name="Normal 22 3 3 7" xfId="5022"/>
    <cellStyle name="Normal 22 3 3 8" xfId="5023"/>
    <cellStyle name="Normal 22 3 3 9" xfId="5024"/>
    <cellStyle name="Normal 22 3 4" xfId="5025"/>
    <cellStyle name="Normal 22 3 4 10" xfId="5026"/>
    <cellStyle name="Normal 22 3 4 11" xfId="5027"/>
    <cellStyle name="Normal 22 3 4 12" xfId="5028"/>
    <cellStyle name="Normal 22 3 4 13" xfId="5029"/>
    <cellStyle name="Normal 22 3 4 2" xfId="5030"/>
    <cellStyle name="Normal 22 3 4 3" xfId="5031"/>
    <cellStyle name="Normal 22 3 4 4" xfId="5032"/>
    <cellStyle name="Normal 22 3 4 5" xfId="5033"/>
    <cellStyle name="Normal 22 3 4 6" xfId="5034"/>
    <cellStyle name="Normal 22 3 4 7" xfId="5035"/>
    <cellStyle name="Normal 22 3 4 8" xfId="5036"/>
    <cellStyle name="Normal 22 3 4 9" xfId="5037"/>
    <cellStyle name="Normal 22 3 5" xfId="5038"/>
    <cellStyle name="Normal 22 3 5 2" xfId="5039"/>
    <cellStyle name="Normal 22 3 5 2 2" xfId="5040"/>
    <cellStyle name="Normal 22 3 5 2 2 2" xfId="5041"/>
    <cellStyle name="Normal 22 3 5 2 2 2 2" xfId="5042"/>
    <cellStyle name="Normal 22 3 5 2 2 2 2 2" xfId="5043"/>
    <cellStyle name="Normal 22 3 5 2 2 2 3" xfId="5044"/>
    <cellStyle name="Normal 22 3 5 2 2 2 4" xfId="5045"/>
    <cellStyle name="Normal 22 3 5 2 2 3" xfId="5046"/>
    <cellStyle name="Normal 22 3 5 2 2 4" xfId="5047"/>
    <cellStyle name="Normal 22 3 5 2 3" xfId="5048"/>
    <cellStyle name="Normal 22 3 5 2 4" xfId="5049"/>
    <cellStyle name="Normal 22 3 5 2 5" xfId="5050"/>
    <cellStyle name="Normal 22 3 5 2 6" xfId="5051"/>
    <cellStyle name="Normal 22 3 5 2 7" xfId="5052"/>
    <cellStyle name="Normal 22 3 5 3" xfId="5053"/>
    <cellStyle name="Normal 22 3 5 3 2" xfId="5054"/>
    <cellStyle name="Normal 22 3 5 3 2 2" xfId="5055"/>
    <cellStyle name="Normal 22 3 5 3 2 3" xfId="5056"/>
    <cellStyle name="Normal 22 3 5 3 2 4" xfId="5057"/>
    <cellStyle name="Normal 22 3 5 3 3" xfId="5058"/>
    <cellStyle name="Normal 22 3 5 3 4" xfId="5059"/>
    <cellStyle name="Normal 22 3 5 4" xfId="5060"/>
    <cellStyle name="Normal 22 3 5 5" xfId="5061"/>
    <cellStyle name="Normal 22 3 5 6" xfId="5062"/>
    <cellStyle name="Normal 22 3 5 7" xfId="5063"/>
    <cellStyle name="Normal 22 3 6" xfId="5064"/>
    <cellStyle name="Normal 22 3 7" xfId="5065"/>
    <cellStyle name="Normal 22 3 8" xfId="5066"/>
    <cellStyle name="Normal 22 3 8 2" xfId="5067"/>
    <cellStyle name="Normal 22 3 8 2 2" xfId="5068"/>
    <cellStyle name="Normal 22 3 8 2 3" xfId="5069"/>
    <cellStyle name="Normal 22 3 8 2 4" xfId="5070"/>
    <cellStyle name="Normal 22 3 8 3" xfId="5071"/>
    <cellStyle name="Normal 22 3 8 4" xfId="5072"/>
    <cellStyle name="Normal 22 3 9" xfId="5073"/>
    <cellStyle name="Normal 22 4" xfId="5074"/>
    <cellStyle name="Normal 22 5" xfId="5075"/>
    <cellStyle name="Normal 22 5 10" xfId="5076"/>
    <cellStyle name="Normal 22 5 11" xfId="5077"/>
    <cellStyle name="Normal 22 5 12" xfId="5078"/>
    <cellStyle name="Normal 22 5 13" xfId="5079"/>
    <cellStyle name="Normal 22 5 2" xfId="5080"/>
    <cellStyle name="Normal 22 5 2 10" xfId="5081"/>
    <cellStyle name="Normal 22 5 2 11" xfId="5082"/>
    <cellStyle name="Normal 22 5 2 12" xfId="5083"/>
    <cellStyle name="Normal 22 5 2 13" xfId="5084"/>
    <cellStyle name="Normal 22 5 2 2" xfId="5085"/>
    <cellStyle name="Normal 22 5 2 2 2" xfId="5086"/>
    <cellStyle name="Normal 22 5 2 2 2 2" xfId="5087"/>
    <cellStyle name="Normal 22 5 2 2 2 2 2" xfId="5088"/>
    <cellStyle name="Normal 22 5 2 2 2 2 2 2" xfId="5089"/>
    <cellStyle name="Normal 22 5 2 2 2 2 2 2 2" xfId="5090"/>
    <cellStyle name="Normal 22 5 2 2 2 2 2 3" xfId="5091"/>
    <cellStyle name="Normal 22 5 2 2 2 2 2 4" xfId="5092"/>
    <cellStyle name="Normal 22 5 2 2 2 2 3" xfId="5093"/>
    <cellStyle name="Normal 22 5 2 2 2 2 4" xfId="5094"/>
    <cellStyle name="Normal 22 5 2 2 2 3" xfId="5095"/>
    <cellStyle name="Normal 22 5 2 2 2 4" xfId="5096"/>
    <cellStyle name="Normal 22 5 2 2 2 5" xfId="5097"/>
    <cellStyle name="Normal 22 5 2 2 2 6" xfId="5098"/>
    <cellStyle name="Normal 22 5 2 2 2 7" xfId="5099"/>
    <cellStyle name="Normal 22 5 2 2 3" xfId="5100"/>
    <cellStyle name="Normal 22 5 2 2 3 2" xfId="5101"/>
    <cellStyle name="Normal 22 5 2 2 3 2 2" xfId="5102"/>
    <cellStyle name="Normal 22 5 2 2 3 2 3" xfId="5103"/>
    <cellStyle name="Normal 22 5 2 2 3 2 4" xfId="5104"/>
    <cellStyle name="Normal 22 5 2 2 3 3" xfId="5105"/>
    <cellStyle name="Normal 22 5 2 2 3 4" xfId="5106"/>
    <cellStyle name="Normal 22 5 2 2 4" xfId="5107"/>
    <cellStyle name="Normal 22 5 2 2 5" xfId="5108"/>
    <cellStyle name="Normal 22 5 2 2 6" xfId="5109"/>
    <cellStyle name="Normal 22 5 2 2 7" xfId="5110"/>
    <cellStyle name="Normal 22 5 2 3" xfId="5111"/>
    <cellStyle name="Normal 22 5 2 4" xfId="5112"/>
    <cellStyle name="Normal 22 5 2 5" xfId="5113"/>
    <cellStyle name="Normal 22 5 2 5 2" xfId="5114"/>
    <cellStyle name="Normal 22 5 2 5 2 2" xfId="5115"/>
    <cellStyle name="Normal 22 5 2 5 2 3" xfId="5116"/>
    <cellStyle name="Normal 22 5 2 5 2 4" xfId="5117"/>
    <cellStyle name="Normal 22 5 2 5 3" xfId="5118"/>
    <cellStyle name="Normal 22 5 2 5 4" xfId="5119"/>
    <cellStyle name="Normal 22 5 2 6" xfId="5120"/>
    <cellStyle name="Normal 22 5 2 7" xfId="5121"/>
    <cellStyle name="Normal 22 5 2 8" xfId="5122"/>
    <cellStyle name="Normal 22 5 2 9" xfId="5123"/>
    <cellStyle name="Normal 22 5 3" xfId="5124"/>
    <cellStyle name="Normal 22 5 3 2" xfId="5125"/>
    <cellStyle name="Normal 22 5 3 2 2" xfId="5126"/>
    <cellStyle name="Normal 22 5 3 2 2 2" xfId="5127"/>
    <cellStyle name="Normal 22 5 3 2 2 2 2" xfId="5128"/>
    <cellStyle name="Normal 22 5 3 2 2 2 2 2" xfId="5129"/>
    <cellStyle name="Normal 22 5 3 2 2 2 3" xfId="5130"/>
    <cellStyle name="Normal 22 5 3 2 2 2 4" xfId="5131"/>
    <cellStyle name="Normal 22 5 3 2 2 3" xfId="5132"/>
    <cellStyle name="Normal 22 5 3 2 2 4" xfId="5133"/>
    <cellStyle name="Normal 22 5 3 2 3" xfId="5134"/>
    <cellStyle name="Normal 22 5 3 2 4" xfId="5135"/>
    <cellStyle name="Normal 22 5 3 2 5" xfId="5136"/>
    <cellStyle name="Normal 22 5 3 2 6" xfId="5137"/>
    <cellStyle name="Normal 22 5 3 2 7" xfId="5138"/>
    <cellStyle name="Normal 22 5 3 3" xfId="5139"/>
    <cellStyle name="Normal 22 5 3 3 2" xfId="5140"/>
    <cellStyle name="Normal 22 5 3 3 2 2" xfId="5141"/>
    <cellStyle name="Normal 22 5 3 3 2 3" xfId="5142"/>
    <cellStyle name="Normal 22 5 3 3 2 4" xfId="5143"/>
    <cellStyle name="Normal 22 5 3 3 3" xfId="5144"/>
    <cellStyle name="Normal 22 5 3 3 4" xfId="5145"/>
    <cellStyle name="Normal 22 5 3 4" xfId="5146"/>
    <cellStyle name="Normal 22 5 3 5" xfId="5147"/>
    <cellStyle name="Normal 22 5 3 6" xfId="5148"/>
    <cellStyle name="Normal 22 5 3 7" xfId="5149"/>
    <cellStyle name="Normal 22 5 4" xfId="5150"/>
    <cellStyle name="Normal 22 5 5" xfId="5151"/>
    <cellStyle name="Normal 22 5 5 2" xfId="5152"/>
    <cellStyle name="Normal 22 5 5 2 2" xfId="5153"/>
    <cellStyle name="Normal 22 5 5 2 3" xfId="5154"/>
    <cellStyle name="Normal 22 5 5 2 4" xfId="5155"/>
    <cellStyle name="Normal 22 5 5 3" xfId="5156"/>
    <cellStyle name="Normal 22 5 5 4" xfId="5157"/>
    <cellStyle name="Normal 22 5 6" xfId="5158"/>
    <cellStyle name="Normal 22 5 7" xfId="5159"/>
    <cellStyle name="Normal 22 5 8" xfId="5160"/>
    <cellStyle name="Normal 22 5 9" xfId="5161"/>
    <cellStyle name="Normal 22 6" xfId="5162"/>
    <cellStyle name="Normal 22 7" xfId="5163"/>
    <cellStyle name="Normal 22 8" xfId="5164"/>
    <cellStyle name="Normal 22 8 2" xfId="5165"/>
    <cellStyle name="Normal 22 8 2 2" xfId="5166"/>
    <cellStyle name="Normal 22 8 2 2 2" xfId="5167"/>
    <cellStyle name="Normal 22 8 2 2 2 2" xfId="5168"/>
    <cellStyle name="Normal 22 8 2 2 2 2 2" xfId="5169"/>
    <cellStyle name="Normal 22 8 2 2 2 3" xfId="5170"/>
    <cellStyle name="Normal 22 8 2 2 2 4" xfId="5171"/>
    <cellStyle name="Normal 22 8 2 2 3" xfId="5172"/>
    <cellStyle name="Normal 22 8 2 2 4" xfId="5173"/>
    <cellStyle name="Normal 22 8 2 3" xfId="5174"/>
    <cellStyle name="Normal 22 8 2 4" xfId="5175"/>
    <cellStyle name="Normal 22 8 2 5" xfId="5176"/>
    <cellStyle name="Normal 22 8 2 6" xfId="5177"/>
    <cellStyle name="Normal 22 8 2 7" xfId="5178"/>
    <cellStyle name="Normal 22 8 3" xfId="5179"/>
    <cellStyle name="Normal 22 8 3 2" xfId="5180"/>
    <cellStyle name="Normal 22 8 3 2 2" xfId="5181"/>
    <cellStyle name="Normal 22 8 3 2 3" xfId="5182"/>
    <cellStyle name="Normal 22 8 3 2 4" xfId="5183"/>
    <cellStyle name="Normal 22 8 3 3" xfId="5184"/>
    <cellStyle name="Normal 22 8 3 4" xfId="5185"/>
    <cellStyle name="Normal 22 8 4" xfId="5186"/>
    <cellStyle name="Normal 22 8 5" xfId="5187"/>
    <cellStyle name="Normal 22 8 6" xfId="5188"/>
    <cellStyle name="Normal 22 8 7" xfId="5189"/>
    <cellStyle name="Normal 22 9" xfId="5190"/>
    <cellStyle name="Normal 23" xfId="5191"/>
    <cellStyle name="Normal 23 10" xfId="5192"/>
    <cellStyle name="Normal 23 11" xfId="5193"/>
    <cellStyle name="Normal 23 12" xfId="5194"/>
    <cellStyle name="Normal 23 13" xfId="5195"/>
    <cellStyle name="Normal 23 14" xfId="5196"/>
    <cellStyle name="Normal 23 15" xfId="5197"/>
    <cellStyle name="Normal 23 16" xfId="5198"/>
    <cellStyle name="Normal 23 17" xfId="5199"/>
    <cellStyle name="Normal 23 18" xfId="5200"/>
    <cellStyle name="Normal 23 19" xfId="5201"/>
    <cellStyle name="Normal 23 2" xfId="5202"/>
    <cellStyle name="Normal 23 2 10" xfId="5203"/>
    <cellStyle name="Normal 23 2 11" xfId="5204"/>
    <cellStyle name="Normal 23 2 12" xfId="5205"/>
    <cellStyle name="Normal 23 2 13" xfId="5206"/>
    <cellStyle name="Normal 23 2 2" xfId="5207"/>
    <cellStyle name="Normal 23 2 3" xfId="5208"/>
    <cellStyle name="Normal 23 2 4" xfId="5209"/>
    <cellStyle name="Normal 23 2 5" xfId="5210"/>
    <cellStyle name="Normal 23 2 6" xfId="5211"/>
    <cellStyle name="Normal 23 2 7" xfId="5212"/>
    <cellStyle name="Normal 23 2 8" xfId="5213"/>
    <cellStyle name="Normal 23 2 9" xfId="5214"/>
    <cellStyle name="Normal 23 20" xfId="5215"/>
    <cellStyle name="Normal 23 21" xfId="5216"/>
    <cellStyle name="Normal 23 22" xfId="5217"/>
    <cellStyle name="Normal 23 23" xfId="5218"/>
    <cellStyle name="Normal 23 24" xfId="5219"/>
    <cellStyle name="Normal 23 25" xfId="5220"/>
    <cellStyle name="Normal 23 26" xfId="5221"/>
    <cellStyle name="Normal 23 27" xfId="5222"/>
    <cellStyle name="Normal 23 28" xfId="5223"/>
    <cellStyle name="Normal 23 29" xfId="5224"/>
    <cellStyle name="Normal 23 3" xfId="5225"/>
    <cellStyle name="Normal 23 3 10" xfId="5226"/>
    <cellStyle name="Normal 23 3 11" xfId="5227"/>
    <cellStyle name="Normal 23 3 12" xfId="5228"/>
    <cellStyle name="Normal 23 3 13" xfId="5229"/>
    <cellStyle name="Normal 23 3 2" xfId="5230"/>
    <cellStyle name="Normal 23 3 3" xfId="5231"/>
    <cellStyle name="Normal 23 3 4" xfId="5232"/>
    <cellStyle name="Normal 23 3 5" xfId="5233"/>
    <cellStyle name="Normal 23 3 6" xfId="5234"/>
    <cellStyle name="Normal 23 3 7" xfId="5235"/>
    <cellStyle name="Normal 23 3 8" xfId="5236"/>
    <cellStyle name="Normal 23 3 9" xfId="5237"/>
    <cellStyle name="Normal 23 30" xfId="5238"/>
    <cellStyle name="Normal 23 4" xfId="5239"/>
    <cellStyle name="Normal 23 4 10" xfId="5240"/>
    <cellStyle name="Normal 23 4 11" xfId="5241"/>
    <cellStyle name="Normal 23 4 12" xfId="5242"/>
    <cellStyle name="Normal 23 4 13" xfId="5243"/>
    <cellStyle name="Normal 23 4 2" xfId="5244"/>
    <cellStyle name="Normal 23 4 3" xfId="5245"/>
    <cellStyle name="Normal 23 4 4" xfId="5246"/>
    <cellStyle name="Normal 23 4 5" xfId="5247"/>
    <cellStyle name="Normal 23 4 6" xfId="5248"/>
    <cellStyle name="Normal 23 4 7" xfId="5249"/>
    <cellStyle name="Normal 23 4 8" xfId="5250"/>
    <cellStyle name="Normal 23 4 9" xfId="5251"/>
    <cellStyle name="Normal 23 5" xfId="5252"/>
    <cellStyle name="Normal 23 5 10" xfId="5253"/>
    <cellStyle name="Normal 23 5 11" xfId="5254"/>
    <cellStyle name="Normal 23 5 12" xfId="5255"/>
    <cellStyle name="Normal 23 5 13" xfId="5256"/>
    <cellStyle name="Normal 23 5 2" xfId="5257"/>
    <cellStyle name="Normal 23 5 3" xfId="5258"/>
    <cellStyle name="Normal 23 5 4" xfId="5259"/>
    <cellStyle name="Normal 23 5 5" xfId="5260"/>
    <cellStyle name="Normal 23 5 6" xfId="5261"/>
    <cellStyle name="Normal 23 5 7" xfId="5262"/>
    <cellStyle name="Normal 23 5 8" xfId="5263"/>
    <cellStyle name="Normal 23 5 9" xfId="5264"/>
    <cellStyle name="Normal 23 6" xfId="5265"/>
    <cellStyle name="Normal 23 6 10" xfId="5266"/>
    <cellStyle name="Normal 23 6 11" xfId="5267"/>
    <cellStyle name="Normal 23 6 12" xfId="5268"/>
    <cellStyle name="Normal 23 6 13" xfId="5269"/>
    <cellStyle name="Normal 23 6 2" xfId="5270"/>
    <cellStyle name="Normal 23 6 3" xfId="5271"/>
    <cellStyle name="Normal 23 6 4" xfId="5272"/>
    <cellStyle name="Normal 23 6 5" xfId="5273"/>
    <cellStyle name="Normal 23 6 6" xfId="5274"/>
    <cellStyle name="Normal 23 6 7" xfId="5275"/>
    <cellStyle name="Normal 23 6 8" xfId="5276"/>
    <cellStyle name="Normal 23 6 9" xfId="5277"/>
    <cellStyle name="Normal 23 7" xfId="5278"/>
    <cellStyle name="Normal 23 7 10" xfId="5279"/>
    <cellStyle name="Normal 23 7 11" xfId="5280"/>
    <cellStyle name="Normal 23 7 12" xfId="5281"/>
    <cellStyle name="Normal 23 7 13" xfId="5282"/>
    <cellStyle name="Normal 23 7 2" xfId="5283"/>
    <cellStyle name="Normal 23 7 3" xfId="5284"/>
    <cellStyle name="Normal 23 7 4" xfId="5285"/>
    <cellStyle name="Normal 23 7 5" xfId="5286"/>
    <cellStyle name="Normal 23 7 6" xfId="5287"/>
    <cellStyle name="Normal 23 7 7" xfId="5288"/>
    <cellStyle name="Normal 23 7 8" xfId="5289"/>
    <cellStyle name="Normal 23 7 9" xfId="5290"/>
    <cellStyle name="Normal 23 8" xfId="5291"/>
    <cellStyle name="Normal 23 9" xfId="5292"/>
    <cellStyle name="Normal 24" xfId="5293"/>
    <cellStyle name="Normal 24 10" xfId="5294"/>
    <cellStyle name="Normal 24 11" xfId="5295"/>
    <cellStyle name="Normal 24 12" xfId="5296"/>
    <cellStyle name="Normal 24 13" xfId="5297"/>
    <cellStyle name="Normal 24 14" xfId="5298"/>
    <cellStyle name="Normal 24 15" xfId="5299"/>
    <cellStyle name="Normal 24 16" xfId="5300"/>
    <cellStyle name="Normal 24 17" xfId="5301"/>
    <cellStyle name="Normal 24 2" xfId="5302"/>
    <cellStyle name="Normal 24 2 10" xfId="5303"/>
    <cellStyle name="Normal 24 2 11" xfId="5304"/>
    <cellStyle name="Normal 24 2 12" xfId="5305"/>
    <cellStyle name="Normal 24 2 13" xfId="5306"/>
    <cellStyle name="Normal 24 2 14" xfId="5307"/>
    <cellStyle name="Normal 24 2 15" xfId="5308"/>
    <cellStyle name="Normal 24 2 16" xfId="5309"/>
    <cellStyle name="Normal 24 2 2" xfId="5310"/>
    <cellStyle name="Normal 24 2 2 10" xfId="5311"/>
    <cellStyle name="Normal 24 2 2 11" xfId="5312"/>
    <cellStyle name="Normal 24 2 2 12" xfId="5313"/>
    <cellStyle name="Normal 24 2 2 13" xfId="5314"/>
    <cellStyle name="Normal 24 2 2 2" xfId="5315"/>
    <cellStyle name="Normal 24 2 2 2 10" xfId="5316"/>
    <cellStyle name="Normal 24 2 2 2 11" xfId="5317"/>
    <cellStyle name="Normal 24 2 2 2 12" xfId="5318"/>
    <cellStyle name="Normal 24 2 2 2 13" xfId="5319"/>
    <cellStyle name="Normal 24 2 2 2 2" xfId="5320"/>
    <cellStyle name="Normal 24 2 2 2 2 2" xfId="5321"/>
    <cellStyle name="Normal 24 2 2 2 2 2 2" xfId="5322"/>
    <cellStyle name="Normal 24 2 2 2 2 2 2 2" xfId="5323"/>
    <cellStyle name="Normal 24 2 2 2 2 2 2 2 2" xfId="5324"/>
    <cellStyle name="Normal 24 2 2 2 2 2 2 2 2 2" xfId="5325"/>
    <cellStyle name="Normal 24 2 2 2 2 2 2 2 3" xfId="5326"/>
    <cellStyle name="Normal 24 2 2 2 2 2 2 2 4" xfId="5327"/>
    <cellStyle name="Normal 24 2 2 2 2 2 2 3" xfId="5328"/>
    <cellStyle name="Normal 24 2 2 2 2 2 2 4" xfId="5329"/>
    <cellStyle name="Normal 24 2 2 2 2 2 3" xfId="5330"/>
    <cellStyle name="Normal 24 2 2 2 2 2 4" xfId="5331"/>
    <cellStyle name="Normal 24 2 2 2 2 2 5" xfId="5332"/>
    <cellStyle name="Normal 24 2 2 2 2 2 6" xfId="5333"/>
    <cellStyle name="Normal 24 2 2 2 2 2 7" xfId="5334"/>
    <cellStyle name="Normal 24 2 2 2 2 3" xfId="5335"/>
    <cellStyle name="Normal 24 2 2 2 2 3 2" xfId="5336"/>
    <cellStyle name="Normal 24 2 2 2 2 3 2 2" xfId="5337"/>
    <cellStyle name="Normal 24 2 2 2 2 3 2 3" xfId="5338"/>
    <cellStyle name="Normal 24 2 2 2 2 3 2 4" xfId="5339"/>
    <cellStyle name="Normal 24 2 2 2 2 3 3" xfId="5340"/>
    <cellStyle name="Normal 24 2 2 2 2 3 4" xfId="5341"/>
    <cellStyle name="Normal 24 2 2 2 2 4" xfId="5342"/>
    <cellStyle name="Normal 24 2 2 2 2 5" xfId="5343"/>
    <cellStyle name="Normal 24 2 2 2 2 6" xfId="5344"/>
    <cellStyle name="Normal 24 2 2 2 2 7" xfId="5345"/>
    <cellStyle name="Normal 24 2 2 2 3" xfId="5346"/>
    <cellStyle name="Normal 24 2 2 2 4" xfId="5347"/>
    <cellStyle name="Normal 24 2 2 2 5" xfId="5348"/>
    <cellStyle name="Normal 24 2 2 2 5 2" xfId="5349"/>
    <cellStyle name="Normal 24 2 2 2 5 2 2" xfId="5350"/>
    <cellStyle name="Normal 24 2 2 2 5 2 3" xfId="5351"/>
    <cellStyle name="Normal 24 2 2 2 5 2 4" xfId="5352"/>
    <cellStyle name="Normal 24 2 2 2 5 3" xfId="5353"/>
    <cellStyle name="Normal 24 2 2 2 5 4" xfId="5354"/>
    <cellStyle name="Normal 24 2 2 2 6" xfId="5355"/>
    <cellStyle name="Normal 24 2 2 2 7" xfId="5356"/>
    <cellStyle name="Normal 24 2 2 2 8" xfId="5357"/>
    <cellStyle name="Normal 24 2 2 2 9" xfId="5358"/>
    <cellStyle name="Normal 24 2 2 3" xfId="5359"/>
    <cellStyle name="Normal 24 2 2 3 2" xfId="5360"/>
    <cellStyle name="Normal 24 2 2 3 2 2" xfId="5361"/>
    <cellStyle name="Normal 24 2 2 3 2 2 2" xfId="5362"/>
    <cellStyle name="Normal 24 2 2 3 2 2 2 2" xfId="5363"/>
    <cellStyle name="Normal 24 2 2 3 2 2 2 2 2" xfId="5364"/>
    <cellStyle name="Normal 24 2 2 3 2 2 2 3" xfId="5365"/>
    <cellStyle name="Normal 24 2 2 3 2 2 2 4" xfId="5366"/>
    <cellStyle name="Normal 24 2 2 3 2 2 3" xfId="5367"/>
    <cellStyle name="Normal 24 2 2 3 2 2 4" xfId="5368"/>
    <cellStyle name="Normal 24 2 2 3 2 3" xfId="5369"/>
    <cellStyle name="Normal 24 2 2 3 2 4" xfId="5370"/>
    <cellStyle name="Normal 24 2 2 3 2 5" xfId="5371"/>
    <cellStyle name="Normal 24 2 2 3 2 6" xfId="5372"/>
    <cellStyle name="Normal 24 2 2 3 2 7" xfId="5373"/>
    <cellStyle name="Normal 24 2 2 3 3" xfId="5374"/>
    <cellStyle name="Normal 24 2 2 3 3 2" xfId="5375"/>
    <cellStyle name="Normal 24 2 2 3 3 2 2" xfId="5376"/>
    <cellStyle name="Normal 24 2 2 3 3 2 3" xfId="5377"/>
    <cellStyle name="Normal 24 2 2 3 3 2 4" xfId="5378"/>
    <cellStyle name="Normal 24 2 2 3 3 3" xfId="5379"/>
    <cellStyle name="Normal 24 2 2 3 3 4" xfId="5380"/>
    <cellStyle name="Normal 24 2 2 3 4" xfId="5381"/>
    <cellStyle name="Normal 24 2 2 3 5" xfId="5382"/>
    <cellStyle name="Normal 24 2 2 3 6" xfId="5383"/>
    <cellStyle name="Normal 24 2 2 3 7" xfId="5384"/>
    <cellStyle name="Normal 24 2 2 4" xfId="5385"/>
    <cellStyle name="Normal 24 2 2 5" xfId="5386"/>
    <cellStyle name="Normal 24 2 2 5 2" xfId="5387"/>
    <cellStyle name="Normal 24 2 2 5 2 2" xfId="5388"/>
    <cellStyle name="Normal 24 2 2 5 2 3" xfId="5389"/>
    <cellStyle name="Normal 24 2 2 5 2 4" xfId="5390"/>
    <cellStyle name="Normal 24 2 2 5 3" xfId="5391"/>
    <cellStyle name="Normal 24 2 2 5 4" xfId="5392"/>
    <cellStyle name="Normal 24 2 2 6" xfId="5393"/>
    <cellStyle name="Normal 24 2 2 7" xfId="5394"/>
    <cellStyle name="Normal 24 2 2 8" xfId="5395"/>
    <cellStyle name="Normal 24 2 2 9" xfId="5396"/>
    <cellStyle name="Normal 24 2 3" xfId="5397"/>
    <cellStyle name="Normal 24 2 3 10" xfId="5398"/>
    <cellStyle name="Normal 24 2 3 11" xfId="5399"/>
    <cellStyle name="Normal 24 2 3 12" xfId="5400"/>
    <cellStyle name="Normal 24 2 3 13" xfId="5401"/>
    <cellStyle name="Normal 24 2 3 2" xfId="5402"/>
    <cellStyle name="Normal 24 2 3 3" xfId="5403"/>
    <cellStyle name="Normal 24 2 3 4" xfId="5404"/>
    <cellStyle name="Normal 24 2 3 5" xfId="5405"/>
    <cellStyle name="Normal 24 2 3 6" xfId="5406"/>
    <cellStyle name="Normal 24 2 3 7" xfId="5407"/>
    <cellStyle name="Normal 24 2 3 8" xfId="5408"/>
    <cellStyle name="Normal 24 2 3 9" xfId="5409"/>
    <cellStyle name="Normal 24 2 4" xfId="5410"/>
    <cellStyle name="Normal 24 2 4 10" xfId="5411"/>
    <cellStyle name="Normal 24 2 4 11" xfId="5412"/>
    <cellStyle name="Normal 24 2 4 12" xfId="5413"/>
    <cellStyle name="Normal 24 2 4 13" xfId="5414"/>
    <cellStyle name="Normal 24 2 4 2" xfId="5415"/>
    <cellStyle name="Normal 24 2 4 3" xfId="5416"/>
    <cellStyle name="Normal 24 2 4 4" xfId="5417"/>
    <cellStyle name="Normal 24 2 4 5" xfId="5418"/>
    <cellStyle name="Normal 24 2 4 6" xfId="5419"/>
    <cellStyle name="Normal 24 2 4 7" xfId="5420"/>
    <cellStyle name="Normal 24 2 4 8" xfId="5421"/>
    <cellStyle name="Normal 24 2 4 9" xfId="5422"/>
    <cellStyle name="Normal 24 2 5" xfId="5423"/>
    <cellStyle name="Normal 24 2 5 2" xfId="5424"/>
    <cellStyle name="Normal 24 2 5 2 2" xfId="5425"/>
    <cellStyle name="Normal 24 2 5 2 2 2" xfId="5426"/>
    <cellStyle name="Normal 24 2 5 2 2 2 2" xfId="5427"/>
    <cellStyle name="Normal 24 2 5 2 2 2 2 2" xfId="5428"/>
    <cellStyle name="Normal 24 2 5 2 2 2 3" xfId="5429"/>
    <cellStyle name="Normal 24 2 5 2 2 2 4" xfId="5430"/>
    <cellStyle name="Normal 24 2 5 2 2 3" xfId="5431"/>
    <cellStyle name="Normal 24 2 5 2 2 4" xfId="5432"/>
    <cellStyle name="Normal 24 2 5 2 3" xfId="5433"/>
    <cellStyle name="Normal 24 2 5 2 4" xfId="5434"/>
    <cellStyle name="Normal 24 2 5 2 5" xfId="5435"/>
    <cellStyle name="Normal 24 2 5 2 6" xfId="5436"/>
    <cellStyle name="Normal 24 2 5 2 7" xfId="5437"/>
    <cellStyle name="Normal 24 2 5 3" xfId="5438"/>
    <cellStyle name="Normal 24 2 5 3 2" xfId="5439"/>
    <cellStyle name="Normal 24 2 5 3 2 2" xfId="5440"/>
    <cellStyle name="Normal 24 2 5 3 2 3" xfId="5441"/>
    <cellStyle name="Normal 24 2 5 3 2 4" xfId="5442"/>
    <cellStyle name="Normal 24 2 5 3 3" xfId="5443"/>
    <cellStyle name="Normal 24 2 5 3 4" xfId="5444"/>
    <cellStyle name="Normal 24 2 5 4" xfId="5445"/>
    <cellStyle name="Normal 24 2 5 5" xfId="5446"/>
    <cellStyle name="Normal 24 2 5 6" xfId="5447"/>
    <cellStyle name="Normal 24 2 5 7" xfId="5448"/>
    <cellStyle name="Normal 24 2 6" xfId="5449"/>
    <cellStyle name="Normal 24 2 7" xfId="5450"/>
    <cellStyle name="Normal 24 2 8" xfId="5451"/>
    <cellStyle name="Normal 24 2 8 2" xfId="5452"/>
    <cellStyle name="Normal 24 2 8 2 2" xfId="5453"/>
    <cellStyle name="Normal 24 2 8 2 3" xfId="5454"/>
    <cellStyle name="Normal 24 2 8 2 4" xfId="5455"/>
    <cellStyle name="Normal 24 2 8 3" xfId="5456"/>
    <cellStyle name="Normal 24 2 8 4" xfId="5457"/>
    <cellStyle name="Normal 24 2 9" xfId="5458"/>
    <cellStyle name="Normal 24 3" xfId="5459"/>
    <cellStyle name="Normal 24 3 10" xfId="5460"/>
    <cellStyle name="Normal 24 3 11" xfId="5461"/>
    <cellStyle name="Normal 24 3 12" xfId="5462"/>
    <cellStyle name="Normal 24 3 13" xfId="5463"/>
    <cellStyle name="Normal 24 3 2" xfId="5464"/>
    <cellStyle name="Normal 24 3 2 10" xfId="5465"/>
    <cellStyle name="Normal 24 3 2 11" xfId="5466"/>
    <cellStyle name="Normal 24 3 2 12" xfId="5467"/>
    <cellStyle name="Normal 24 3 2 13" xfId="5468"/>
    <cellStyle name="Normal 24 3 2 2" xfId="5469"/>
    <cellStyle name="Normal 24 3 2 2 2" xfId="5470"/>
    <cellStyle name="Normal 24 3 2 2 2 2" xfId="5471"/>
    <cellStyle name="Normal 24 3 2 2 2 2 2" xfId="5472"/>
    <cellStyle name="Normal 24 3 2 2 2 2 2 2" xfId="5473"/>
    <cellStyle name="Normal 24 3 2 2 2 2 2 2 2" xfId="5474"/>
    <cellStyle name="Normal 24 3 2 2 2 2 2 3" xfId="5475"/>
    <cellStyle name="Normal 24 3 2 2 2 2 2 4" xfId="5476"/>
    <cellStyle name="Normal 24 3 2 2 2 2 3" xfId="5477"/>
    <cellStyle name="Normal 24 3 2 2 2 2 4" xfId="5478"/>
    <cellStyle name="Normal 24 3 2 2 2 3" xfId="5479"/>
    <cellStyle name="Normal 24 3 2 2 2 4" xfId="5480"/>
    <cellStyle name="Normal 24 3 2 2 2 5" xfId="5481"/>
    <cellStyle name="Normal 24 3 2 2 2 6" xfId="5482"/>
    <cellStyle name="Normal 24 3 2 2 2 7" xfId="5483"/>
    <cellStyle name="Normal 24 3 2 2 3" xfId="5484"/>
    <cellStyle name="Normal 24 3 2 2 3 2" xfId="5485"/>
    <cellStyle name="Normal 24 3 2 2 3 2 2" xfId="5486"/>
    <cellStyle name="Normal 24 3 2 2 3 2 3" xfId="5487"/>
    <cellStyle name="Normal 24 3 2 2 3 2 4" xfId="5488"/>
    <cellStyle name="Normal 24 3 2 2 3 3" xfId="5489"/>
    <cellStyle name="Normal 24 3 2 2 3 4" xfId="5490"/>
    <cellStyle name="Normal 24 3 2 2 4" xfId="5491"/>
    <cellStyle name="Normal 24 3 2 2 5" xfId="5492"/>
    <cellStyle name="Normal 24 3 2 2 6" xfId="5493"/>
    <cellStyle name="Normal 24 3 2 2 7" xfId="5494"/>
    <cellStyle name="Normal 24 3 2 3" xfId="5495"/>
    <cellStyle name="Normal 24 3 2 4" xfId="5496"/>
    <cellStyle name="Normal 24 3 2 5" xfId="5497"/>
    <cellStyle name="Normal 24 3 2 5 2" xfId="5498"/>
    <cellStyle name="Normal 24 3 2 5 2 2" xfId="5499"/>
    <cellStyle name="Normal 24 3 2 5 2 3" xfId="5500"/>
    <cellStyle name="Normal 24 3 2 5 2 4" xfId="5501"/>
    <cellStyle name="Normal 24 3 2 5 3" xfId="5502"/>
    <cellStyle name="Normal 24 3 2 5 4" xfId="5503"/>
    <cellStyle name="Normal 24 3 2 6" xfId="5504"/>
    <cellStyle name="Normal 24 3 2 7" xfId="5505"/>
    <cellStyle name="Normal 24 3 2 8" xfId="5506"/>
    <cellStyle name="Normal 24 3 2 9" xfId="5507"/>
    <cellStyle name="Normal 24 3 3" xfId="5508"/>
    <cellStyle name="Normal 24 3 3 2" xfId="5509"/>
    <cellStyle name="Normal 24 3 3 2 2" xfId="5510"/>
    <cellStyle name="Normal 24 3 3 2 2 2" xfId="5511"/>
    <cellStyle name="Normal 24 3 3 2 2 2 2" xfId="5512"/>
    <cellStyle name="Normal 24 3 3 2 2 2 2 2" xfId="5513"/>
    <cellStyle name="Normal 24 3 3 2 2 2 3" xfId="5514"/>
    <cellStyle name="Normal 24 3 3 2 2 2 4" xfId="5515"/>
    <cellStyle name="Normal 24 3 3 2 2 3" xfId="5516"/>
    <cellStyle name="Normal 24 3 3 2 2 4" xfId="5517"/>
    <cellStyle name="Normal 24 3 3 2 3" xfId="5518"/>
    <cellStyle name="Normal 24 3 3 2 4" xfId="5519"/>
    <cellStyle name="Normal 24 3 3 2 5" xfId="5520"/>
    <cellStyle name="Normal 24 3 3 2 6" xfId="5521"/>
    <cellStyle name="Normal 24 3 3 2 7" xfId="5522"/>
    <cellStyle name="Normal 24 3 3 3" xfId="5523"/>
    <cellStyle name="Normal 24 3 3 3 2" xfId="5524"/>
    <cellStyle name="Normal 24 3 3 3 2 2" xfId="5525"/>
    <cellStyle name="Normal 24 3 3 3 2 3" xfId="5526"/>
    <cellStyle name="Normal 24 3 3 3 2 4" xfId="5527"/>
    <cellStyle name="Normal 24 3 3 3 3" xfId="5528"/>
    <cellStyle name="Normal 24 3 3 3 4" xfId="5529"/>
    <cellStyle name="Normal 24 3 3 4" xfId="5530"/>
    <cellStyle name="Normal 24 3 3 5" xfId="5531"/>
    <cellStyle name="Normal 24 3 3 6" xfId="5532"/>
    <cellStyle name="Normal 24 3 3 7" xfId="5533"/>
    <cellStyle name="Normal 24 3 4" xfId="5534"/>
    <cellStyle name="Normal 24 3 5" xfId="5535"/>
    <cellStyle name="Normal 24 3 5 2" xfId="5536"/>
    <cellStyle name="Normal 24 3 5 2 2" xfId="5537"/>
    <cellStyle name="Normal 24 3 5 2 3" xfId="5538"/>
    <cellStyle name="Normal 24 3 5 2 4" xfId="5539"/>
    <cellStyle name="Normal 24 3 5 3" xfId="5540"/>
    <cellStyle name="Normal 24 3 5 4" xfId="5541"/>
    <cellStyle name="Normal 24 3 6" xfId="5542"/>
    <cellStyle name="Normal 24 3 7" xfId="5543"/>
    <cellStyle name="Normal 24 3 8" xfId="5544"/>
    <cellStyle name="Normal 24 3 9" xfId="5545"/>
    <cellStyle name="Normal 24 4" xfId="5546"/>
    <cellStyle name="Normal 24 5" xfId="5547"/>
    <cellStyle name="Normal 24 5 2" xfId="5548"/>
    <cellStyle name="Normal 24 5 2 2" xfId="5549"/>
    <cellStyle name="Normal 24 5 2 2 2" xfId="5550"/>
    <cellStyle name="Normal 24 5 2 2 2 2" xfId="5551"/>
    <cellStyle name="Normal 24 5 2 2 2 2 2" xfId="5552"/>
    <cellStyle name="Normal 24 5 2 2 2 3" xfId="5553"/>
    <cellStyle name="Normal 24 5 2 2 2 4" xfId="5554"/>
    <cellStyle name="Normal 24 5 2 2 3" xfId="5555"/>
    <cellStyle name="Normal 24 5 2 2 4" xfId="5556"/>
    <cellStyle name="Normal 24 5 2 3" xfId="5557"/>
    <cellStyle name="Normal 24 5 2 4" xfId="5558"/>
    <cellStyle name="Normal 24 5 2 5" xfId="5559"/>
    <cellStyle name="Normal 24 5 2 6" xfId="5560"/>
    <cellStyle name="Normal 24 5 2 7" xfId="5561"/>
    <cellStyle name="Normal 24 5 3" xfId="5562"/>
    <cellStyle name="Normal 24 5 3 2" xfId="5563"/>
    <cellStyle name="Normal 24 5 3 2 2" xfId="5564"/>
    <cellStyle name="Normal 24 5 3 2 3" xfId="5565"/>
    <cellStyle name="Normal 24 5 3 2 4" xfId="5566"/>
    <cellStyle name="Normal 24 5 3 3" xfId="5567"/>
    <cellStyle name="Normal 24 5 3 4" xfId="5568"/>
    <cellStyle name="Normal 24 5 4" xfId="5569"/>
    <cellStyle name="Normal 24 5 5" xfId="5570"/>
    <cellStyle name="Normal 24 5 6" xfId="5571"/>
    <cellStyle name="Normal 24 5 7" xfId="5572"/>
    <cellStyle name="Normal 24 6" xfId="5573"/>
    <cellStyle name="Normal 24 7" xfId="5574"/>
    <cellStyle name="Normal 24 8" xfId="5575"/>
    <cellStyle name="Normal 24 8 2" xfId="5576"/>
    <cellStyle name="Normal 24 8 2 2" xfId="5577"/>
    <cellStyle name="Normal 24 8 2 3" xfId="5578"/>
    <cellStyle name="Normal 24 8 2 4" xfId="5579"/>
    <cellStyle name="Normal 24 8 3" xfId="5580"/>
    <cellStyle name="Normal 24 8 4" xfId="5581"/>
    <cellStyle name="Normal 24 9" xfId="5582"/>
    <cellStyle name="Normal 25" xfId="5583"/>
    <cellStyle name="Normal 25 10" xfId="5584"/>
    <cellStyle name="Normal 25 11" xfId="5585"/>
    <cellStyle name="Normal 25 12" xfId="5586"/>
    <cellStyle name="Normal 25 13" xfId="5587"/>
    <cellStyle name="Normal 25 14" xfId="5588"/>
    <cellStyle name="Normal 25 15" xfId="5589"/>
    <cellStyle name="Normal 25 16" xfId="5590"/>
    <cellStyle name="Normal 25 17" xfId="5591"/>
    <cellStyle name="Normal 25 18" xfId="5592"/>
    <cellStyle name="Normal 25 19" xfId="5593"/>
    <cellStyle name="Normal 25 2" xfId="5594"/>
    <cellStyle name="Normal 25 2 10" xfId="5595"/>
    <cellStyle name="Normal 25 2 11" xfId="5596"/>
    <cellStyle name="Normal 25 2 12" xfId="5597"/>
    <cellStyle name="Normal 25 2 13" xfId="5598"/>
    <cellStyle name="Normal 25 2 2" xfId="5599"/>
    <cellStyle name="Normal 25 2 3" xfId="5600"/>
    <cellStyle name="Normal 25 2 4" xfId="5601"/>
    <cellStyle name="Normal 25 2 5" xfId="5602"/>
    <cellStyle name="Normal 25 2 6" xfId="5603"/>
    <cellStyle name="Normal 25 2 7" xfId="5604"/>
    <cellStyle name="Normal 25 2 8" xfId="5605"/>
    <cellStyle name="Normal 25 2 9" xfId="5606"/>
    <cellStyle name="Normal 25 20" xfId="5607"/>
    <cellStyle name="Normal 25 21" xfId="5608"/>
    <cellStyle name="Normal 25 22" xfId="5609"/>
    <cellStyle name="Normal 25 23" xfId="5610"/>
    <cellStyle name="Normal 25 24" xfId="5611"/>
    <cellStyle name="Normal 25 25" xfId="5612"/>
    <cellStyle name="Normal 25 26" xfId="5613"/>
    <cellStyle name="Normal 25 27" xfId="5614"/>
    <cellStyle name="Normal 25 3" xfId="5615"/>
    <cellStyle name="Normal 25 3 10" xfId="5616"/>
    <cellStyle name="Normal 25 3 11" xfId="5617"/>
    <cellStyle name="Normal 25 3 12" xfId="5618"/>
    <cellStyle name="Normal 25 3 13" xfId="5619"/>
    <cellStyle name="Normal 25 3 2" xfId="5620"/>
    <cellStyle name="Normal 25 3 3" xfId="5621"/>
    <cellStyle name="Normal 25 3 4" xfId="5622"/>
    <cellStyle name="Normal 25 3 5" xfId="5623"/>
    <cellStyle name="Normal 25 3 6" xfId="5624"/>
    <cellStyle name="Normal 25 3 7" xfId="5625"/>
    <cellStyle name="Normal 25 3 8" xfId="5626"/>
    <cellStyle name="Normal 25 3 9" xfId="5627"/>
    <cellStyle name="Normal 25 4" xfId="5628"/>
    <cellStyle name="Normal 25 4 10" xfId="5629"/>
    <cellStyle name="Normal 25 4 11" xfId="5630"/>
    <cellStyle name="Normal 25 4 12" xfId="5631"/>
    <cellStyle name="Normal 25 4 13" xfId="5632"/>
    <cellStyle name="Normal 25 4 2" xfId="5633"/>
    <cellStyle name="Normal 25 4 3" xfId="5634"/>
    <cellStyle name="Normal 25 4 4" xfId="5635"/>
    <cellStyle name="Normal 25 4 5" xfId="5636"/>
    <cellStyle name="Normal 25 4 6" xfId="5637"/>
    <cellStyle name="Normal 25 4 7" xfId="5638"/>
    <cellStyle name="Normal 25 4 8" xfId="5639"/>
    <cellStyle name="Normal 25 4 9" xfId="5640"/>
    <cellStyle name="Normal 25 5" xfId="5641"/>
    <cellStyle name="Normal 25 6" xfId="5642"/>
    <cellStyle name="Normal 25 7" xfId="5643"/>
    <cellStyle name="Normal 25 8" xfId="5644"/>
    <cellStyle name="Normal 25 9" xfId="5645"/>
    <cellStyle name="Normal 26" xfId="5646"/>
    <cellStyle name="Normal 26 10" xfId="5647"/>
    <cellStyle name="Normal 26 11" xfId="5648"/>
    <cellStyle name="Normal 26 12" xfId="5649"/>
    <cellStyle name="Normal 26 13" xfId="5650"/>
    <cellStyle name="Normal 26 14" xfId="5651"/>
    <cellStyle name="Normal 26 15" xfId="5652"/>
    <cellStyle name="Normal 26 16" xfId="5653"/>
    <cellStyle name="Normal 26 17" xfId="5654"/>
    <cellStyle name="Normal 26 18" xfId="5655"/>
    <cellStyle name="Normal 26 19" xfId="5656"/>
    <cellStyle name="Normal 26 2" xfId="5657"/>
    <cellStyle name="Normal 26 2 10" xfId="5658"/>
    <cellStyle name="Normal 26 2 11" xfId="5659"/>
    <cellStyle name="Normal 26 2 12" xfId="5660"/>
    <cellStyle name="Normal 26 2 13" xfId="5661"/>
    <cellStyle name="Normal 26 2 2" xfId="5662"/>
    <cellStyle name="Normal 26 2 3" xfId="5663"/>
    <cellStyle name="Normal 26 2 4" xfId="5664"/>
    <cellStyle name="Normal 26 2 5" xfId="5665"/>
    <cellStyle name="Normal 26 2 6" xfId="5666"/>
    <cellStyle name="Normal 26 2 7" xfId="5667"/>
    <cellStyle name="Normal 26 2 8" xfId="5668"/>
    <cellStyle name="Normal 26 2 9" xfId="5669"/>
    <cellStyle name="Normal 26 20" xfId="5670"/>
    <cellStyle name="Normal 26 21" xfId="5671"/>
    <cellStyle name="Normal 26 22" xfId="5672"/>
    <cellStyle name="Normal 26 23" xfId="5673"/>
    <cellStyle name="Normal 26 24" xfId="5674"/>
    <cellStyle name="Normal 26 25" xfId="5675"/>
    <cellStyle name="Normal 26 26" xfId="5676"/>
    <cellStyle name="Normal 26 27" xfId="5677"/>
    <cellStyle name="Normal 26 3" xfId="5678"/>
    <cellStyle name="Normal 26 3 10" xfId="5679"/>
    <cellStyle name="Normal 26 3 11" xfId="5680"/>
    <cellStyle name="Normal 26 3 12" xfId="5681"/>
    <cellStyle name="Normal 26 3 13" xfId="5682"/>
    <cellStyle name="Normal 26 3 2" xfId="5683"/>
    <cellStyle name="Normal 26 3 3" xfId="5684"/>
    <cellStyle name="Normal 26 3 4" xfId="5685"/>
    <cellStyle name="Normal 26 3 5" xfId="5686"/>
    <cellStyle name="Normal 26 3 6" xfId="5687"/>
    <cellStyle name="Normal 26 3 7" xfId="5688"/>
    <cellStyle name="Normal 26 3 8" xfId="5689"/>
    <cellStyle name="Normal 26 3 9" xfId="5690"/>
    <cellStyle name="Normal 26 4" xfId="5691"/>
    <cellStyle name="Normal 26 4 10" xfId="5692"/>
    <cellStyle name="Normal 26 4 11" xfId="5693"/>
    <cellStyle name="Normal 26 4 12" xfId="5694"/>
    <cellStyle name="Normal 26 4 13" xfId="5695"/>
    <cellStyle name="Normal 26 4 2" xfId="5696"/>
    <cellStyle name="Normal 26 4 3" xfId="5697"/>
    <cellStyle name="Normal 26 4 4" xfId="5698"/>
    <cellStyle name="Normal 26 4 5" xfId="5699"/>
    <cellStyle name="Normal 26 4 6" xfId="5700"/>
    <cellStyle name="Normal 26 4 7" xfId="5701"/>
    <cellStyle name="Normal 26 4 8" xfId="5702"/>
    <cellStyle name="Normal 26 4 9" xfId="5703"/>
    <cellStyle name="Normal 26 5" xfId="5704"/>
    <cellStyle name="Normal 26 6" xfId="5705"/>
    <cellStyle name="Normal 26 7" xfId="5706"/>
    <cellStyle name="Normal 26 8" xfId="5707"/>
    <cellStyle name="Normal 26 9" xfId="5708"/>
    <cellStyle name="Normal 27" xfId="5709"/>
    <cellStyle name="Normal 27 10" xfId="5710"/>
    <cellStyle name="Normal 27 11" xfId="5711"/>
    <cellStyle name="Normal 27 12" xfId="5712"/>
    <cellStyle name="Normal 27 13" xfId="5713"/>
    <cellStyle name="Normal 27 14" xfId="5714"/>
    <cellStyle name="Normal 27 15" xfId="5715"/>
    <cellStyle name="Normal 27 16" xfId="5716"/>
    <cellStyle name="Normal 27 17" xfId="5717"/>
    <cellStyle name="Normal 27 18" xfId="5718"/>
    <cellStyle name="Normal 27 19" xfId="5719"/>
    <cellStyle name="Normal 27 2" xfId="5720"/>
    <cellStyle name="Normal 27 2 10" xfId="5721"/>
    <cellStyle name="Normal 27 2 11" xfId="5722"/>
    <cellStyle name="Normal 27 2 12" xfId="5723"/>
    <cellStyle name="Normal 27 2 13" xfId="5724"/>
    <cellStyle name="Normal 27 2 2" xfId="5725"/>
    <cellStyle name="Normal 27 2 3" xfId="5726"/>
    <cellStyle name="Normal 27 2 4" xfId="5727"/>
    <cellStyle name="Normal 27 2 5" xfId="5728"/>
    <cellStyle name="Normal 27 2 6" xfId="5729"/>
    <cellStyle name="Normal 27 2 7" xfId="5730"/>
    <cellStyle name="Normal 27 2 8" xfId="5731"/>
    <cellStyle name="Normal 27 2 9" xfId="5732"/>
    <cellStyle name="Normal 27 20" xfId="5733"/>
    <cellStyle name="Normal 27 21" xfId="5734"/>
    <cellStyle name="Normal 27 22" xfId="5735"/>
    <cellStyle name="Normal 27 23" xfId="5736"/>
    <cellStyle name="Normal 27 24" xfId="5737"/>
    <cellStyle name="Normal 27 25" xfId="5738"/>
    <cellStyle name="Normal 27 26" xfId="5739"/>
    <cellStyle name="Normal 27 27" xfId="5740"/>
    <cellStyle name="Normal 27 3" xfId="5741"/>
    <cellStyle name="Normal 27 3 10" xfId="5742"/>
    <cellStyle name="Normal 27 3 11" xfId="5743"/>
    <cellStyle name="Normal 27 3 12" xfId="5744"/>
    <cellStyle name="Normal 27 3 13" xfId="5745"/>
    <cellStyle name="Normal 27 3 2" xfId="5746"/>
    <cellStyle name="Normal 27 3 3" xfId="5747"/>
    <cellStyle name="Normal 27 3 4" xfId="5748"/>
    <cellStyle name="Normal 27 3 5" xfId="5749"/>
    <cellStyle name="Normal 27 3 6" xfId="5750"/>
    <cellStyle name="Normal 27 3 7" xfId="5751"/>
    <cellStyle name="Normal 27 3 8" xfId="5752"/>
    <cellStyle name="Normal 27 3 9" xfId="5753"/>
    <cellStyle name="Normal 27 4" xfId="5754"/>
    <cellStyle name="Normal 27 4 10" xfId="5755"/>
    <cellStyle name="Normal 27 4 11" xfId="5756"/>
    <cellStyle name="Normal 27 4 12" xfId="5757"/>
    <cellStyle name="Normal 27 4 13" xfId="5758"/>
    <cellStyle name="Normal 27 4 2" xfId="5759"/>
    <cellStyle name="Normal 27 4 3" xfId="5760"/>
    <cellStyle name="Normal 27 4 4" xfId="5761"/>
    <cellStyle name="Normal 27 4 5" xfId="5762"/>
    <cellStyle name="Normal 27 4 6" xfId="5763"/>
    <cellStyle name="Normal 27 4 7" xfId="5764"/>
    <cellStyle name="Normal 27 4 8" xfId="5765"/>
    <cellStyle name="Normal 27 4 9" xfId="5766"/>
    <cellStyle name="Normal 27 5" xfId="5767"/>
    <cellStyle name="Normal 27 6" xfId="5768"/>
    <cellStyle name="Normal 27 7" xfId="5769"/>
    <cellStyle name="Normal 27 8" xfId="5770"/>
    <cellStyle name="Normal 27 9" xfId="5771"/>
    <cellStyle name="Normal 28" xfId="5772"/>
    <cellStyle name="Normal 28 10" xfId="5773"/>
    <cellStyle name="Normal 28 11" xfId="5774"/>
    <cellStyle name="Normal 28 12" xfId="5775"/>
    <cellStyle name="Normal 28 13" xfId="5776"/>
    <cellStyle name="Normal 28 14" xfId="5777"/>
    <cellStyle name="Normal 28 15" xfId="5778"/>
    <cellStyle name="Normal 28 16" xfId="5779"/>
    <cellStyle name="Normal 28 17" xfId="5780"/>
    <cellStyle name="Normal 28 18" xfId="5781"/>
    <cellStyle name="Normal 28 19" xfId="5782"/>
    <cellStyle name="Normal 28 2" xfId="5783"/>
    <cellStyle name="Normal 28 2 10" xfId="5784"/>
    <cellStyle name="Normal 28 2 11" xfId="5785"/>
    <cellStyle name="Normal 28 2 12" xfId="5786"/>
    <cellStyle name="Normal 28 2 13" xfId="5787"/>
    <cellStyle name="Normal 28 2 2" xfId="5788"/>
    <cellStyle name="Normal 28 2 3" xfId="5789"/>
    <cellStyle name="Normal 28 2 4" xfId="5790"/>
    <cellStyle name="Normal 28 2 5" xfId="5791"/>
    <cellStyle name="Normal 28 2 6" xfId="5792"/>
    <cellStyle name="Normal 28 2 7" xfId="5793"/>
    <cellStyle name="Normal 28 2 8" xfId="5794"/>
    <cellStyle name="Normal 28 2 9" xfId="5795"/>
    <cellStyle name="Normal 28 20" xfId="5796"/>
    <cellStyle name="Normal 28 21" xfId="5797"/>
    <cellStyle name="Normal 28 22" xfId="5798"/>
    <cellStyle name="Normal 28 23" xfId="5799"/>
    <cellStyle name="Normal 28 24" xfId="5800"/>
    <cellStyle name="Normal 28 25" xfId="5801"/>
    <cellStyle name="Normal 28 26" xfId="5802"/>
    <cellStyle name="Normal 28 27" xfId="5803"/>
    <cellStyle name="Normal 28 3" xfId="5804"/>
    <cellStyle name="Normal 28 3 10" xfId="5805"/>
    <cellStyle name="Normal 28 3 11" xfId="5806"/>
    <cellStyle name="Normal 28 3 12" xfId="5807"/>
    <cellStyle name="Normal 28 3 13" xfId="5808"/>
    <cellStyle name="Normal 28 3 2" xfId="5809"/>
    <cellStyle name="Normal 28 3 3" xfId="5810"/>
    <cellStyle name="Normal 28 3 4" xfId="5811"/>
    <cellStyle name="Normal 28 3 5" xfId="5812"/>
    <cellStyle name="Normal 28 3 6" xfId="5813"/>
    <cellStyle name="Normal 28 3 7" xfId="5814"/>
    <cellStyle name="Normal 28 3 8" xfId="5815"/>
    <cellStyle name="Normal 28 3 9" xfId="5816"/>
    <cellStyle name="Normal 28 4" xfId="5817"/>
    <cellStyle name="Normal 28 4 10" xfId="5818"/>
    <cellStyle name="Normal 28 4 11" xfId="5819"/>
    <cellStyle name="Normal 28 4 12" xfId="5820"/>
    <cellStyle name="Normal 28 4 13" xfId="5821"/>
    <cellStyle name="Normal 28 4 2" xfId="5822"/>
    <cellStyle name="Normal 28 4 3" xfId="5823"/>
    <cellStyle name="Normal 28 4 4" xfId="5824"/>
    <cellStyle name="Normal 28 4 5" xfId="5825"/>
    <cellStyle name="Normal 28 4 6" xfId="5826"/>
    <cellStyle name="Normal 28 4 7" xfId="5827"/>
    <cellStyle name="Normal 28 4 8" xfId="5828"/>
    <cellStyle name="Normal 28 4 9" xfId="5829"/>
    <cellStyle name="Normal 28 5" xfId="5830"/>
    <cellStyle name="Normal 28 6" xfId="5831"/>
    <cellStyle name="Normal 28 7" xfId="5832"/>
    <cellStyle name="Normal 28 8" xfId="5833"/>
    <cellStyle name="Normal 28 9" xfId="5834"/>
    <cellStyle name="Normal 29" xfId="5835"/>
    <cellStyle name="Normal 29 10" xfId="5836"/>
    <cellStyle name="Normal 29 11" xfId="5837"/>
    <cellStyle name="Normal 29 12" xfId="5838"/>
    <cellStyle name="Normal 29 13" xfId="5839"/>
    <cellStyle name="Normal 29 14" xfId="5840"/>
    <cellStyle name="Normal 29 15" xfId="5841"/>
    <cellStyle name="Normal 29 16" xfId="5842"/>
    <cellStyle name="Normal 29 17" xfId="5843"/>
    <cellStyle name="Normal 29 18" xfId="5844"/>
    <cellStyle name="Normal 29 2" xfId="5845"/>
    <cellStyle name="Normal 29 2 10" xfId="5846"/>
    <cellStyle name="Normal 29 2 11" xfId="5847"/>
    <cellStyle name="Normal 29 2 12" xfId="5848"/>
    <cellStyle name="Normal 29 2 13" xfId="5849"/>
    <cellStyle name="Normal 29 2 2" xfId="5850"/>
    <cellStyle name="Normal 29 2 3" xfId="5851"/>
    <cellStyle name="Normal 29 2 4" xfId="5852"/>
    <cellStyle name="Normal 29 2 5" xfId="5853"/>
    <cellStyle name="Normal 29 2 6" xfId="5854"/>
    <cellStyle name="Normal 29 2 7" xfId="5855"/>
    <cellStyle name="Normal 29 2 8" xfId="5856"/>
    <cellStyle name="Normal 29 2 9" xfId="5857"/>
    <cellStyle name="Normal 29 3" xfId="5858"/>
    <cellStyle name="Normal 29 3 10" xfId="5859"/>
    <cellStyle name="Normal 29 3 11" xfId="5860"/>
    <cellStyle name="Normal 29 3 12" xfId="5861"/>
    <cellStyle name="Normal 29 3 13" xfId="5862"/>
    <cellStyle name="Normal 29 3 2" xfId="5863"/>
    <cellStyle name="Normal 29 3 3" xfId="5864"/>
    <cellStyle name="Normal 29 3 4" xfId="5865"/>
    <cellStyle name="Normal 29 3 5" xfId="5866"/>
    <cellStyle name="Normal 29 3 6" xfId="5867"/>
    <cellStyle name="Normal 29 3 7" xfId="5868"/>
    <cellStyle name="Normal 29 3 8" xfId="5869"/>
    <cellStyle name="Normal 29 3 9" xfId="5870"/>
    <cellStyle name="Normal 29 4" xfId="5871"/>
    <cellStyle name="Normal 29 4 10" xfId="5872"/>
    <cellStyle name="Normal 29 4 11" xfId="5873"/>
    <cellStyle name="Normal 29 4 12" xfId="5874"/>
    <cellStyle name="Normal 29 4 13" xfId="5875"/>
    <cellStyle name="Normal 29 4 2" xfId="5876"/>
    <cellStyle name="Normal 29 4 3" xfId="5877"/>
    <cellStyle name="Normal 29 4 4" xfId="5878"/>
    <cellStyle name="Normal 29 4 5" xfId="5879"/>
    <cellStyle name="Normal 29 4 6" xfId="5880"/>
    <cellStyle name="Normal 29 4 7" xfId="5881"/>
    <cellStyle name="Normal 29 4 8" xfId="5882"/>
    <cellStyle name="Normal 29 4 9" xfId="5883"/>
    <cellStyle name="Normal 29 5" xfId="5884"/>
    <cellStyle name="Normal 29 6" xfId="5885"/>
    <cellStyle name="Normal 29 7" xfId="5886"/>
    <cellStyle name="Normal 29 8" xfId="5887"/>
    <cellStyle name="Normal 29 9" xfId="5888"/>
    <cellStyle name="Normal 3" xfId="5889"/>
    <cellStyle name="Normal 3 10" xfId="5890"/>
    <cellStyle name="Normal 3 11" xfId="5891"/>
    <cellStyle name="Normal 3 12" xfId="5892"/>
    <cellStyle name="Normal 3 12 2" xfId="5893"/>
    <cellStyle name="Normal 3 12 2 2" xfId="5894"/>
    <cellStyle name="Normal 3 12 2 3" xfId="5895"/>
    <cellStyle name="Normal 3 12 2 4" xfId="5896"/>
    <cellStyle name="Normal 3 12 3" xfId="5897"/>
    <cellStyle name="Normal 3 12 4" xfId="5898"/>
    <cellStyle name="Normal 3 13" xfId="5899"/>
    <cellStyle name="Normal 3 14" xfId="5900"/>
    <cellStyle name="Normal 3 15" xfId="5901"/>
    <cellStyle name="Normal 3 16" xfId="5902"/>
    <cellStyle name="Normal 3 17" xfId="5903"/>
    <cellStyle name="Normal 3 18" xfId="5904"/>
    <cellStyle name="Normal 3 19" xfId="5905"/>
    <cellStyle name="Normal 3 2" xfId="5906"/>
    <cellStyle name="Normal 3 2 10" xfId="5907"/>
    <cellStyle name="Normal 3 2 11" xfId="5908"/>
    <cellStyle name="Normal 3 2 12" xfId="5909"/>
    <cellStyle name="Normal 3 2 12 2" xfId="5910"/>
    <cellStyle name="Normal 3 2 12 2 2" xfId="5911"/>
    <cellStyle name="Normal 3 2 12 2 3" xfId="5912"/>
    <cellStyle name="Normal 3 2 12 2 4" xfId="5913"/>
    <cellStyle name="Normal 3 2 12 3" xfId="5914"/>
    <cellStyle name="Normal 3 2 12 4" xfId="5915"/>
    <cellStyle name="Normal 3 2 13" xfId="5916"/>
    <cellStyle name="Normal 3 2 14" xfId="5917"/>
    <cellStyle name="Normal 3 2 15" xfId="5918"/>
    <cellStyle name="Normal 3 2 16" xfId="5919"/>
    <cellStyle name="Normal 3 2 17" xfId="5920"/>
    <cellStyle name="Normal 3 2 18" xfId="5921"/>
    <cellStyle name="Normal 3 2 19" xfId="5922"/>
    <cellStyle name="Normal 3 2 2" xfId="5923"/>
    <cellStyle name="Normal 3 2 2 10" xfId="5924"/>
    <cellStyle name="Normal 3 2 2 11" xfId="5925"/>
    <cellStyle name="Normal 3 2 2 11 2" xfId="5926"/>
    <cellStyle name="Normal 3 2 2 11 2 2" xfId="5927"/>
    <cellStyle name="Normal 3 2 2 11 2 3" xfId="5928"/>
    <cellStyle name="Normal 3 2 2 11 2 4" xfId="5929"/>
    <cellStyle name="Normal 3 2 2 11 3" xfId="5930"/>
    <cellStyle name="Normal 3 2 2 11 4" xfId="5931"/>
    <cellStyle name="Normal 3 2 2 12" xfId="5932"/>
    <cellStyle name="Normal 3 2 2 13" xfId="5933"/>
    <cellStyle name="Normal 3 2 2 14" xfId="5934"/>
    <cellStyle name="Normal 3 2 2 15" xfId="5935"/>
    <cellStyle name="Normal 3 2 2 16" xfId="5936"/>
    <cellStyle name="Normal 3 2 2 17" xfId="5937"/>
    <cellStyle name="Normal 3 2 2 18" xfId="5938"/>
    <cellStyle name="Normal 3 2 2 19" xfId="5939"/>
    <cellStyle name="Normal 3 2 2 2" xfId="5940"/>
    <cellStyle name="Normal 3 2 2 2 10" xfId="5941"/>
    <cellStyle name="Normal 3 2 2 2 11" xfId="5942"/>
    <cellStyle name="Normal 3 2 2 2 11 2" xfId="5943"/>
    <cellStyle name="Normal 3 2 2 2 11 2 2" xfId="5944"/>
    <cellStyle name="Normal 3 2 2 2 11 2 3" xfId="5945"/>
    <cellStyle name="Normal 3 2 2 2 11 2 4" xfId="5946"/>
    <cellStyle name="Normal 3 2 2 2 11 3" xfId="5947"/>
    <cellStyle name="Normal 3 2 2 2 11 4" xfId="5948"/>
    <cellStyle name="Normal 3 2 2 2 12" xfId="5949"/>
    <cellStyle name="Normal 3 2 2 2 13" xfId="5950"/>
    <cellStyle name="Normal 3 2 2 2 14" xfId="5951"/>
    <cellStyle name="Normal 3 2 2 2 15" xfId="5952"/>
    <cellStyle name="Normal 3 2 2 2 16" xfId="5953"/>
    <cellStyle name="Normal 3 2 2 2 17" xfId="5954"/>
    <cellStyle name="Normal 3 2 2 2 18" xfId="5955"/>
    <cellStyle name="Normal 3 2 2 2 19" xfId="5956"/>
    <cellStyle name="Normal 3 2 2 2 2" xfId="5957"/>
    <cellStyle name="Normal 3 2 2 2 2 10" xfId="5958"/>
    <cellStyle name="Normal 3 2 2 2 2 11" xfId="5959"/>
    <cellStyle name="Normal 3 2 2 2 2 12" xfId="5960"/>
    <cellStyle name="Normal 3 2 2 2 2 13" xfId="5961"/>
    <cellStyle name="Normal 3 2 2 2 2 14" xfId="5962"/>
    <cellStyle name="Normal 3 2 2 2 2 15" xfId="5963"/>
    <cellStyle name="Normal 3 2 2 2 2 16" xfId="5964"/>
    <cellStyle name="Normal 3 2 2 2 2 2" xfId="5965"/>
    <cellStyle name="Normal 3 2 2 2 2 2 10" xfId="5966"/>
    <cellStyle name="Normal 3 2 2 2 2 2 11" xfId="5967"/>
    <cellStyle name="Normal 3 2 2 2 2 2 12" xfId="5968"/>
    <cellStyle name="Normal 3 2 2 2 2 2 13" xfId="5969"/>
    <cellStyle name="Normal 3 2 2 2 2 2 14" xfId="5970"/>
    <cellStyle name="Normal 3 2 2 2 2 2 15" xfId="5971"/>
    <cellStyle name="Normal 3 2 2 2 2 2 16" xfId="5972"/>
    <cellStyle name="Normal 3 2 2 2 2 2 2" xfId="5973"/>
    <cellStyle name="Normal 3 2 2 2 2 2 2 10" xfId="5974"/>
    <cellStyle name="Normal 3 2 2 2 2 2 2 11" xfId="5975"/>
    <cellStyle name="Normal 3 2 2 2 2 2 2 12" xfId="5976"/>
    <cellStyle name="Normal 3 2 2 2 2 2 2 13" xfId="5977"/>
    <cellStyle name="Normal 3 2 2 2 2 2 2 2" xfId="5978"/>
    <cellStyle name="Normal 3 2 2 2 2 2 2 2 10" xfId="5979"/>
    <cellStyle name="Normal 3 2 2 2 2 2 2 2 11" xfId="5980"/>
    <cellStyle name="Normal 3 2 2 2 2 2 2 2 12" xfId="5981"/>
    <cellStyle name="Normal 3 2 2 2 2 2 2 2 13" xfId="5982"/>
    <cellStyle name="Normal 3 2 2 2 2 2 2 2 2" xfId="5983"/>
    <cellStyle name="Normal 3 2 2 2 2 2 2 2 2 2" xfId="5984"/>
    <cellStyle name="Normal 3 2 2 2 2 2 2 2 2 2 2" xfId="5985"/>
    <cellStyle name="Normal 3 2 2 2 2 2 2 2 2 2 2 2" xfId="5986"/>
    <cellStyle name="Normal 3 2 2 2 2 2 2 2 2 2 2 2 2" xfId="5987"/>
    <cellStyle name="Normal 3 2 2 2 2 2 2 2 2 2 2 2 2 2" xfId="5988"/>
    <cellStyle name="Normal 3 2 2 2 2 2 2 2 2 2 2 2 3" xfId="5989"/>
    <cellStyle name="Normal 3 2 2 2 2 2 2 2 2 2 2 2 4" xfId="5990"/>
    <cellStyle name="Normal 3 2 2 2 2 2 2 2 2 2 2 3" xfId="5991"/>
    <cellStyle name="Normal 3 2 2 2 2 2 2 2 2 2 2 4" xfId="5992"/>
    <cellStyle name="Normal 3 2 2 2 2 2 2 2 2 2 3" xfId="5993"/>
    <cellStyle name="Normal 3 2 2 2 2 2 2 2 2 2 4" xfId="5994"/>
    <cellStyle name="Normal 3 2 2 2 2 2 2 2 2 2 5" xfId="5995"/>
    <cellStyle name="Normal 3 2 2 2 2 2 2 2 2 2 6" xfId="5996"/>
    <cellStyle name="Normal 3 2 2 2 2 2 2 2 2 2 7" xfId="5997"/>
    <cellStyle name="Normal 3 2 2 2 2 2 2 2 2 3" xfId="5998"/>
    <cellStyle name="Normal 3 2 2 2 2 2 2 2 2 3 2" xfId="5999"/>
    <cellStyle name="Normal 3 2 2 2 2 2 2 2 2 3 2 2" xfId="6000"/>
    <cellStyle name="Normal 3 2 2 2 2 2 2 2 2 3 2 3" xfId="6001"/>
    <cellStyle name="Normal 3 2 2 2 2 2 2 2 2 3 2 4" xfId="6002"/>
    <cellStyle name="Normal 3 2 2 2 2 2 2 2 2 3 3" xfId="6003"/>
    <cellStyle name="Normal 3 2 2 2 2 2 2 2 2 3 4" xfId="6004"/>
    <cellStyle name="Normal 3 2 2 2 2 2 2 2 2 4" xfId="6005"/>
    <cellStyle name="Normal 3 2 2 2 2 2 2 2 2 5" xfId="6006"/>
    <cellStyle name="Normal 3 2 2 2 2 2 2 2 2 6" xfId="6007"/>
    <cellStyle name="Normal 3 2 2 2 2 2 2 2 2 7" xfId="6008"/>
    <cellStyle name="Normal 3 2 2 2 2 2 2 2 3" xfId="6009"/>
    <cellStyle name="Normal 3 2 2 2 2 2 2 2 4" xfId="6010"/>
    <cellStyle name="Normal 3 2 2 2 2 2 2 2 5" xfId="6011"/>
    <cellStyle name="Normal 3 2 2 2 2 2 2 2 5 2" xfId="6012"/>
    <cellStyle name="Normal 3 2 2 2 2 2 2 2 5 2 2" xfId="6013"/>
    <cellStyle name="Normal 3 2 2 2 2 2 2 2 5 2 3" xfId="6014"/>
    <cellStyle name="Normal 3 2 2 2 2 2 2 2 5 2 4" xfId="6015"/>
    <cellStyle name="Normal 3 2 2 2 2 2 2 2 5 3" xfId="6016"/>
    <cellStyle name="Normal 3 2 2 2 2 2 2 2 5 4" xfId="6017"/>
    <cellStyle name="Normal 3 2 2 2 2 2 2 2 6" xfId="6018"/>
    <cellStyle name="Normal 3 2 2 2 2 2 2 2 7" xfId="6019"/>
    <cellStyle name="Normal 3 2 2 2 2 2 2 2 8" xfId="6020"/>
    <cellStyle name="Normal 3 2 2 2 2 2 2 2 9" xfId="6021"/>
    <cellStyle name="Normal 3 2 2 2 2 2 2 3" xfId="6022"/>
    <cellStyle name="Normal 3 2 2 2 2 2 2 3 2" xfId="6023"/>
    <cellStyle name="Normal 3 2 2 2 2 2 2 3 2 2" xfId="6024"/>
    <cellStyle name="Normal 3 2 2 2 2 2 2 3 2 2 2" xfId="6025"/>
    <cellStyle name="Normal 3 2 2 2 2 2 2 3 2 2 2 2" xfId="6026"/>
    <cellStyle name="Normal 3 2 2 2 2 2 2 3 2 2 2 2 2" xfId="6027"/>
    <cellStyle name="Normal 3 2 2 2 2 2 2 3 2 2 2 3" xfId="6028"/>
    <cellStyle name="Normal 3 2 2 2 2 2 2 3 2 2 2 4" xfId="6029"/>
    <cellStyle name="Normal 3 2 2 2 2 2 2 3 2 2 3" xfId="6030"/>
    <cellStyle name="Normal 3 2 2 2 2 2 2 3 2 2 4" xfId="6031"/>
    <cellStyle name="Normal 3 2 2 2 2 2 2 3 2 3" xfId="6032"/>
    <cellStyle name="Normal 3 2 2 2 2 2 2 3 2 4" xfId="6033"/>
    <cellStyle name="Normal 3 2 2 2 2 2 2 3 2 5" xfId="6034"/>
    <cellStyle name="Normal 3 2 2 2 2 2 2 3 2 6" xfId="6035"/>
    <cellStyle name="Normal 3 2 2 2 2 2 2 3 2 7" xfId="6036"/>
    <cellStyle name="Normal 3 2 2 2 2 2 2 3 3" xfId="6037"/>
    <cellStyle name="Normal 3 2 2 2 2 2 2 3 3 2" xfId="6038"/>
    <cellStyle name="Normal 3 2 2 2 2 2 2 3 3 2 2" xfId="6039"/>
    <cellStyle name="Normal 3 2 2 2 2 2 2 3 3 2 3" xfId="6040"/>
    <cellStyle name="Normal 3 2 2 2 2 2 2 3 3 2 4" xfId="6041"/>
    <cellStyle name="Normal 3 2 2 2 2 2 2 3 3 3" xfId="6042"/>
    <cellStyle name="Normal 3 2 2 2 2 2 2 3 3 4" xfId="6043"/>
    <cellStyle name="Normal 3 2 2 2 2 2 2 3 4" xfId="6044"/>
    <cellStyle name="Normal 3 2 2 2 2 2 2 3 5" xfId="6045"/>
    <cellStyle name="Normal 3 2 2 2 2 2 2 3 6" xfId="6046"/>
    <cellStyle name="Normal 3 2 2 2 2 2 2 3 7" xfId="6047"/>
    <cellStyle name="Normal 3 2 2 2 2 2 2 4" xfId="6048"/>
    <cellStyle name="Normal 3 2 2 2 2 2 2 5" xfId="6049"/>
    <cellStyle name="Normal 3 2 2 2 2 2 2 5 2" xfId="6050"/>
    <cellStyle name="Normal 3 2 2 2 2 2 2 5 2 2" xfId="6051"/>
    <cellStyle name="Normal 3 2 2 2 2 2 2 5 2 3" xfId="6052"/>
    <cellStyle name="Normal 3 2 2 2 2 2 2 5 2 4" xfId="6053"/>
    <cellStyle name="Normal 3 2 2 2 2 2 2 5 3" xfId="6054"/>
    <cellStyle name="Normal 3 2 2 2 2 2 2 5 4" xfId="6055"/>
    <cellStyle name="Normal 3 2 2 2 2 2 2 6" xfId="6056"/>
    <cellStyle name="Normal 3 2 2 2 2 2 2 7" xfId="6057"/>
    <cellStyle name="Normal 3 2 2 2 2 2 2 8" xfId="6058"/>
    <cellStyle name="Normal 3 2 2 2 2 2 2 9" xfId="6059"/>
    <cellStyle name="Normal 3 2 2 2 2 2 3" xfId="6060"/>
    <cellStyle name="Normal 3 2 2 2 2 2 3 10" xfId="6061"/>
    <cellStyle name="Normal 3 2 2 2 2 2 3 11" xfId="6062"/>
    <cellStyle name="Normal 3 2 2 2 2 2 3 12" xfId="6063"/>
    <cellStyle name="Normal 3 2 2 2 2 2 3 13" xfId="6064"/>
    <cellStyle name="Normal 3 2 2 2 2 2 3 2" xfId="6065"/>
    <cellStyle name="Normal 3 2 2 2 2 2 3 3" xfId="6066"/>
    <cellStyle name="Normal 3 2 2 2 2 2 3 4" xfId="6067"/>
    <cellStyle name="Normal 3 2 2 2 2 2 3 5" xfId="6068"/>
    <cellStyle name="Normal 3 2 2 2 2 2 3 6" xfId="6069"/>
    <cellStyle name="Normal 3 2 2 2 2 2 3 7" xfId="6070"/>
    <cellStyle name="Normal 3 2 2 2 2 2 3 8" xfId="6071"/>
    <cellStyle name="Normal 3 2 2 2 2 2 3 9" xfId="6072"/>
    <cellStyle name="Normal 3 2 2 2 2 2 4" xfId="6073"/>
    <cellStyle name="Normal 3 2 2 2 2 2 4 10" xfId="6074"/>
    <cellStyle name="Normal 3 2 2 2 2 2 4 11" xfId="6075"/>
    <cellStyle name="Normal 3 2 2 2 2 2 4 12" xfId="6076"/>
    <cellStyle name="Normal 3 2 2 2 2 2 4 13" xfId="6077"/>
    <cellStyle name="Normal 3 2 2 2 2 2 4 2" xfId="6078"/>
    <cellStyle name="Normal 3 2 2 2 2 2 4 3" xfId="6079"/>
    <cellStyle name="Normal 3 2 2 2 2 2 4 4" xfId="6080"/>
    <cellStyle name="Normal 3 2 2 2 2 2 4 5" xfId="6081"/>
    <cellStyle name="Normal 3 2 2 2 2 2 4 6" xfId="6082"/>
    <cellStyle name="Normal 3 2 2 2 2 2 4 7" xfId="6083"/>
    <cellStyle name="Normal 3 2 2 2 2 2 4 8" xfId="6084"/>
    <cellStyle name="Normal 3 2 2 2 2 2 4 9" xfId="6085"/>
    <cellStyle name="Normal 3 2 2 2 2 2 5" xfId="6086"/>
    <cellStyle name="Normal 3 2 2 2 2 2 5 2" xfId="6087"/>
    <cellStyle name="Normal 3 2 2 2 2 2 5 2 2" xfId="6088"/>
    <cellStyle name="Normal 3 2 2 2 2 2 5 2 2 2" xfId="6089"/>
    <cellStyle name="Normal 3 2 2 2 2 2 5 2 2 2 2" xfId="6090"/>
    <cellStyle name="Normal 3 2 2 2 2 2 5 2 2 2 2 2" xfId="6091"/>
    <cellStyle name="Normal 3 2 2 2 2 2 5 2 2 2 3" xfId="6092"/>
    <cellStyle name="Normal 3 2 2 2 2 2 5 2 2 2 4" xfId="6093"/>
    <cellStyle name="Normal 3 2 2 2 2 2 5 2 2 3" xfId="6094"/>
    <cellStyle name="Normal 3 2 2 2 2 2 5 2 2 4" xfId="6095"/>
    <cellStyle name="Normal 3 2 2 2 2 2 5 2 3" xfId="6096"/>
    <cellStyle name="Normal 3 2 2 2 2 2 5 2 4" xfId="6097"/>
    <cellStyle name="Normal 3 2 2 2 2 2 5 2 5" xfId="6098"/>
    <cellStyle name="Normal 3 2 2 2 2 2 5 2 6" xfId="6099"/>
    <cellStyle name="Normal 3 2 2 2 2 2 5 2 7" xfId="6100"/>
    <cellStyle name="Normal 3 2 2 2 2 2 5 3" xfId="6101"/>
    <cellStyle name="Normal 3 2 2 2 2 2 5 3 2" xfId="6102"/>
    <cellStyle name="Normal 3 2 2 2 2 2 5 3 2 2" xfId="6103"/>
    <cellStyle name="Normal 3 2 2 2 2 2 5 3 2 3" xfId="6104"/>
    <cellStyle name="Normal 3 2 2 2 2 2 5 3 2 4" xfId="6105"/>
    <cellStyle name="Normal 3 2 2 2 2 2 5 3 3" xfId="6106"/>
    <cellStyle name="Normal 3 2 2 2 2 2 5 3 4" xfId="6107"/>
    <cellStyle name="Normal 3 2 2 2 2 2 5 4" xfId="6108"/>
    <cellStyle name="Normal 3 2 2 2 2 2 5 5" xfId="6109"/>
    <cellStyle name="Normal 3 2 2 2 2 2 5 6" xfId="6110"/>
    <cellStyle name="Normal 3 2 2 2 2 2 5 7" xfId="6111"/>
    <cellStyle name="Normal 3 2 2 2 2 2 6" xfId="6112"/>
    <cellStyle name="Normal 3 2 2 2 2 2 7" xfId="6113"/>
    <cellStyle name="Normal 3 2 2 2 2 2 8" xfId="6114"/>
    <cellStyle name="Normal 3 2 2 2 2 2 8 2" xfId="6115"/>
    <cellStyle name="Normal 3 2 2 2 2 2 8 2 2" xfId="6116"/>
    <cellStyle name="Normal 3 2 2 2 2 2 8 2 3" xfId="6117"/>
    <cellStyle name="Normal 3 2 2 2 2 2 8 2 4" xfId="6118"/>
    <cellStyle name="Normal 3 2 2 2 2 2 8 3" xfId="6119"/>
    <cellStyle name="Normal 3 2 2 2 2 2 8 4" xfId="6120"/>
    <cellStyle name="Normal 3 2 2 2 2 2 9" xfId="6121"/>
    <cellStyle name="Normal 3 2 2 2 2 3" xfId="6122"/>
    <cellStyle name="Normal 3 2 2 2 2 3 10" xfId="6123"/>
    <cellStyle name="Normal 3 2 2 2 2 3 11" xfId="6124"/>
    <cellStyle name="Normal 3 2 2 2 2 3 12" xfId="6125"/>
    <cellStyle name="Normal 3 2 2 2 2 3 13" xfId="6126"/>
    <cellStyle name="Normal 3 2 2 2 2 3 2" xfId="6127"/>
    <cellStyle name="Normal 3 2 2 2 2 3 2 10" xfId="6128"/>
    <cellStyle name="Normal 3 2 2 2 2 3 2 11" xfId="6129"/>
    <cellStyle name="Normal 3 2 2 2 2 3 2 12" xfId="6130"/>
    <cellStyle name="Normal 3 2 2 2 2 3 2 13" xfId="6131"/>
    <cellStyle name="Normal 3 2 2 2 2 3 2 2" xfId="6132"/>
    <cellStyle name="Normal 3 2 2 2 2 3 2 2 2" xfId="6133"/>
    <cellStyle name="Normal 3 2 2 2 2 3 2 2 2 2" xfId="6134"/>
    <cellStyle name="Normal 3 2 2 2 2 3 2 2 2 2 2" xfId="6135"/>
    <cellStyle name="Normal 3 2 2 2 2 3 2 2 2 2 2 2" xfId="6136"/>
    <cellStyle name="Normal 3 2 2 2 2 3 2 2 2 2 2 2 2" xfId="6137"/>
    <cellStyle name="Normal 3 2 2 2 2 3 2 2 2 2 2 3" xfId="6138"/>
    <cellStyle name="Normal 3 2 2 2 2 3 2 2 2 2 2 4" xfId="6139"/>
    <cellStyle name="Normal 3 2 2 2 2 3 2 2 2 2 3" xfId="6140"/>
    <cellStyle name="Normal 3 2 2 2 2 3 2 2 2 2 4" xfId="6141"/>
    <cellStyle name="Normal 3 2 2 2 2 3 2 2 2 3" xfId="6142"/>
    <cellStyle name="Normal 3 2 2 2 2 3 2 2 2 4" xfId="6143"/>
    <cellStyle name="Normal 3 2 2 2 2 3 2 2 2 5" xfId="6144"/>
    <cellStyle name="Normal 3 2 2 2 2 3 2 2 2 6" xfId="6145"/>
    <cellStyle name="Normal 3 2 2 2 2 3 2 2 2 7" xfId="6146"/>
    <cellStyle name="Normal 3 2 2 2 2 3 2 2 3" xfId="6147"/>
    <cellStyle name="Normal 3 2 2 2 2 3 2 2 3 2" xfId="6148"/>
    <cellStyle name="Normal 3 2 2 2 2 3 2 2 3 2 2" xfId="6149"/>
    <cellStyle name="Normal 3 2 2 2 2 3 2 2 3 2 3" xfId="6150"/>
    <cellStyle name="Normal 3 2 2 2 2 3 2 2 3 2 4" xfId="6151"/>
    <cellStyle name="Normal 3 2 2 2 2 3 2 2 3 3" xfId="6152"/>
    <cellStyle name="Normal 3 2 2 2 2 3 2 2 3 4" xfId="6153"/>
    <cellStyle name="Normal 3 2 2 2 2 3 2 2 4" xfId="6154"/>
    <cellStyle name="Normal 3 2 2 2 2 3 2 2 5" xfId="6155"/>
    <cellStyle name="Normal 3 2 2 2 2 3 2 2 6" xfId="6156"/>
    <cellStyle name="Normal 3 2 2 2 2 3 2 2 7" xfId="6157"/>
    <cellStyle name="Normal 3 2 2 2 2 3 2 3" xfId="6158"/>
    <cellStyle name="Normal 3 2 2 2 2 3 2 4" xfId="6159"/>
    <cellStyle name="Normal 3 2 2 2 2 3 2 5" xfId="6160"/>
    <cellStyle name="Normal 3 2 2 2 2 3 2 5 2" xfId="6161"/>
    <cellStyle name="Normal 3 2 2 2 2 3 2 5 2 2" xfId="6162"/>
    <cellStyle name="Normal 3 2 2 2 2 3 2 5 2 3" xfId="6163"/>
    <cellStyle name="Normal 3 2 2 2 2 3 2 5 2 4" xfId="6164"/>
    <cellStyle name="Normal 3 2 2 2 2 3 2 5 3" xfId="6165"/>
    <cellStyle name="Normal 3 2 2 2 2 3 2 5 4" xfId="6166"/>
    <cellStyle name="Normal 3 2 2 2 2 3 2 6" xfId="6167"/>
    <cellStyle name="Normal 3 2 2 2 2 3 2 7" xfId="6168"/>
    <cellStyle name="Normal 3 2 2 2 2 3 2 8" xfId="6169"/>
    <cellStyle name="Normal 3 2 2 2 2 3 2 9" xfId="6170"/>
    <cellStyle name="Normal 3 2 2 2 2 3 3" xfId="6171"/>
    <cellStyle name="Normal 3 2 2 2 2 3 3 2" xfId="6172"/>
    <cellStyle name="Normal 3 2 2 2 2 3 3 2 2" xfId="6173"/>
    <cellStyle name="Normal 3 2 2 2 2 3 3 2 2 2" xfId="6174"/>
    <cellStyle name="Normal 3 2 2 2 2 3 3 2 2 2 2" xfId="6175"/>
    <cellStyle name="Normal 3 2 2 2 2 3 3 2 2 2 2 2" xfId="6176"/>
    <cellStyle name="Normal 3 2 2 2 2 3 3 2 2 2 3" xfId="6177"/>
    <cellStyle name="Normal 3 2 2 2 2 3 3 2 2 2 4" xfId="6178"/>
    <cellStyle name="Normal 3 2 2 2 2 3 3 2 2 3" xfId="6179"/>
    <cellStyle name="Normal 3 2 2 2 2 3 3 2 2 4" xfId="6180"/>
    <cellStyle name="Normal 3 2 2 2 2 3 3 2 3" xfId="6181"/>
    <cellStyle name="Normal 3 2 2 2 2 3 3 2 4" xfId="6182"/>
    <cellStyle name="Normal 3 2 2 2 2 3 3 2 5" xfId="6183"/>
    <cellStyle name="Normal 3 2 2 2 2 3 3 2 6" xfId="6184"/>
    <cellStyle name="Normal 3 2 2 2 2 3 3 2 7" xfId="6185"/>
    <cellStyle name="Normal 3 2 2 2 2 3 3 3" xfId="6186"/>
    <cellStyle name="Normal 3 2 2 2 2 3 3 3 2" xfId="6187"/>
    <cellStyle name="Normal 3 2 2 2 2 3 3 3 2 2" xfId="6188"/>
    <cellStyle name="Normal 3 2 2 2 2 3 3 3 2 3" xfId="6189"/>
    <cellStyle name="Normal 3 2 2 2 2 3 3 3 2 4" xfId="6190"/>
    <cellStyle name="Normal 3 2 2 2 2 3 3 3 3" xfId="6191"/>
    <cellStyle name="Normal 3 2 2 2 2 3 3 3 4" xfId="6192"/>
    <cellStyle name="Normal 3 2 2 2 2 3 3 4" xfId="6193"/>
    <cellStyle name="Normal 3 2 2 2 2 3 3 5" xfId="6194"/>
    <cellStyle name="Normal 3 2 2 2 2 3 3 6" xfId="6195"/>
    <cellStyle name="Normal 3 2 2 2 2 3 3 7" xfId="6196"/>
    <cellStyle name="Normal 3 2 2 2 2 3 4" xfId="6197"/>
    <cellStyle name="Normal 3 2 2 2 2 3 5" xfId="6198"/>
    <cellStyle name="Normal 3 2 2 2 2 3 5 2" xfId="6199"/>
    <cellStyle name="Normal 3 2 2 2 2 3 5 2 2" xfId="6200"/>
    <cellStyle name="Normal 3 2 2 2 2 3 5 2 3" xfId="6201"/>
    <cellStyle name="Normal 3 2 2 2 2 3 5 2 4" xfId="6202"/>
    <cellStyle name="Normal 3 2 2 2 2 3 5 3" xfId="6203"/>
    <cellStyle name="Normal 3 2 2 2 2 3 5 4" xfId="6204"/>
    <cellStyle name="Normal 3 2 2 2 2 3 6" xfId="6205"/>
    <cellStyle name="Normal 3 2 2 2 2 3 7" xfId="6206"/>
    <cellStyle name="Normal 3 2 2 2 2 3 8" xfId="6207"/>
    <cellStyle name="Normal 3 2 2 2 2 3 9" xfId="6208"/>
    <cellStyle name="Normal 3 2 2 2 2 4" xfId="6209"/>
    <cellStyle name="Normal 3 2 2 2 2 5" xfId="6210"/>
    <cellStyle name="Normal 3 2 2 2 2 5 2" xfId="6211"/>
    <cellStyle name="Normal 3 2 2 2 2 5 2 2" xfId="6212"/>
    <cellStyle name="Normal 3 2 2 2 2 5 2 2 2" xfId="6213"/>
    <cellStyle name="Normal 3 2 2 2 2 5 2 2 2 2" xfId="6214"/>
    <cellStyle name="Normal 3 2 2 2 2 5 2 2 2 2 2" xfId="6215"/>
    <cellStyle name="Normal 3 2 2 2 2 5 2 2 2 3" xfId="6216"/>
    <cellStyle name="Normal 3 2 2 2 2 5 2 2 2 4" xfId="6217"/>
    <cellStyle name="Normal 3 2 2 2 2 5 2 2 3" xfId="6218"/>
    <cellStyle name="Normal 3 2 2 2 2 5 2 2 4" xfId="6219"/>
    <cellStyle name="Normal 3 2 2 2 2 5 2 3" xfId="6220"/>
    <cellStyle name="Normal 3 2 2 2 2 5 2 4" xfId="6221"/>
    <cellStyle name="Normal 3 2 2 2 2 5 2 5" xfId="6222"/>
    <cellStyle name="Normal 3 2 2 2 2 5 2 6" xfId="6223"/>
    <cellStyle name="Normal 3 2 2 2 2 5 2 7" xfId="6224"/>
    <cellStyle name="Normal 3 2 2 2 2 5 3" xfId="6225"/>
    <cellStyle name="Normal 3 2 2 2 2 5 3 2" xfId="6226"/>
    <cellStyle name="Normal 3 2 2 2 2 5 3 2 2" xfId="6227"/>
    <cellStyle name="Normal 3 2 2 2 2 5 3 2 3" xfId="6228"/>
    <cellStyle name="Normal 3 2 2 2 2 5 3 2 4" xfId="6229"/>
    <cellStyle name="Normal 3 2 2 2 2 5 3 3" xfId="6230"/>
    <cellStyle name="Normal 3 2 2 2 2 5 3 4" xfId="6231"/>
    <cellStyle name="Normal 3 2 2 2 2 5 4" xfId="6232"/>
    <cellStyle name="Normal 3 2 2 2 2 5 5" xfId="6233"/>
    <cellStyle name="Normal 3 2 2 2 2 5 6" xfId="6234"/>
    <cellStyle name="Normal 3 2 2 2 2 5 7" xfId="6235"/>
    <cellStyle name="Normal 3 2 2 2 2 6" xfId="6236"/>
    <cellStyle name="Normal 3 2 2 2 2 7" xfId="6237"/>
    <cellStyle name="Normal 3 2 2 2 2 8" xfId="6238"/>
    <cellStyle name="Normal 3 2 2 2 2 8 2" xfId="6239"/>
    <cellStyle name="Normal 3 2 2 2 2 8 2 2" xfId="6240"/>
    <cellStyle name="Normal 3 2 2 2 2 8 2 3" xfId="6241"/>
    <cellStyle name="Normal 3 2 2 2 2 8 2 4" xfId="6242"/>
    <cellStyle name="Normal 3 2 2 2 2 8 3" xfId="6243"/>
    <cellStyle name="Normal 3 2 2 2 2 8 4" xfId="6244"/>
    <cellStyle name="Normal 3 2 2 2 2 9" xfId="6245"/>
    <cellStyle name="Normal 3 2 2 2 3" xfId="6246"/>
    <cellStyle name="Normal 3 2 2 2 3 10" xfId="6247"/>
    <cellStyle name="Normal 3 2 2 2 3 11" xfId="6248"/>
    <cellStyle name="Normal 3 2 2 2 3 12" xfId="6249"/>
    <cellStyle name="Normal 3 2 2 2 3 13" xfId="6250"/>
    <cellStyle name="Normal 3 2 2 2 3 2" xfId="6251"/>
    <cellStyle name="Normal 3 2 2 2 3 3" xfId="6252"/>
    <cellStyle name="Normal 3 2 2 2 3 4" xfId="6253"/>
    <cellStyle name="Normal 3 2 2 2 3 5" xfId="6254"/>
    <cellStyle name="Normal 3 2 2 2 3 6" xfId="6255"/>
    <cellStyle name="Normal 3 2 2 2 3 7" xfId="6256"/>
    <cellStyle name="Normal 3 2 2 2 3 8" xfId="6257"/>
    <cellStyle name="Normal 3 2 2 2 3 9" xfId="6258"/>
    <cellStyle name="Normal 3 2 2 2 4" xfId="6259"/>
    <cellStyle name="Normal 3 2 2 2 4 10" xfId="6260"/>
    <cellStyle name="Normal 3 2 2 2 4 11" xfId="6261"/>
    <cellStyle name="Normal 3 2 2 2 4 12" xfId="6262"/>
    <cellStyle name="Normal 3 2 2 2 4 13" xfId="6263"/>
    <cellStyle name="Normal 3 2 2 2 4 2" xfId="6264"/>
    <cellStyle name="Normal 3 2 2 2 4 3" xfId="6265"/>
    <cellStyle name="Normal 3 2 2 2 4 4" xfId="6266"/>
    <cellStyle name="Normal 3 2 2 2 4 5" xfId="6267"/>
    <cellStyle name="Normal 3 2 2 2 4 6" xfId="6268"/>
    <cellStyle name="Normal 3 2 2 2 4 7" xfId="6269"/>
    <cellStyle name="Normal 3 2 2 2 4 8" xfId="6270"/>
    <cellStyle name="Normal 3 2 2 2 4 9" xfId="6271"/>
    <cellStyle name="Normal 3 2 2 2 5" xfId="6272"/>
    <cellStyle name="Normal 3 2 2 2 5 10" xfId="6273"/>
    <cellStyle name="Normal 3 2 2 2 5 11" xfId="6274"/>
    <cellStyle name="Normal 3 2 2 2 5 12" xfId="6275"/>
    <cellStyle name="Normal 3 2 2 2 5 13" xfId="6276"/>
    <cellStyle name="Normal 3 2 2 2 5 2" xfId="6277"/>
    <cellStyle name="Normal 3 2 2 2 5 2 10" xfId="6278"/>
    <cellStyle name="Normal 3 2 2 2 5 2 11" xfId="6279"/>
    <cellStyle name="Normal 3 2 2 2 5 2 12" xfId="6280"/>
    <cellStyle name="Normal 3 2 2 2 5 2 13" xfId="6281"/>
    <cellStyle name="Normal 3 2 2 2 5 2 2" xfId="6282"/>
    <cellStyle name="Normal 3 2 2 2 5 2 2 2" xfId="6283"/>
    <cellStyle name="Normal 3 2 2 2 5 2 2 2 2" xfId="6284"/>
    <cellStyle name="Normal 3 2 2 2 5 2 2 2 2 2" xfId="6285"/>
    <cellStyle name="Normal 3 2 2 2 5 2 2 2 2 2 2" xfId="6286"/>
    <cellStyle name="Normal 3 2 2 2 5 2 2 2 2 2 2 2" xfId="6287"/>
    <cellStyle name="Normal 3 2 2 2 5 2 2 2 2 2 3" xfId="6288"/>
    <cellStyle name="Normal 3 2 2 2 5 2 2 2 2 2 4" xfId="6289"/>
    <cellStyle name="Normal 3 2 2 2 5 2 2 2 2 3" xfId="6290"/>
    <cellStyle name="Normal 3 2 2 2 5 2 2 2 2 4" xfId="6291"/>
    <cellStyle name="Normal 3 2 2 2 5 2 2 2 3" xfId="6292"/>
    <cellStyle name="Normal 3 2 2 2 5 2 2 2 4" xfId="6293"/>
    <cellStyle name="Normal 3 2 2 2 5 2 2 2 5" xfId="6294"/>
    <cellStyle name="Normal 3 2 2 2 5 2 2 2 6" xfId="6295"/>
    <cellStyle name="Normal 3 2 2 2 5 2 2 2 7" xfId="6296"/>
    <cellStyle name="Normal 3 2 2 2 5 2 2 3" xfId="6297"/>
    <cellStyle name="Normal 3 2 2 2 5 2 2 3 2" xfId="6298"/>
    <cellStyle name="Normal 3 2 2 2 5 2 2 3 2 2" xfId="6299"/>
    <cellStyle name="Normal 3 2 2 2 5 2 2 3 2 3" xfId="6300"/>
    <cellStyle name="Normal 3 2 2 2 5 2 2 3 2 4" xfId="6301"/>
    <cellStyle name="Normal 3 2 2 2 5 2 2 3 3" xfId="6302"/>
    <cellStyle name="Normal 3 2 2 2 5 2 2 3 4" xfId="6303"/>
    <cellStyle name="Normal 3 2 2 2 5 2 2 4" xfId="6304"/>
    <cellStyle name="Normal 3 2 2 2 5 2 2 5" xfId="6305"/>
    <cellStyle name="Normal 3 2 2 2 5 2 2 6" xfId="6306"/>
    <cellStyle name="Normal 3 2 2 2 5 2 2 7" xfId="6307"/>
    <cellStyle name="Normal 3 2 2 2 5 2 3" xfId="6308"/>
    <cellStyle name="Normal 3 2 2 2 5 2 4" xfId="6309"/>
    <cellStyle name="Normal 3 2 2 2 5 2 5" xfId="6310"/>
    <cellStyle name="Normal 3 2 2 2 5 2 5 2" xfId="6311"/>
    <cellStyle name="Normal 3 2 2 2 5 2 5 2 2" xfId="6312"/>
    <cellStyle name="Normal 3 2 2 2 5 2 5 2 3" xfId="6313"/>
    <cellStyle name="Normal 3 2 2 2 5 2 5 2 4" xfId="6314"/>
    <cellStyle name="Normal 3 2 2 2 5 2 5 3" xfId="6315"/>
    <cellStyle name="Normal 3 2 2 2 5 2 5 4" xfId="6316"/>
    <cellStyle name="Normal 3 2 2 2 5 2 6" xfId="6317"/>
    <cellStyle name="Normal 3 2 2 2 5 2 7" xfId="6318"/>
    <cellStyle name="Normal 3 2 2 2 5 2 8" xfId="6319"/>
    <cellStyle name="Normal 3 2 2 2 5 2 9" xfId="6320"/>
    <cellStyle name="Normal 3 2 2 2 5 3" xfId="6321"/>
    <cellStyle name="Normal 3 2 2 2 5 3 2" xfId="6322"/>
    <cellStyle name="Normal 3 2 2 2 5 3 2 2" xfId="6323"/>
    <cellStyle name="Normal 3 2 2 2 5 3 2 2 2" xfId="6324"/>
    <cellStyle name="Normal 3 2 2 2 5 3 2 2 2 2" xfId="6325"/>
    <cellStyle name="Normal 3 2 2 2 5 3 2 2 2 2 2" xfId="6326"/>
    <cellStyle name="Normal 3 2 2 2 5 3 2 2 2 3" xfId="6327"/>
    <cellStyle name="Normal 3 2 2 2 5 3 2 2 2 4" xfId="6328"/>
    <cellStyle name="Normal 3 2 2 2 5 3 2 2 3" xfId="6329"/>
    <cellStyle name="Normal 3 2 2 2 5 3 2 2 4" xfId="6330"/>
    <cellStyle name="Normal 3 2 2 2 5 3 2 3" xfId="6331"/>
    <cellStyle name="Normal 3 2 2 2 5 3 2 4" xfId="6332"/>
    <cellStyle name="Normal 3 2 2 2 5 3 2 5" xfId="6333"/>
    <cellStyle name="Normal 3 2 2 2 5 3 2 6" xfId="6334"/>
    <cellStyle name="Normal 3 2 2 2 5 3 2 7" xfId="6335"/>
    <cellStyle name="Normal 3 2 2 2 5 3 3" xfId="6336"/>
    <cellStyle name="Normal 3 2 2 2 5 3 3 2" xfId="6337"/>
    <cellStyle name="Normal 3 2 2 2 5 3 3 2 2" xfId="6338"/>
    <cellStyle name="Normal 3 2 2 2 5 3 3 2 3" xfId="6339"/>
    <cellStyle name="Normal 3 2 2 2 5 3 3 2 4" xfId="6340"/>
    <cellStyle name="Normal 3 2 2 2 5 3 3 3" xfId="6341"/>
    <cellStyle name="Normal 3 2 2 2 5 3 3 4" xfId="6342"/>
    <cellStyle name="Normal 3 2 2 2 5 3 4" xfId="6343"/>
    <cellStyle name="Normal 3 2 2 2 5 3 5" xfId="6344"/>
    <cellStyle name="Normal 3 2 2 2 5 3 6" xfId="6345"/>
    <cellStyle name="Normal 3 2 2 2 5 3 7" xfId="6346"/>
    <cellStyle name="Normal 3 2 2 2 5 4" xfId="6347"/>
    <cellStyle name="Normal 3 2 2 2 5 5" xfId="6348"/>
    <cellStyle name="Normal 3 2 2 2 5 5 2" xfId="6349"/>
    <cellStyle name="Normal 3 2 2 2 5 5 2 2" xfId="6350"/>
    <cellStyle name="Normal 3 2 2 2 5 5 2 3" xfId="6351"/>
    <cellStyle name="Normal 3 2 2 2 5 5 2 4" xfId="6352"/>
    <cellStyle name="Normal 3 2 2 2 5 5 3" xfId="6353"/>
    <cellStyle name="Normal 3 2 2 2 5 5 4" xfId="6354"/>
    <cellStyle name="Normal 3 2 2 2 5 6" xfId="6355"/>
    <cellStyle name="Normal 3 2 2 2 5 7" xfId="6356"/>
    <cellStyle name="Normal 3 2 2 2 5 8" xfId="6357"/>
    <cellStyle name="Normal 3 2 2 2 5 9" xfId="6358"/>
    <cellStyle name="Normal 3 2 2 2 6" xfId="6359"/>
    <cellStyle name="Normal 3 2 2 2 6 10" xfId="6360"/>
    <cellStyle name="Normal 3 2 2 2 6 11" xfId="6361"/>
    <cellStyle name="Normal 3 2 2 2 6 12" xfId="6362"/>
    <cellStyle name="Normal 3 2 2 2 6 13" xfId="6363"/>
    <cellStyle name="Normal 3 2 2 2 6 2" xfId="6364"/>
    <cellStyle name="Normal 3 2 2 2 6 3" xfId="6365"/>
    <cellStyle name="Normal 3 2 2 2 6 4" xfId="6366"/>
    <cellStyle name="Normal 3 2 2 2 6 5" xfId="6367"/>
    <cellStyle name="Normal 3 2 2 2 6 6" xfId="6368"/>
    <cellStyle name="Normal 3 2 2 2 6 7" xfId="6369"/>
    <cellStyle name="Normal 3 2 2 2 6 8" xfId="6370"/>
    <cellStyle name="Normal 3 2 2 2 6 9" xfId="6371"/>
    <cellStyle name="Normal 3 2 2 2 7" xfId="6372"/>
    <cellStyle name="Normal 3 2 2 2 7 10" xfId="6373"/>
    <cellStyle name="Normal 3 2 2 2 7 11" xfId="6374"/>
    <cellStyle name="Normal 3 2 2 2 7 12" xfId="6375"/>
    <cellStyle name="Normal 3 2 2 2 7 13" xfId="6376"/>
    <cellStyle name="Normal 3 2 2 2 7 2" xfId="6377"/>
    <cellStyle name="Normal 3 2 2 2 7 3" xfId="6378"/>
    <cellStyle name="Normal 3 2 2 2 7 4" xfId="6379"/>
    <cellStyle name="Normal 3 2 2 2 7 5" xfId="6380"/>
    <cellStyle name="Normal 3 2 2 2 7 6" xfId="6381"/>
    <cellStyle name="Normal 3 2 2 2 7 7" xfId="6382"/>
    <cellStyle name="Normal 3 2 2 2 7 8" xfId="6383"/>
    <cellStyle name="Normal 3 2 2 2 7 9" xfId="6384"/>
    <cellStyle name="Normal 3 2 2 2 8" xfId="6385"/>
    <cellStyle name="Normal 3 2 2 2 8 2" xfId="6386"/>
    <cellStyle name="Normal 3 2 2 2 8 2 2" xfId="6387"/>
    <cellStyle name="Normal 3 2 2 2 8 2 2 2" xfId="6388"/>
    <cellStyle name="Normal 3 2 2 2 8 2 2 2 2" xfId="6389"/>
    <cellStyle name="Normal 3 2 2 2 8 2 2 2 2 2" xfId="6390"/>
    <cellStyle name="Normal 3 2 2 2 8 2 2 2 3" xfId="6391"/>
    <cellStyle name="Normal 3 2 2 2 8 2 2 2 4" xfId="6392"/>
    <cellStyle name="Normal 3 2 2 2 8 2 2 3" xfId="6393"/>
    <cellStyle name="Normal 3 2 2 2 8 2 2 4" xfId="6394"/>
    <cellStyle name="Normal 3 2 2 2 8 2 3" xfId="6395"/>
    <cellStyle name="Normal 3 2 2 2 8 2 4" xfId="6396"/>
    <cellStyle name="Normal 3 2 2 2 8 2 5" xfId="6397"/>
    <cellStyle name="Normal 3 2 2 2 8 2 6" xfId="6398"/>
    <cellStyle name="Normal 3 2 2 2 8 2 7" xfId="6399"/>
    <cellStyle name="Normal 3 2 2 2 8 3" xfId="6400"/>
    <cellStyle name="Normal 3 2 2 2 8 3 2" xfId="6401"/>
    <cellStyle name="Normal 3 2 2 2 8 3 2 2" xfId="6402"/>
    <cellStyle name="Normal 3 2 2 2 8 3 2 3" xfId="6403"/>
    <cellStyle name="Normal 3 2 2 2 8 3 2 4" xfId="6404"/>
    <cellStyle name="Normal 3 2 2 2 8 3 3" xfId="6405"/>
    <cellStyle name="Normal 3 2 2 2 8 3 4" xfId="6406"/>
    <cellStyle name="Normal 3 2 2 2 8 4" xfId="6407"/>
    <cellStyle name="Normal 3 2 2 2 8 5" xfId="6408"/>
    <cellStyle name="Normal 3 2 2 2 8 6" xfId="6409"/>
    <cellStyle name="Normal 3 2 2 2 8 7" xfId="6410"/>
    <cellStyle name="Normal 3 2 2 2 9" xfId="6411"/>
    <cellStyle name="Normal 3 2 2 3" xfId="6412"/>
    <cellStyle name="Normal 3 2 2 3 10" xfId="6413"/>
    <cellStyle name="Normal 3 2 2 3 11" xfId="6414"/>
    <cellStyle name="Normal 3 2 2 3 12" xfId="6415"/>
    <cellStyle name="Normal 3 2 2 3 13" xfId="6416"/>
    <cellStyle name="Normal 3 2 2 3 14" xfId="6417"/>
    <cellStyle name="Normal 3 2 2 3 15" xfId="6418"/>
    <cellStyle name="Normal 3 2 2 3 16" xfId="6419"/>
    <cellStyle name="Normal 3 2 2 3 2" xfId="6420"/>
    <cellStyle name="Normal 3 2 2 3 2 10" xfId="6421"/>
    <cellStyle name="Normal 3 2 2 3 2 11" xfId="6422"/>
    <cellStyle name="Normal 3 2 2 3 2 12" xfId="6423"/>
    <cellStyle name="Normal 3 2 2 3 2 13" xfId="6424"/>
    <cellStyle name="Normal 3 2 2 3 2 14" xfId="6425"/>
    <cellStyle name="Normal 3 2 2 3 2 15" xfId="6426"/>
    <cellStyle name="Normal 3 2 2 3 2 16" xfId="6427"/>
    <cellStyle name="Normal 3 2 2 3 2 2" xfId="6428"/>
    <cellStyle name="Normal 3 2 2 3 2 2 10" xfId="6429"/>
    <cellStyle name="Normal 3 2 2 3 2 2 11" xfId="6430"/>
    <cellStyle name="Normal 3 2 2 3 2 2 12" xfId="6431"/>
    <cellStyle name="Normal 3 2 2 3 2 2 13" xfId="6432"/>
    <cellStyle name="Normal 3 2 2 3 2 2 2" xfId="6433"/>
    <cellStyle name="Normal 3 2 2 3 2 2 2 10" xfId="6434"/>
    <cellStyle name="Normal 3 2 2 3 2 2 2 11" xfId="6435"/>
    <cellStyle name="Normal 3 2 2 3 2 2 2 12" xfId="6436"/>
    <cellStyle name="Normal 3 2 2 3 2 2 2 13" xfId="6437"/>
    <cellStyle name="Normal 3 2 2 3 2 2 2 2" xfId="6438"/>
    <cellStyle name="Normal 3 2 2 3 2 2 2 2 2" xfId="6439"/>
    <cellStyle name="Normal 3 2 2 3 2 2 2 2 2 2" xfId="6440"/>
    <cellStyle name="Normal 3 2 2 3 2 2 2 2 2 2 2" xfId="6441"/>
    <cellStyle name="Normal 3 2 2 3 2 2 2 2 2 2 2 2" xfId="6442"/>
    <cellStyle name="Normal 3 2 2 3 2 2 2 2 2 2 2 2 2" xfId="6443"/>
    <cellStyle name="Normal 3 2 2 3 2 2 2 2 2 2 2 3" xfId="6444"/>
    <cellStyle name="Normal 3 2 2 3 2 2 2 2 2 2 2 4" xfId="6445"/>
    <cellStyle name="Normal 3 2 2 3 2 2 2 2 2 2 3" xfId="6446"/>
    <cellStyle name="Normal 3 2 2 3 2 2 2 2 2 2 4" xfId="6447"/>
    <cellStyle name="Normal 3 2 2 3 2 2 2 2 2 3" xfId="6448"/>
    <cellStyle name="Normal 3 2 2 3 2 2 2 2 2 4" xfId="6449"/>
    <cellStyle name="Normal 3 2 2 3 2 2 2 2 2 5" xfId="6450"/>
    <cellStyle name="Normal 3 2 2 3 2 2 2 2 2 6" xfId="6451"/>
    <cellStyle name="Normal 3 2 2 3 2 2 2 2 2 7" xfId="6452"/>
    <cellStyle name="Normal 3 2 2 3 2 2 2 2 3" xfId="6453"/>
    <cellStyle name="Normal 3 2 2 3 2 2 2 2 3 2" xfId="6454"/>
    <cellStyle name="Normal 3 2 2 3 2 2 2 2 3 2 2" xfId="6455"/>
    <cellStyle name="Normal 3 2 2 3 2 2 2 2 3 2 3" xfId="6456"/>
    <cellStyle name="Normal 3 2 2 3 2 2 2 2 3 2 4" xfId="6457"/>
    <cellStyle name="Normal 3 2 2 3 2 2 2 2 3 3" xfId="6458"/>
    <cellStyle name="Normal 3 2 2 3 2 2 2 2 3 4" xfId="6459"/>
    <cellStyle name="Normal 3 2 2 3 2 2 2 2 4" xfId="6460"/>
    <cellStyle name="Normal 3 2 2 3 2 2 2 2 5" xfId="6461"/>
    <cellStyle name="Normal 3 2 2 3 2 2 2 2 6" xfId="6462"/>
    <cellStyle name="Normal 3 2 2 3 2 2 2 2 7" xfId="6463"/>
    <cellStyle name="Normal 3 2 2 3 2 2 2 3" xfId="6464"/>
    <cellStyle name="Normal 3 2 2 3 2 2 2 4" xfId="6465"/>
    <cellStyle name="Normal 3 2 2 3 2 2 2 5" xfId="6466"/>
    <cellStyle name="Normal 3 2 2 3 2 2 2 5 2" xfId="6467"/>
    <cellStyle name="Normal 3 2 2 3 2 2 2 5 2 2" xfId="6468"/>
    <cellStyle name="Normal 3 2 2 3 2 2 2 5 2 3" xfId="6469"/>
    <cellStyle name="Normal 3 2 2 3 2 2 2 5 2 4" xfId="6470"/>
    <cellStyle name="Normal 3 2 2 3 2 2 2 5 3" xfId="6471"/>
    <cellStyle name="Normal 3 2 2 3 2 2 2 5 4" xfId="6472"/>
    <cellStyle name="Normal 3 2 2 3 2 2 2 6" xfId="6473"/>
    <cellStyle name="Normal 3 2 2 3 2 2 2 7" xfId="6474"/>
    <cellStyle name="Normal 3 2 2 3 2 2 2 8" xfId="6475"/>
    <cellStyle name="Normal 3 2 2 3 2 2 2 9" xfId="6476"/>
    <cellStyle name="Normal 3 2 2 3 2 2 3" xfId="6477"/>
    <cellStyle name="Normal 3 2 2 3 2 2 3 2" xfId="6478"/>
    <cellStyle name="Normal 3 2 2 3 2 2 3 2 2" xfId="6479"/>
    <cellStyle name="Normal 3 2 2 3 2 2 3 2 2 2" xfId="6480"/>
    <cellStyle name="Normal 3 2 2 3 2 2 3 2 2 2 2" xfId="6481"/>
    <cellStyle name="Normal 3 2 2 3 2 2 3 2 2 2 2 2" xfId="6482"/>
    <cellStyle name="Normal 3 2 2 3 2 2 3 2 2 2 3" xfId="6483"/>
    <cellStyle name="Normal 3 2 2 3 2 2 3 2 2 2 4" xfId="6484"/>
    <cellStyle name="Normal 3 2 2 3 2 2 3 2 2 3" xfId="6485"/>
    <cellStyle name="Normal 3 2 2 3 2 2 3 2 2 4" xfId="6486"/>
    <cellStyle name="Normal 3 2 2 3 2 2 3 2 3" xfId="6487"/>
    <cellStyle name="Normal 3 2 2 3 2 2 3 2 4" xfId="6488"/>
    <cellStyle name="Normal 3 2 2 3 2 2 3 2 5" xfId="6489"/>
    <cellStyle name="Normal 3 2 2 3 2 2 3 2 6" xfId="6490"/>
    <cellStyle name="Normal 3 2 2 3 2 2 3 2 7" xfId="6491"/>
    <cellStyle name="Normal 3 2 2 3 2 2 3 3" xfId="6492"/>
    <cellStyle name="Normal 3 2 2 3 2 2 3 3 2" xfId="6493"/>
    <cellStyle name="Normal 3 2 2 3 2 2 3 3 2 2" xfId="6494"/>
    <cellStyle name="Normal 3 2 2 3 2 2 3 3 2 3" xfId="6495"/>
    <cellStyle name="Normal 3 2 2 3 2 2 3 3 2 4" xfId="6496"/>
    <cellStyle name="Normal 3 2 2 3 2 2 3 3 3" xfId="6497"/>
    <cellStyle name="Normal 3 2 2 3 2 2 3 3 4" xfId="6498"/>
    <cellStyle name="Normal 3 2 2 3 2 2 3 4" xfId="6499"/>
    <cellStyle name="Normal 3 2 2 3 2 2 3 5" xfId="6500"/>
    <cellStyle name="Normal 3 2 2 3 2 2 3 6" xfId="6501"/>
    <cellStyle name="Normal 3 2 2 3 2 2 3 7" xfId="6502"/>
    <cellStyle name="Normal 3 2 2 3 2 2 4" xfId="6503"/>
    <cellStyle name="Normal 3 2 2 3 2 2 5" xfId="6504"/>
    <cellStyle name="Normal 3 2 2 3 2 2 5 2" xfId="6505"/>
    <cellStyle name="Normal 3 2 2 3 2 2 5 2 2" xfId="6506"/>
    <cellStyle name="Normal 3 2 2 3 2 2 5 2 3" xfId="6507"/>
    <cellStyle name="Normal 3 2 2 3 2 2 5 2 4" xfId="6508"/>
    <cellStyle name="Normal 3 2 2 3 2 2 5 3" xfId="6509"/>
    <cellStyle name="Normal 3 2 2 3 2 2 5 4" xfId="6510"/>
    <cellStyle name="Normal 3 2 2 3 2 2 6" xfId="6511"/>
    <cellStyle name="Normal 3 2 2 3 2 2 7" xfId="6512"/>
    <cellStyle name="Normal 3 2 2 3 2 2 8" xfId="6513"/>
    <cellStyle name="Normal 3 2 2 3 2 2 9" xfId="6514"/>
    <cellStyle name="Normal 3 2 2 3 2 3" xfId="6515"/>
    <cellStyle name="Normal 3 2 2 3 2 4" xfId="6516"/>
    <cellStyle name="Normal 3 2 2 3 2 5" xfId="6517"/>
    <cellStyle name="Normal 3 2 2 3 2 5 2" xfId="6518"/>
    <cellStyle name="Normal 3 2 2 3 2 5 2 2" xfId="6519"/>
    <cellStyle name="Normal 3 2 2 3 2 5 2 2 2" xfId="6520"/>
    <cellStyle name="Normal 3 2 2 3 2 5 2 2 2 2" xfId="6521"/>
    <cellStyle name="Normal 3 2 2 3 2 5 2 2 2 2 2" xfId="6522"/>
    <cellStyle name="Normal 3 2 2 3 2 5 2 2 2 3" xfId="6523"/>
    <cellStyle name="Normal 3 2 2 3 2 5 2 2 2 4" xfId="6524"/>
    <cellStyle name="Normal 3 2 2 3 2 5 2 2 3" xfId="6525"/>
    <cellStyle name="Normal 3 2 2 3 2 5 2 2 4" xfId="6526"/>
    <cellStyle name="Normal 3 2 2 3 2 5 2 3" xfId="6527"/>
    <cellStyle name="Normal 3 2 2 3 2 5 2 4" xfId="6528"/>
    <cellStyle name="Normal 3 2 2 3 2 5 2 5" xfId="6529"/>
    <cellStyle name="Normal 3 2 2 3 2 5 2 6" xfId="6530"/>
    <cellStyle name="Normal 3 2 2 3 2 5 2 7" xfId="6531"/>
    <cellStyle name="Normal 3 2 2 3 2 5 3" xfId="6532"/>
    <cellStyle name="Normal 3 2 2 3 2 5 3 2" xfId="6533"/>
    <cellStyle name="Normal 3 2 2 3 2 5 3 2 2" xfId="6534"/>
    <cellStyle name="Normal 3 2 2 3 2 5 3 2 3" xfId="6535"/>
    <cellStyle name="Normal 3 2 2 3 2 5 3 2 4" xfId="6536"/>
    <cellStyle name="Normal 3 2 2 3 2 5 3 3" xfId="6537"/>
    <cellStyle name="Normal 3 2 2 3 2 5 3 4" xfId="6538"/>
    <cellStyle name="Normal 3 2 2 3 2 5 4" xfId="6539"/>
    <cellStyle name="Normal 3 2 2 3 2 5 5" xfId="6540"/>
    <cellStyle name="Normal 3 2 2 3 2 5 6" xfId="6541"/>
    <cellStyle name="Normal 3 2 2 3 2 5 7" xfId="6542"/>
    <cellStyle name="Normal 3 2 2 3 2 6" xfId="6543"/>
    <cellStyle name="Normal 3 2 2 3 2 7" xfId="6544"/>
    <cellStyle name="Normal 3 2 2 3 2 8" xfId="6545"/>
    <cellStyle name="Normal 3 2 2 3 2 8 2" xfId="6546"/>
    <cellStyle name="Normal 3 2 2 3 2 8 2 2" xfId="6547"/>
    <cellStyle name="Normal 3 2 2 3 2 8 2 3" xfId="6548"/>
    <cellStyle name="Normal 3 2 2 3 2 8 2 4" xfId="6549"/>
    <cellStyle name="Normal 3 2 2 3 2 8 3" xfId="6550"/>
    <cellStyle name="Normal 3 2 2 3 2 8 4" xfId="6551"/>
    <cellStyle name="Normal 3 2 2 3 2 9" xfId="6552"/>
    <cellStyle name="Normal 3 2 2 3 3" xfId="6553"/>
    <cellStyle name="Normal 3 2 2 3 3 10" xfId="6554"/>
    <cellStyle name="Normal 3 2 2 3 3 11" xfId="6555"/>
    <cellStyle name="Normal 3 2 2 3 3 12" xfId="6556"/>
    <cellStyle name="Normal 3 2 2 3 3 13" xfId="6557"/>
    <cellStyle name="Normal 3 2 2 3 3 2" xfId="6558"/>
    <cellStyle name="Normal 3 2 2 3 3 2 10" xfId="6559"/>
    <cellStyle name="Normal 3 2 2 3 3 2 11" xfId="6560"/>
    <cellStyle name="Normal 3 2 2 3 3 2 12" xfId="6561"/>
    <cellStyle name="Normal 3 2 2 3 3 2 13" xfId="6562"/>
    <cellStyle name="Normal 3 2 2 3 3 2 2" xfId="6563"/>
    <cellStyle name="Normal 3 2 2 3 3 2 2 2" xfId="6564"/>
    <cellStyle name="Normal 3 2 2 3 3 2 2 2 2" xfId="6565"/>
    <cellStyle name="Normal 3 2 2 3 3 2 2 2 2 2" xfId="6566"/>
    <cellStyle name="Normal 3 2 2 3 3 2 2 2 2 2 2" xfId="6567"/>
    <cellStyle name="Normal 3 2 2 3 3 2 2 2 2 2 2 2" xfId="6568"/>
    <cellStyle name="Normal 3 2 2 3 3 2 2 2 2 2 3" xfId="6569"/>
    <cellStyle name="Normal 3 2 2 3 3 2 2 2 2 2 4" xfId="6570"/>
    <cellStyle name="Normal 3 2 2 3 3 2 2 2 2 3" xfId="6571"/>
    <cellStyle name="Normal 3 2 2 3 3 2 2 2 2 4" xfId="6572"/>
    <cellStyle name="Normal 3 2 2 3 3 2 2 2 3" xfId="6573"/>
    <cellStyle name="Normal 3 2 2 3 3 2 2 2 4" xfId="6574"/>
    <cellStyle name="Normal 3 2 2 3 3 2 2 2 5" xfId="6575"/>
    <cellStyle name="Normal 3 2 2 3 3 2 2 2 6" xfId="6576"/>
    <cellStyle name="Normal 3 2 2 3 3 2 2 2 7" xfId="6577"/>
    <cellStyle name="Normal 3 2 2 3 3 2 2 3" xfId="6578"/>
    <cellStyle name="Normal 3 2 2 3 3 2 2 3 2" xfId="6579"/>
    <cellStyle name="Normal 3 2 2 3 3 2 2 3 2 2" xfId="6580"/>
    <cellStyle name="Normal 3 2 2 3 3 2 2 3 2 3" xfId="6581"/>
    <cellStyle name="Normal 3 2 2 3 3 2 2 3 2 4" xfId="6582"/>
    <cellStyle name="Normal 3 2 2 3 3 2 2 3 3" xfId="6583"/>
    <cellStyle name="Normal 3 2 2 3 3 2 2 3 4" xfId="6584"/>
    <cellStyle name="Normal 3 2 2 3 3 2 2 4" xfId="6585"/>
    <cellStyle name="Normal 3 2 2 3 3 2 2 5" xfId="6586"/>
    <cellStyle name="Normal 3 2 2 3 3 2 2 6" xfId="6587"/>
    <cellStyle name="Normal 3 2 2 3 3 2 2 7" xfId="6588"/>
    <cellStyle name="Normal 3 2 2 3 3 2 3" xfId="6589"/>
    <cellStyle name="Normal 3 2 2 3 3 2 4" xfId="6590"/>
    <cellStyle name="Normal 3 2 2 3 3 2 5" xfId="6591"/>
    <cellStyle name="Normal 3 2 2 3 3 2 5 2" xfId="6592"/>
    <cellStyle name="Normal 3 2 2 3 3 2 5 2 2" xfId="6593"/>
    <cellStyle name="Normal 3 2 2 3 3 2 5 2 3" xfId="6594"/>
    <cellStyle name="Normal 3 2 2 3 3 2 5 2 4" xfId="6595"/>
    <cellStyle name="Normal 3 2 2 3 3 2 5 3" xfId="6596"/>
    <cellStyle name="Normal 3 2 2 3 3 2 5 4" xfId="6597"/>
    <cellStyle name="Normal 3 2 2 3 3 2 6" xfId="6598"/>
    <cellStyle name="Normal 3 2 2 3 3 2 7" xfId="6599"/>
    <cellStyle name="Normal 3 2 2 3 3 2 8" xfId="6600"/>
    <cellStyle name="Normal 3 2 2 3 3 2 9" xfId="6601"/>
    <cellStyle name="Normal 3 2 2 3 3 3" xfId="6602"/>
    <cellStyle name="Normal 3 2 2 3 3 3 2" xfId="6603"/>
    <cellStyle name="Normal 3 2 2 3 3 3 2 2" xfId="6604"/>
    <cellStyle name="Normal 3 2 2 3 3 3 2 2 2" xfId="6605"/>
    <cellStyle name="Normal 3 2 2 3 3 3 2 2 2 2" xfId="6606"/>
    <cellStyle name="Normal 3 2 2 3 3 3 2 2 2 2 2" xfId="6607"/>
    <cellStyle name="Normal 3 2 2 3 3 3 2 2 2 3" xfId="6608"/>
    <cellStyle name="Normal 3 2 2 3 3 3 2 2 2 4" xfId="6609"/>
    <cellStyle name="Normal 3 2 2 3 3 3 2 2 3" xfId="6610"/>
    <cellStyle name="Normal 3 2 2 3 3 3 2 2 4" xfId="6611"/>
    <cellStyle name="Normal 3 2 2 3 3 3 2 3" xfId="6612"/>
    <cellStyle name="Normal 3 2 2 3 3 3 2 4" xfId="6613"/>
    <cellStyle name="Normal 3 2 2 3 3 3 2 5" xfId="6614"/>
    <cellStyle name="Normal 3 2 2 3 3 3 2 6" xfId="6615"/>
    <cellStyle name="Normal 3 2 2 3 3 3 2 7" xfId="6616"/>
    <cellStyle name="Normal 3 2 2 3 3 3 3" xfId="6617"/>
    <cellStyle name="Normal 3 2 2 3 3 3 3 2" xfId="6618"/>
    <cellStyle name="Normal 3 2 2 3 3 3 3 2 2" xfId="6619"/>
    <cellStyle name="Normal 3 2 2 3 3 3 3 2 3" xfId="6620"/>
    <cellStyle name="Normal 3 2 2 3 3 3 3 2 4" xfId="6621"/>
    <cellStyle name="Normal 3 2 2 3 3 3 3 3" xfId="6622"/>
    <cellStyle name="Normal 3 2 2 3 3 3 3 4" xfId="6623"/>
    <cellStyle name="Normal 3 2 2 3 3 3 4" xfId="6624"/>
    <cellStyle name="Normal 3 2 2 3 3 3 5" xfId="6625"/>
    <cellStyle name="Normal 3 2 2 3 3 3 6" xfId="6626"/>
    <cellStyle name="Normal 3 2 2 3 3 3 7" xfId="6627"/>
    <cellStyle name="Normal 3 2 2 3 3 4" xfId="6628"/>
    <cellStyle name="Normal 3 2 2 3 3 5" xfId="6629"/>
    <cellStyle name="Normal 3 2 2 3 3 5 2" xfId="6630"/>
    <cellStyle name="Normal 3 2 2 3 3 5 2 2" xfId="6631"/>
    <cellStyle name="Normal 3 2 2 3 3 5 2 3" xfId="6632"/>
    <cellStyle name="Normal 3 2 2 3 3 5 2 4" xfId="6633"/>
    <cellStyle name="Normal 3 2 2 3 3 5 3" xfId="6634"/>
    <cellStyle name="Normal 3 2 2 3 3 5 4" xfId="6635"/>
    <cellStyle name="Normal 3 2 2 3 3 6" xfId="6636"/>
    <cellStyle name="Normal 3 2 2 3 3 7" xfId="6637"/>
    <cellStyle name="Normal 3 2 2 3 3 8" xfId="6638"/>
    <cellStyle name="Normal 3 2 2 3 3 9" xfId="6639"/>
    <cellStyle name="Normal 3 2 2 3 4" xfId="6640"/>
    <cellStyle name="Normal 3 2 2 3 4 10" xfId="6641"/>
    <cellStyle name="Normal 3 2 2 3 4 11" xfId="6642"/>
    <cellStyle name="Normal 3 2 2 3 4 12" xfId="6643"/>
    <cellStyle name="Normal 3 2 2 3 4 13" xfId="6644"/>
    <cellStyle name="Normal 3 2 2 3 4 2" xfId="6645"/>
    <cellStyle name="Normal 3 2 2 3 4 3" xfId="6646"/>
    <cellStyle name="Normal 3 2 2 3 4 4" xfId="6647"/>
    <cellStyle name="Normal 3 2 2 3 4 5" xfId="6648"/>
    <cellStyle name="Normal 3 2 2 3 4 6" xfId="6649"/>
    <cellStyle name="Normal 3 2 2 3 4 7" xfId="6650"/>
    <cellStyle name="Normal 3 2 2 3 4 8" xfId="6651"/>
    <cellStyle name="Normal 3 2 2 3 4 9" xfId="6652"/>
    <cellStyle name="Normal 3 2 2 3 5" xfId="6653"/>
    <cellStyle name="Normal 3 2 2 3 5 2" xfId="6654"/>
    <cellStyle name="Normal 3 2 2 3 5 2 2" xfId="6655"/>
    <cellStyle name="Normal 3 2 2 3 5 2 2 2" xfId="6656"/>
    <cellStyle name="Normal 3 2 2 3 5 2 2 2 2" xfId="6657"/>
    <cellStyle name="Normal 3 2 2 3 5 2 2 2 2 2" xfId="6658"/>
    <cellStyle name="Normal 3 2 2 3 5 2 2 2 3" xfId="6659"/>
    <cellStyle name="Normal 3 2 2 3 5 2 2 2 4" xfId="6660"/>
    <cellStyle name="Normal 3 2 2 3 5 2 2 3" xfId="6661"/>
    <cellStyle name="Normal 3 2 2 3 5 2 2 4" xfId="6662"/>
    <cellStyle name="Normal 3 2 2 3 5 2 3" xfId="6663"/>
    <cellStyle name="Normal 3 2 2 3 5 2 4" xfId="6664"/>
    <cellStyle name="Normal 3 2 2 3 5 2 5" xfId="6665"/>
    <cellStyle name="Normal 3 2 2 3 5 2 6" xfId="6666"/>
    <cellStyle name="Normal 3 2 2 3 5 2 7" xfId="6667"/>
    <cellStyle name="Normal 3 2 2 3 5 3" xfId="6668"/>
    <cellStyle name="Normal 3 2 2 3 5 3 2" xfId="6669"/>
    <cellStyle name="Normal 3 2 2 3 5 3 2 2" xfId="6670"/>
    <cellStyle name="Normal 3 2 2 3 5 3 2 3" xfId="6671"/>
    <cellStyle name="Normal 3 2 2 3 5 3 2 4" xfId="6672"/>
    <cellStyle name="Normal 3 2 2 3 5 3 3" xfId="6673"/>
    <cellStyle name="Normal 3 2 2 3 5 3 4" xfId="6674"/>
    <cellStyle name="Normal 3 2 2 3 5 4" xfId="6675"/>
    <cellStyle name="Normal 3 2 2 3 5 5" xfId="6676"/>
    <cellStyle name="Normal 3 2 2 3 5 6" xfId="6677"/>
    <cellStyle name="Normal 3 2 2 3 5 7" xfId="6678"/>
    <cellStyle name="Normal 3 2 2 3 6" xfId="6679"/>
    <cellStyle name="Normal 3 2 2 3 7" xfId="6680"/>
    <cellStyle name="Normal 3 2 2 3 8" xfId="6681"/>
    <cellStyle name="Normal 3 2 2 3 8 2" xfId="6682"/>
    <cellStyle name="Normal 3 2 2 3 8 2 2" xfId="6683"/>
    <cellStyle name="Normal 3 2 2 3 8 2 3" xfId="6684"/>
    <cellStyle name="Normal 3 2 2 3 8 2 4" xfId="6685"/>
    <cellStyle name="Normal 3 2 2 3 8 3" xfId="6686"/>
    <cellStyle name="Normal 3 2 2 3 8 4" xfId="6687"/>
    <cellStyle name="Normal 3 2 2 3 9" xfId="6688"/>
    <cellStyle name="Normal 3 2 2 4" xfId="6689"/>
    <cellStyle name="Normal 3 2 2 5" xfId="6690"/>
    <cellStyle name="Normal 3 2 2 5 10" xfId="6691"/>
    <cellStyle name="Normal 3 2 2 5 11" xfId="6692"/>
    <cellStyle name="Normal 3 2 2 5 12" xfId="6693"/>
    <cellStyle name="Normal 3 2 2 5 13" xfId="6694"/>
    <cellStyle name="Normal 3 2 2 5 2" xfId="6695"/>
    <cellStyle name="Normal 3 2 2 5 2 10" xfId="6696"/>
    <cellStyle name="Normal 3 2 2 5 2 11" xfId="6697"/>
    <cellStyle name="Normal 3 2 2 5 2 12" xfId="6698"/>
    <cellStyle name="Normal 3 2 2 5 2 13" xfId="6699"/>
    <cellStyle name="Normal 3 2 2 5 2 2" xfId="6700"/>
    <cellStyle name="Normal 3 2 2 5 2 2 2" xfId="6701"/>
    <cellStyle name="Normal 3 2 2 5 2 2 2 2" xfId="6702"/>
    <cellStyle name="Normal 3 2 2 5 2 2 2 2 2" xfId="6703"/>
    <cellStyle name="Normal 3 2 2 5 2 2 2 2 2 2" xfId="6704"/>
    <cellStyle name="Normal 3 2 2 5 2 2 2 2 2 2 2" xfId="6705"/>
    <cellStyle name="Normal 3 2 2 5 2 2 2 2 2 3" xfId="6706"/>
    <cellStyle name="Normal 3 2 2 5 2 2 2 2 2 4" xfId="6707"/>
    <cellStyle name="Normal 3 2 2 5 2 2 2 2 3" xfId="6708"/>
    <cellStyle name="Normal 3 2 2 5 2 2 2 2 4" xfId="6709"/>
    <cellStyle name="Normal 3 2 2 5 2 2 2 3" xfId="6710"/>
    <cellStyle name="Normal 3 2 2 5 2 2 2 4" xfId="6711"/>
    <cellStyle name="Normal 3 2 2 5 2 2 2 5" xfId="6712"/>
    <cellStyle name="Normal 3 2 2 5 2 2 2 6" xfId="6713"/>
    <cellStyle name="Normal 3 2 2 5 2 2 2 7" xfId="6714"/>
    <cellStyle name="Normal 3 2 2 5 2 2 3" xfId="6715"/>
    <cellStyle name="Normal 3 2 2 5 2 2 3 2" xfId="6716"/>
    <cellStyle name="Normal 3 2 2 5 2 2 3 2 2" xfId="6717"/>
    <cellStyle name="Normal 3 2 2 5 2 2 3 2 3" xfId="6718"/>
    <cellStyle name="Normal 3 2 2 5 2 2 3 2 4" xfId="6719"/>
    <cellStyle name="Normal 3 2 2 5 2 2 3 3" xfId="6720"/>
    <cellStyle name="Normal 3 2 2 5 2 2 3 4" xfId="6721"/>
    <cellStyle name="Normal 3 2 2 5 2 2 4" xfId="6722"/>
    <cellStyle name="Normal 3 2 2 5 2 2 5" xfId="6723"/>
    <cellStyle name="Normal 3 2 2 5 2 2 6" xfId="6724"/>
    <cellStyle name="Normal 3 2 2 5 2 2 7" xfId="6725"/>
    <cellStyle name="Normal 3 2 2 5 2 3" xfId="6726"/>
    <cellStyle name="Normal 3 2 2 5 2 4" xfId="6727"/>
    <cellStyle name="Normal 3 2 2 5 2 5" xfId="6728"/>
    <cellStyle name="Normal 3 2 2 5 2 5 2" xfId="6729"/>
    <cellStyle name="Normal 3 2 2 5 2 5 2 2" xfId="6730"/>
    <cellStyle name="Normal 3 2 2 5 2 5 2 3" xfId="6731"/>
    <cellStyle name="Normal 3 2 2 5 2 5 2 4" xfId="6732"/>
    <cellStyle name="Normal 3 2 2 5 2 5 3" xfId="6733"/>
    <cellStyle name="Normal 3 2 2 5 2 5 4" xfId="6734"/>
    <cellStyle name="Normal 3 2 2 5 2 6" xfId="6735"/>
    <cellStyle name="Normal 3 2 2 5 2 7" xfId="6736"/>
    <cellStyle name="Normal 3 2 2 5 2 8" xfId="6737"/>
    <cellStyle name="Normal 3 2 2 5 2 9" xfId="6738"/>
    <cellStyle name="Normal 3 2 2 5 3" xfId="6739"/>
    <cellStyle name="Normal 3 2 2 5 3 2" xfId="6740"/>
    <cellStyle name="Normal 3 2 2 5 3 2 2" xfId="6741"/>
    <cellStyle name="Normal 3 2 2 5 3 2 2 2" xfId="6742"/>
    <cellStyle name="Normal 3 2 2 5 3 2 2 2 2" xfId="6743"/>
    <cellStyle name="Normal 3 2 2 5 3 2 2 2 2 2" xfId="6744"/>
    <cellStyle name="Normal 3 2 2 5 3 2 2 2 3" xfId="6745"/>
    <cellStyle name="Normal 3 2 2 5 3 2 2 2 4" xfId="6746"/>
    <cellStyle name="Normal 3 2 2 5 3 2 2 3" xfId="6747"/>
    <cellStyle name="Normal 3 2 2 5 3 2 2 4" xfId="6748"/>
    <cellStyle name="Normal 3 2 2 5 3 2 3" xfId="6749"/>
    <cellStyle name="Normal 3 2 2 5 3 2 4" xfId="6750"/>
    <cellStyle name="Normal 3 2 2 5 3 2 5" xfId="6751"/>
    <cellStyle name="Normal 3 2 2 5 3 2 6" xfId="6752"/>
    <cellStyle name="Normal 3 2 2 5 3 2 7" xfId="6753"/>
    <cellStyle name="Normal 3 2 2 5 3 3" xfId="6754"/>
    <cellStyle name="Normal 3 2 2 5 3 3 2" xfId="6755"/>
    <cellStyle name="Normal 3 2 2 5 3 3 2 2" xfId="6756"/>
    <cellStyle name="Normal 3 2 2 5 3 3 2 3" xfId="6757"/>
    <cellStyle name="Normal 3 2 2 5 3 3 2 4" xfId="6758"/>
    <cellStyle name="Normal 3 2 2 5 3 3 3" xfId="6759"/>
    <cellStyle name="Normal 3 2 2 5 3 3 4" xfId="6760"/>
    <cellStyle name="Normal 3 2 2 5 3 4" xfId="6761"/>
    <cellStyle name="Normal 3 2 2 5 3 5" xfId="6762"/>
    <cellStyle name="Normal 3 2 2 5 3 6" xfId="6763"/>
    <cellStyle name="Normal 3 2 2 5 3 7" xfId="6764"/>
    <cellStyle name="Normal 3 2 2 5 4" xfId="6765"/>
    <cellStyle name="Normal 3 2 2 5 5" xfId="6766"/>
    <cellStyle name="Normal 3 2 2 5 5 2" xfId="6767"/>
    <cellStyle name="Normal 3 2 2 5 5 2 2" xfId="6768"/>
    <cellStyle name="Normal 3 2 2 5 5 2 3" xfId="6769"/>
    <cellStyle name="Normal 3 2 2 5 5 2 4" xfId="6770"/>
    <cellStyle name="Normal 3 2 2 5 5 3" xfId="6771"/>
    <cellStyle name="Normal 3 2 2 5 5 4" xfId="6772"/>
    <cellStyle name="Normal 3 2 2 5 6" xfId="6773"/>
    <cellStyle name="Normal 3 2 2 5 7" xfId="6774"/>
    <cellStyle name="Normal 3 2 2 5 8" xfId="6775"/>
    <cellStyle name="Normal 3 2 2 5 9" xfId="6776"/>
    <cellStyle name="Normal 3 2 2 6" xfId="6777"/>
    <cellStyle name="Normal 3 2 2 7" xfId="6778"/>
    <cellStyle name="Normal 3 2 2 8" xfId="6779"/>
    <cellStyle name="Normal 3 2 2 8 2" xfId="6780"/>
    <cellStyle name="Normal 3 2 2 8 2 2" xfId="6781"/>
    <cellStyle name="Normal 3 2 2 8 2 2 2" xfId="6782"/>
    <cellStyle name="Normal 3 2 2 8 2 2 2 2" xfId="6783"/>
    <cellStyle name="Normal 3 2 2 8 2 2 2 2 2" xfId="6784"/>
    <cellStyle name="Normal 3 2 2 8 2 2 2 3" xfId="6785"/>
    <cellStyle name="Normal 3 2 2 8 2 2 2 4" xfId="6786"/>
    <cellStyle name="Normal 3 2 2 8 2 2 3" xfId="6787"/>
    <cellStyle name="Normal 3 2 2 8 2 2 4" xfId="6788"/>
    <cellStyle name="Normal 3 2 2 8 2 3" xfId="6789"/>
    <cellStyle name="Normal 3 2 2 8 2 4" xfId="6790"/>
    <cellStyle name="Normal 3 2 2 8 2 5" xfId="6791"/>
    <cellStyle name="Normal 3 2 2 8 2 6" xfId="6792"/>
    <cellStyle name="Normal 3 2 2 8 2 7" xfId="6793"/>
    <cellStyle name="Normal 3 2 2 8 3" xfId="6794"/>
    <cellStyle name="Normal 3 2 2 8 3 2" xfId="6795"/>
    <cellStyle name="Normal 3 2 2 8 3 2 2" xfId="6796"/>
    <cellStyle name="Normal 3 2 2 8 3 2 3" xfId="6797"/>
    <cellStyle name="Normal 3 2 2 8 3 2 4" xfId="6798"/>
    <cellStyle name="Normal 3 2 2 8 3 3" xfId="6799"/>
    <cellStyle name="Normal 3 2 2 8 3 4" xfId="6800"/>
    <cellStyle name="Normal 3 2 2 8 4" xfId="6801"/>
    <cellStyle name="Normal 3 2 2 8 5" xfId="6802"/>
    <cellStyle name="Normal 3 2 2 8 6" xfId="6803"/>
    <cellStyle name="Normal 3 2 2 8 7" xfId="6804"/>
    <cellStyle name="Normal 3 2 2 9" xfId="6805"/>
    <cellStyle name="Normal 3 2 20" xfId="6806"/>
    <cellStyle name="Normal 3 2 3" xfId="6807"/>
    <cellStyle name="Normal 3 2 3 10" xfId="6808"/>
    <cellStyle name="Normal 3 2 3 11" xfId="6809"/>
    <cellStyle name="Normal 3 2 3 12" xfId="6810"/>
    <cellStyle name="Normal 3 2 3 13" xfId="6811"/>
    <cellStyle name="Normal 3 2 3 2" xfId="6812"/>
    <cellStyle name="Normal 3 2 3 3" xfId="6813"/>
    <cellStyle name="Normal 3 2 3 4" xfId="6814"/>
    <cellStyle name="Normal 3 2 3 5" xfId="6815"/>
    <cellStyle name="Normal 3 2 3 6" xfId="6816"/>
    <cellStyle name="Normal 3 2 3 7" xfId="6817"/>
    <cellStyle name="Normal 3 2 3 8" xfId="6818"/>
    <cellStyle name="Normal 3 2 3 9" xfId="6819"/>
    <cellStyle name="Normal 3 2 4" xfId="6820"/>
    <cellStyle name="Normal 3 2 4 10" xfId="6821"/>
    <cellStyle name="Normal 3 2 4 11" xfId="6822"/>
    <cellStyle name="Normal 3 2 4 12" xfId="6823"/>
    <cellStyle name="Normal 3 2 4 13" xfId="6824"/>
    <cellStyle name="Normal 3 2 4 14" xfId="6825"/>
    <cellStyle name="Normal 3 2 4 15" xfId="6826"/>
    <cellStyle name="Normal 3 2 4 16" xfId="6827"/>
    <cellStyle name="Normal 3 2 4 2" xfId="6828"/>
    <cellStyle name="Normal 3 2 4 2 10" xfId="6829"/>
    <cellStyle name="Normal 3 2 4 2 11" xfId="6830"/>
    <cellStyle name="Normal 3 2 4 2 12" xfId="6831"/>
    <cellStyle name="Normal 3 2 4 2 13" xfId="6832"/>
    <cellStyle name="Normal 3 2 4 2 14" xfId="6833"/>
    <cellStyle name="Normal 3 2 4 2 15" xfId="6834"/>
    <cellStyle name="Normal 3 2 4 2 16" xfId="6835"/>
    <cellStyle name="Normal 3 2 4 2 2" xfId="6836"/>
    <cellStyle name="Normal 3 2 4 2 2 10" xfId="6837"/>
    <cellStyle name="Normal 3 2 4 2 2 11" xfId="6838"/>
    <cellStyle name="Normal 3 2 4 2 2 12" xfId="6839"/>
    <cellStyle name="Normal 3 2 4 2 2 13" xfId="6840"/>
    <cellStyle name="Normal 3 2 4 2 2 2" xfId="6841"/>
    <cellStyle name="Normal 3 2 4 2 2 2 10" xfId="6842"/>
    <cellStyle name="Normal 3 2 4 2 2 2 11" xfId="6843"/>
    <cellStyle name="Normal 3 2 4 2 2 2 12" xfId="6844"/>
    <cellStyle name="Normal 3 2 4 2 2 2 13" xfId="6845"/>
    <cellStyle name="Normal 3 2 4 2 2 2 2" xfId="6846"/>
    <cellStyle name="Normal 3 2 4 2 2 2 2 2" xfId="6847"/>
    <cellStyle name="Normal 3 2 4 2 2 2 2 2 2" xfId="6848"/>
    <cellStyle name="Normal 3 2 4 2 2 2 2 2 2 2" xfId="6849"/>
    <cellStyle name="Normal 3 2 4 2 2 2 2 2 2 2 2" xfId="6850"/>
    <cellStyle name="Normal 3 2 4 2 2 2 2 2 2 2 2 2" xfId="6851"/>
    <cellStyle name="Normal 3 2 4 2 2 2 2 2 2 2 3" xfId="6852"/>
    <cellStyle name="Normal 3 2 4 2 2 2 2 2 2 2 4" xfId="6853"/>
    <cellStyle name="Normal 3 2 4 2 2 2 2 2 2 3" xfId="6854"/>
    <cellStyle name="Normal 3 2 4 2 2 2 2 2 2 4" xfId="6855"/>
    <cellStyle name="Normal 3 2 4 2 2 2 2 2 3" xfId="6856"/>
    <cellStyle name="Normal 3 2 4 2 2 2 2 2 4" xfId="6857"/>
    <cellStyle name="Normal 3 2 4 2 2 2 2 2 5" xfId="6858"/>
    <cellStyle name="Normal 3 2 4 2 2 2 2 2 6" xfId="6859"/>
    <cellStyle name="Normal 3 2 4 2 2 2 2 2 7" xfId="6860"/>
    <cellStyle name="Normal 3 2 4 2 2 2 2 3" xfId="6861"/>
    <cellStyle name="Normal 3 2 4 2 2 2 2 3 2" xfId="6862"/>
    <cellStyle name="Normal 3 2 4 2 2 2 2 3 2 2" xfId="6863"/>
    <cellStyle name="Normal 3 2 4 2 2 2 2 3 2 3" xfId="6864"/>
    <cellStyle name="Normal 3 2 4 2 2 2 2 3 2 4" xfId="6865"/>
    <cellStyle name="Normal 3 2 4 2 2 2 2 3 3" xfId="6866"/>
    <cellStyle name="Normal 3 2 4 2 2 2 2 3 4" xfId="6867"/>
    <cellStyle name="Normal 3 2 4 2 2 2 2 4" xfId="6868"/>
    <cellStyle name="Normal 3 2 4 2 2 2 2 5" xfId="6869"/>
    <cellStyle name="Normal 3 2 4 2 2 2 2 6" xfId="6870"/>
    <cellStyle name="Normal 3 2 4 2 2 2 2 7" xfId="6871"/>
    <cellStyle name="Normal 3 2 4 2 2 2 3" xfId="6872"/>
    <cellStyle name="Normal 3 2 4 2 2 2 4" xfId="6873"/>
    <cellStyle name="Normal 3 2 4 2 2 2 5" xfId="6874"/>
    <cellStyle name="Normal 3 2 4 2 2 2 5 2" xfId="6875"/>
    <cellStyle name="Normal 3 2 4 2 2 2 5 2 2" xfId="6876"/>
    <cellStyle name="Normal 3 2 4 2 2 2 5 2 3" xfId="6877"/>
    <cellStyle name="Normal 3 2 4 2 2 2 5 2 4" xfId="6878"/>
    <cellStyle name="Normal 3 2 4 2 2 2 5 3" xfId="6879"/>
    <cellStyle name="Normal 3 2 4 2 2 2 5 4" xfId="6880"/>
    <cellStyle name="Normal 3 2 4 2 2 2 6" xfId="6881"/>
    <cellStyle name="Normal 3 2 4 2 2 2 7" xfId="6882"/>
    <cellStyle name="Normal 3 2 4 2 2 2 8" xfId="6883"/>
    <cellStyle name="Normal 3 2 4 2 2 2 9" xfId="6884"/>
    <cellStyle name="Normal 3 2 4 2 2 3" xfId="6885"/>
    <cellStyle name="Normal 3 2 4 2 2 3 2" xfId="6886"/>
    <cellStyle name="Normal 3 2 4 2 2 3 2 2" xfId="6887"/>
    <cellStyle name="Normal 3 2 4 2 2 3 2 2 2" xfId="6888"/>
    <cellStyle name="Normal 3 2 4 2 2 3 2 2 2 2" xfId="6889"/>
    <cellStyle name="Normal 3 2 4 2 2 3 2 2 2 2 2" xfId="6890"/>
    <cellStyle name="Normal 3 2 4 2 2 3 2 2 2 3" xfId="6891"/>
    <cellStyle name="Normal 3 2 4 2 2 3 2 2 2 4" xfId="6892"/>
    <cellStyle name="Normal 3 2 4 2 2 3 2 2 3" xfId="6893"/>
    <cellStyle name="Normal 3 2 4 2 2 3 2 2 4" xfId="6894"/>
    <cellStyle name="Normal 3 2 4 2 2 3 2 3" xfId="6895"/>
    <cellStyle name="Normal 3 2 4 2 2 3 2 4" xfId="6896"/>
    <cellStyle name="Normal 3 2 4 2 2 3 2 5" xfId="6897"/>
    <cellStyle name="Normal 3 2 4 2 2 3 2 6" xfId="6898"/>
    <cellStyle name="Normal 3 2 4 2 2 3 2 7" xfId="6899"/>
    <cellStyle name="Normal 3 2 4 2 2 3 3" xfId="6900"/>
    <cellStyle name="Normal 3 2 4 2 2 3 3 2" xfId="6901"/>
    <cellStyle name="Normal 3 2 4 2 2 3 3 2 2" xfId="6902"/>
    <cellStyle name="Normal 3 2 4 2 2 3 3 2 3" xfId="6903"/>
    <cellStyle name="Normal 3 2 4 2 2 3 3 2 4" xfId="6904"/>
    <cellStyle name="Normal 3 2 4 2 2 3 3 3" xfId="6905"/>
    <cellStyle name="Normal 3 2 4 2 2 3 3 4" xfId="6906"/>
    <cellStyle name="Normal 3 2 4 2 2 3 4" xfId="6907"/>
    <cellStyle name="Normal 3 2 4 2 2 3 5" xfId="6908"/>
    <cellStyle name="Normal 3 2 4 2 2 3 6" xfId="6909"/>
    <cellStyle name="Normal 3 2 4 2 2 3 7" xfId="6910"/>
    <cellStyle name="Normal 3 2 4 2 2 4" xfId="6911"/>
    <cellStyle name="Normal 3 2 4 2 2 5" xfId="6912"/>
    <cellStyle name="Normal 3 2 4 2 2 5 2" xfId="6913"/>
    <cellStyle name="Normal 3 2 4 2 2 5 2 2" xfId="6914"/>
    <cellStyle name="Normal 3 2 4 2 2 5 2 3" xfId="6915"/>
    <cellStyle name="Normal 3 2 4 2 2 5 2 4" xfId="6916"/>
    <cellStyle name="Normal 3 2 4 2 2 5 3" xfId="6917"/>
    <cellStyle name="Normal 3 2 4 2 2 5 4" xfId="6918"/>
    <cellStyle name="Normal 3 2 4 2 2 6" xfId="6919"/>
    <cellStyle name="Normal 3 2 4 2 2 7" xfId="6920"/>
    <cellStyle name="Normal 3 2 4 2 2 8" xfId="6921"/>
    <cellStyle name="Normal 3 2 4 2 2 9" xfId="6922"/>
    <cellStyle name="Normal 3 2 4 2 3" xfId="6923"/>
    <cellStyle name="Normal 3 2 4 2 3 10" xfId="6924"/>
    <cellStyle name="Normal 3 2 4 2 3 11" xfId="6925"/>
    <cellStyle name="Normal 3 2 4 2 3 12" xfId="6926"/>
    <cellStyle name="Normal 3 2 4 2 3 13" xfId="6927"/>
    <cellStyle name="Normal 3 2 4 2 3 2" xfId="6928"/>
    <cellStyle name="Normal 3 2 4 2 3 3" xfId="6929"/>
    <cellStyle name="Normal 3 2 4 2 3 4" xfId="6930"/>
    <cellStyle name="Normal 3 2 4 2 3 5" xfId="6931"/>
    <cellStyle name="Normal 3 2 4 2 3 6" xfId="6932"/>
    <cellStyle name="Normal 3 2 4 2 3 7" xfId="6933"/>
    <cellStyle name="Normal 3 2 4 2 3 8" xfId="6934"/>
    <cellStyle name="Normal 3 2 4 2 3 9" xfId="6935"/>
    <cellStyle name="Normal 3 2 4 2 4" xfId="6936"/>
    <cellStyle name="Normal 3 2 4 2 4 10" xfId="6937"/>
    <cellStyle name="Normal 3 2 4 2 4 11" xfId="6938"/>
    <cellStyle name="Normal 3 2 4 2 4 12" xfId="6939"/>
    <cellStyle name="Normal 3 2 4 2 4 13" xfId="6940"/>
    <cellStyle name="Normal 3 2 4 2 4 2" xfId="6941"/>
    <cellStyle name="Normal 3 2 4 2 4 3" xfId="6942"/>
    <cellStyle name="Normal 3 2 4 2 4 4" xfId="6943"/>
    <cellStyle name="Normal 3 2 4 2 4 5" xfId="6944"/>
    <cellStyle name="Normal 3 2 4 2 4 6" xfId="6945"/>
    <cellStyle name="Normal 3 2 4 2 4 7" xfId="6946"/>
    <cellStyle name="Normal 3 2 4 2 4 8" xfId="6947"/>
    <cellStyle name="Normal 3 2 4 2 4 9" xfId="6948"/>
    <cellStyle name="Normal 3 2 4 2 5" xfId="6949"/>
    <cellStyle name="Normal 3 2 4 2 5 2" xfId="6950"/>
    <cellStyle name="Normal 3 2 4 2 5 2 2" xfId="6951"/>
    <cellStyle name="Normal 3 2 4 2 5 2 2 2" xfId="6952"/>
    <cellStyle name="Normal 3 2 4 2 5 2 2 2 2" xfId="6953"/>
    <cellStyle name="Normal 3 2 4 2 5 2 2 2 2 2" xfId="6954"/>
    <cellStyle name="Normal 3 2 4 2 5 2 2 2 3" xfId="6955"/>
    <cellStyle name="Normal 3 2 4 2 5 2 2 2 4" xfId="6956"/>
    <cellStyle name="Normal 3 2 4 2 5 2 2 3" xfId="6957"/>
    <cellStyle name="Normal 3 2 4 2 5 2 2 4" xfId="6958"/>
    <cellStyle name="Normal 3 2 4 2 5 2 3" xfId="6959"/>
    <cellStyle name="Normal 3 2 4 2 5 2 4" xfId="6960"/>
    <cellStyle name="Normal 3 2 4 2 5 2 5" xfId="6961"/>
    <cellStyle name="Normal 3 2 4 2 5 2 6" xfId="6962"/>
    <cellStyle name="Normal 3 2 4 2 5 2 7" xfId="6963"/>
    <cellStyle name="Normal 3 2 4 2 5 3" xfId="6964"/>
    <cellStyle name="Normal 3 2 4 2 5 3 2" xfId="6965"/>
    <cellStyle name="Normal 3 2 4 2 5 3 2 2" xfId="6966"/>
    <cellStyle name="Normal 3 2 4 2 5 3 2 3" xfId="6967"/>
    <cellStyle name="Normal 3 2 4 2 5 3 2 4" xfId="6968"/>
    <cellStyle name="Normal 3 2 4 2 5 3 3" xfId="6969"/>
    <cellStyle name="Normal 3 2 4 2 5 3 4" xfId="6970"/>
    <cellStyle name="Normal 3 2 4 2 5 4" xfId="6971"/>
    <cellStyle name="Normal 3 2 4 2 5 5" xfId="6972"/>
    <cellStyle name="Normal 3 2 4 2 5 6" xfId="6973"/>
    <cellStyle name="Normal 3 2 4 2 5 7" xfId="6974"/>
    <cellStyle name="Normal 3 2 4 2 6" xfId="6975"/>
    <cellStyle name="Normal 3 2 4 2 7" xfId="6976"/>
    <cellStyle name="Normal 3 2 4 2 8" xfId="6977"/>
    <cellStyle name="Normal 3 2 4 2 8 2" xfId="6978"/>
    <cellStyle name="Normal 3 2 4 2 8 2 2" xfId="6979"/>
    <cellStyle name="Normal 3 2 4 2 8 2 3" xfId="6980"/>
    <cellStyle name="Normal 3 2 4 2 8 2 4" xfId="6981"/>
    <cellStyle name="Normal 3 2 4 2 8 3" xfId="6982"/>
    <cellStyle name="Normal 3 2 4 2 8 4" xfId="6983"/>
    <cellStyle name="Normal 3 2 4 2 9" xfId="6984"/>
    <cellStyle name="Normal 3 2 4 3" xfId="6985"/>
    <cellStyle name="Normal 3 2 4 3 10" xfId="6986"/>
    <cellStyle name="Normal 3 2 4 3 11" xfId="6987"/>
    <cellStyle name="Normal 3 2 4 3 12" xfId="6988"/>
    <cellStyle name="Normal 3 2 4 3 13" xfId="6989"/>
    <cellStyle name="Normal 3 2 4 3 2" xfId="6990"/>
    <cellStyle name="Normal 3 2 4 3 2 10" xfId="6991"/>
    <cellStyle name="Normal 3 2 4 3 2 11" xfId="6992"/>
    <cellStyle name="Normal 3 2 4 3 2 12" xfId="6993"/>
    <cellStyle name="Normal 3 2 4 3 2 13" xfId="6994"/>
    <cellStyle name="Normal 3 2 4 3 2 2" xfId="6995"/>
    <cellStyle name="Normal 3 2 4 3 2 2 2" xfId="6996"/>
    <cellStyle name="Normal 3 2 4 3 2 2 2 2" xfId="6997"/>
    <cellStyle name="Normal 3 2 4 3 2 2 2 2 2" xfId="6998"/>
    <cellStyle name="Normal 3 2 4 3 2 2 2 2 2 2" xfId="6999"/>
    <cellStyle name="Normal 3 2 4 3 2 2 2 2 2 2 2" xfId="7000"/>
    <cellStyle name="Normal 3 2 4 3 2 2 2 2 2 3" xfId="7001"/>
    <cellStyle name="Normal 3 2 4 3 2 2 2 2 2 4" xfId="7002"/>
    <cellStyle name="Normal 3 2 4 3 2 2 2 2 3" xfId="7003"/>
    <cellStyle name="Normal 3 2 4 3 2 2 2 2 4" xfId="7004"/>
    <cellStyle name="Normal 3 2 4 3 2 2 2 3" xfId="7005"/>
    <cellStyle name="Normal 3 2 4 3 2 2 2 4" xfId="7006"/>
    <cellStyle name="Normal 3 2 4 3 2 2 2 5" xfId="7007"/>
    <cellStyle name="Normal 3 2 4 3 2 2 2 6" xfId="7008"/>
    <cellStyle name="Normal 3 2 4 3 2 2 2 7" xfId="7009"/>
    <cellStyle name="Normal 3 2 4 3 2 2 3" xfId="7010"/>
    <cellStyle name="Normal 3 2 4 3 2 2 3 2" xfId="7011"/>
    <cellStyle name="Normal 3 2 4 3 2 2 3 2 2" xfId="7012"/>
    <cellStyle name="Normal 3 2 4 3 2 2 3 2 3" xfId="7013"/>
    <cellStyle name="Normal 3 2 4 3 2 2 3 2 4" xfId="7014"/>
    <cellStyle name="Normal 3 2 4 3 2 2 3 3" xfId="7015"/>
    <cellStyle name="Normal 3 2 4 3 2 2 3 4" xfId="7016"/>
    <cellStyle name="Normal 3 2 4 3 2 2 4" xfId="7017"/>
    <cellStyle name="Normal 3 2 4 3 2 2 5" xfId="7018"/>
    <cellStyle name="Normal 3 2 4 3 2 2 6" xfId="7019"/>
    <cellStyle name="Normal 3 2 4 3 2 2 7" xfId="7020"/>
    <cellStyle name="Normal 3 2 4 3 2 3" xfId="7021"/>
    <cellStyle name="Normal 3 2 4 3 2 4" xfId="7022"/>
    <cellStyle name="Normal 3 2 4 3 2 5" xfId="7023"/>
    <cellStyle name="Normal 3 2 4 3 2 5 2" xfId="7024"/>
    <cellStyle name="Normal 3 2 4 3 2 5 2 2" xfId="7025"/>
    <cellStyle name="Normal 3 2 4 3 2 5 2 3" xfId="7026"/>
    <cellStyle name="Normal 3 2 4 3 2 5 2 4" xfId="7027"/>
    <cellStyle name="Normal 3 2 4 3 2 5 3" xfId="7028"/>
    <cellStyle name="Normal 3 2 4 3 2 5 4" xfId="7029"/>
    <cellStyle name="Normal 3 2 4 3 2 6" xfId="7030"/>
    <cellStyle name="Normal 3 2 4 3 2 7" xfId="7031"/>
    <cellStyle name="Normal 3 2 4 3 2 8" xfId="7032"/>
    <cellStyle name="Normal 3 2 4 3 2 9" xfId="7033"/>
    <cellStyle name="Normal 3 2 4 3 3" xfId="7034"/>
    <cellStyle name="Normal 3 2 4 3 3 2" xfId="7035"/>
    <cellStyle name="Normal 3 2 4 3 3 2 2" xfId="7036"/>
    <cellStyle name="Normal 3 2 4 3 3 2 2 2" xfId="7037"/>
    <cellStyle name="Normal 3 2 4 3 3 2 2 2 2" xfId="7038"/>
    <cellStyle name="Normal 3 2 4 3 3 2 2 2 2 2" xfId="7039"/>
    <cellStyle name="Normal 3 2 4 3 3 2 2 2 3" xfId="7040"/>
    <cellStyle name="Normal 3 2 4 3 3 2 2 2 4" xfId="7041"/>
    <cellStyle name="Normal 3 2 4 3 3 2 2 3" xfId="7042"/>
    <cellStyle name="Normal 3 2 4 3 3 2 2 4" xfId="7043"/>
    <cellStyle name="Normal 3 2 4 3 3 2 3" xfId="7044"/>
    <cellStyle name="Normal 3 2 4 3 3 2 4" xfId="7045"/>
    <cellStyle name="Normal 3 2 4 3 3 2 5" xfId="7046"/>
    <cellStyle name="Normal 3 2 4 3 3 2 6" xfId="7047"/>
    <cellStyle name="Normal 3 2 4 3 3 2 7" xfId="7048"/>
    <cellStyle name="Normal 3 2 4 3 3 3" xfId="7049"/>
    <cellStyle name="Normal 3 2 4 3 3 3 2" xfId="7050"/>
    <cellStyle name="Normal 3 2 4 3 3 3 2 2" xfId="7051"/>
    <cellStyle name="Normal 3 2 4 3 3 3 2 3" xfId="7052"/>
    <cellStyle name="Normal 3 2 4 3 3 3 2 4" xfId="7053"/>
    <cellStyle name="Normal 3 2 4 3 3 3 3" xfId="7054"/>
    <cellStyle name="Normal 3 2 4 3 3 3 4" xfId="7055"/>
    <cellStyle name="Normal 3 2 4 3 3 4" xfId="7056"/>
    <cellStyle name="Normal 3 2 4 3 3 5" xfId="7057"/>
    <cellStyle name="Normal 3 2 4 3 3 6" xfId="7058"/>
    <cellStyle name="Normal 3 2 4 3 3 7" xfId="7059"/>
    <cellStyle name="Normal 3 2 4 3 4" xfId="7060"/>
    <cellStyle name="Normal 3 2 4 3 5" xfId="7061"/>
    <cellStyle name="Normal 3 2 4 3 5 2" xfId="7062"/>
    <cellStyle name="Normal 3 2 4 3 5 2 2" xfId="7063"/>
    <cellStyle name="Normal 3 2 4 3 5 2 3" xfId="7064"/>
    <cellStyle name="Normal 3 2 4 3 5 2 4" xfId="7065"/>
    <cellStyle name="Normal 3 2 4 3 5 3" xfId="7066"/>
    <cellStyle name="Normal 3 2 4 3 5 4" xfId="7067"/>
    <cellStyle name="Normal 3 2 4 3 6" xfId="7068"/>
    <cellStyle name="Normal 3 2 4 3 7" xfId="7069"/>
    <cellStyle name="Normal 3 2 4 3 8" xfId="7070"/>
    <cellStyle name="Normal 3 2 4 3 9" xfId="7071"/>
    <cellStyle name="Normal 3 2 4 4" xfId="7072"/>
    <cellStyle name="Normal 3 2 4 5" xfId="7073"/>
    <cellStyle name="Normal 3 2 4 5 2" xfId="7074"/>
    <cellStyle name="Normal 3 2 4 5 2 2" xfId="7075"/>
    <cellStyle name="Normal 3 2 4 5 2 2 2" xfId="7076"/>
    <cellStyle name="Normal 3 2 4 5 2 2 2 2" xfId="7077"/>
    <cellStyle name="Normal 3 2 4 5 2 2 2 2 2" xfId="7078"/>
    <cellStyle name="Normal 3 2 4 5 2 2 2 3" xfId="7079"/>
    <cellStyle name="Normal 3 2 4 5 2 2 2 4" xfId="7080"/>
    <cellStyle name="Normal 3 2 4 5 2 2 3" xfId="7081"/>
    <cellStyle name="Normal 3 2 4 5 2 2 4" xfId="7082"/>
    <cellStyle name="Normal 3 2 4 5 2 3" xfId="7083"/>
    <cellStyle name="Normal 3 2 4 5 2 4" xfId="7084"/>
    <cellStyle name="Normal 3 2 4 5 2 5" xfId="7085"/>
    <cellStyle name="Normal 3 2 4 5 2 6" xfId="7086"/>
    <cellStyle name="Normal 3 2 4 5 2 7" xfId="7087"/>
    <cellStyle name="Normal 3 2 4 5 3" xfId="7088"/>
    <cellStyle name="Normal 3 2 4 5 3 2" xfId="7089"/>
    <cellStyle name="Normal 3 2 4 5 3 2 2" xfId="7090"/>
    <cellStyle name="Normal 3 2 4 5 3 2 3" xfId="7091"/>
    <cellStyle name="Normal 3 2 4 5 3 2 4" xfId="7092"/>
    <cellStyle name="Normal 3 2 4 5 3 3" xfId="7093"/>
    <cellStyle name="Normal 3 2 4 5 3 4" xfId="7094"/>
    <cellStyle name="Normal 3 2 4 5 4" xfId="7095"/>
    <cellStyle name="Normal 3 2 4 5 5" xfId="7096"/>
    <cellStyle name="Normal 3 2 4 5 6" xfId="7097"/>
    <cellStyle name="Normal 3 2 4 5 7" xfId="7098"/>
    <cellStyle name="Normal 3 2 4 6" xfId="7099"/>
    <cellStyle name="Normal 3 2 4 7" xfId="7100"/>
    <cellStyle name="Normal 3 2 4 8" xfId="7101"/>
    <cellStyle name="Normal 3 2 4 8 2" xfId="7102"/>
    <cellStyle name="Normal 3 2 4 8 2 2" xfId="7103"/>
    <cellStyle name="Normal 3 2 4 8 2 3" xfId="7104"/>
    <cellStyle name="Normal 3 2 4 8 2 4" xfId="7105"/>
    <cellStyle name="Normal 3 2 4 8 3" xfId="7106"/>
    <cellStyle name="Normal 3 2 4 8 4" xfId="7107"/>
    <cellStyle name="Normal 3 2 4 9" xfId="7108"/>
    <cellStyle name="Normal 3 2 5" xfId="7109"/>
    <cellStyle name="Normal 3 2 5 10" xfId="7110"/>
    <cellStyle name="Normal 3 2 5 11" xfId="7111"/>
    <cellStyle name="Normal 3 2 5 12" xfId="7112"/>
    <cellStyle name="Normal 3 2 5 13" xfId="7113"/>
    <cellStyle name="Normal 3 2 5 2" xfId="7114"/>
    <cellStyle name="Normal 3 2 5 3" xfId="7115"/>
    <cellStyle name="Normal 3 2 5 4" xfId="7116"/>
    <cellStyle name="Normal 3 2 5 5" xfId="7117"/>
    <cellStyle name="Normal 3 2 5 6" xfId="7118"/>
    <cellStyle name="Normal 3 2 5 7" xfId="7119"/>
    <cellStyle name="Normal 3 2 5 8" xfId="7120"/>
    <cellStyle name="Normal 3 2 5 9" xfId="7121"/>
    <cellStyle name="Normal 3 2 6" xfId="7122"/>
    <cellStyle name="Normal 3 2 6 10" xfId="7123"/>
    <cellStyle name="Normal 3 2 6 11" xfId="7124"/>
    <cellStyle name="Normal 3 2 6 12" xfId="7125"/>
    <cellStyle name="Normal 3 2 6 13" xfId="7126"/>
    <cellStyle name="Normal 3 2 6 2" xfId="7127"/>
    <cellStyle name="Normal 3 2 6 2 10" xfId="7128"/>
    <cellStyle name="Normal 3 2 6 2 11" xfId="7129"/>
    <cellStyle name="Normal 3 2 6 2 12" xfId="7130"/>
    <cellStyle name="Normal 3 2 6 2 13" xfId="7131"/>
    <cellStyle name="Normal 3 2 6 2 2" xfId="7132"/>
    <cellStyle name="Normal 3 2 6 2 2 2" xfId="7133"/>
    <cellStyle name="Normal 3 2 6 2 2 2 2" xfId="7134"/>
    <cellStyle name="Normal 3 2 6 2 2 2 2 2" xfId="7135"/>
    <cellStyle name="Normal 3 2 6 2 2 2 2 2 2" xfId="7136"/>
    <cellStyle name="Normal 3 2 6 2 2 2 2 2 2 2" xfId="7137"/>
    <cellStyle name="Normal 3 2 6 2 2 2 2 2 3" xfId="7138"/>
    <cellStyle name="Normal 3 2 6 2 2 2 2 2 4" xfId="7139"/>
    <cellStyle name="Normal 3 2 6 2 2 2 2 3" xfId="7140"/>
    <cellStyle name="Normal 3 2 6 2 2 2 2 4" xfId="7141"/>
    <cellStyle name="Normal 3 2 6 2 2 2 3" xfId="7142"/>
    <cellStyle name="Normal 3 2 6 2 2 2 4" xfId="7143"/>
    <cellStyle name="Normal 3 2 6 2 2 2 5" xfId="7144"/>
    <cellStyle name="Normal 3 2 6 2 2 2 6" xfId="7145"/>
    <cellStyle name="Normal 3 2 6 2 2 2 7" xfId="7146"/>
    <cellStyle name="Normal 3 2 6 2 2 3" xfId="7147"/>
    <cellStyle name="Normal 3 2 6 2 2 3 2" xfId="7148"/>
    <cellStyle name="Normal 3 2 6 2 2 3 2 2" xfId="7149"/>
    <cellStyle name="Normal 3 2 6 2 2 3 2 3" xfId="7150"/>
    <cellStyle name="Normal 3 2 6 2 2 3 2 4" xfId="7151"/>
    <cellStyle name="Normal 3 2 6 2 2 3 3" xfId="7152"/>
    <cellStyle name="Normal 3 2 6 2 2 3 4" xfId="7153"/>
    <cellStyle name="Normal 3 2 6 2 2 4" xfId="7154"/>
    <cellStyle name="Normal 3 2 6 2 2 5" xfId="7155"/>
    <cellStyle name="Normal 3 2 6 2 2 6" xfId="7156"/>
    <cellStyle name="Normal 3 2 6 2 2 7" xfId="7157"/>
    <cellStyle name="Normal 3 2 6 2 3" xfId="7158"/>
    <cellStyle name="Normal 3 2 6 2 4" xfId="7159"/>
    <cellStyle name="Normal 3 2 6 2 5" xfId="7160"/>
    <cellStyle name="Normal 3 2 6 2 5 2" xfId="7161"/>
    <cellStyle name="Normal 3 2 6 2 5 2 2" xfId="7162"/>
    <cellStyle name="Normal 3 2 6 2 5 2 3" xfId="7163"/>
    <cellStyle name="Normal 3 2 6 2 5 2 4" xfId="7164"/>
    <cellStyle name="Normal 3 2 6 2 5 3" xfId="7165"/>
    <cellStyle name="Normal 3 2 6 2 5 4" xfId="7166"/>
    <cellStyle name="Normal 3 2 6 2 6" xfId="7167"/>
    <cellStyle name="Normal 3 2 6 2 7" xfId="7168"/>
    <cellStyle name="Normal 3 2 6 2 8" xfId="7169"/>
    <cellStyle name="Normal 3 2 6 2 9" xfId="7170"/>
    <cellStyle name="Normal 3 2 6 3" xfId="7171"/>
    <cellStyle name="Normal 3 2 6 3 2" xfId="7172"/>
    <cellStyle name="Normal 3 2 6 3 2 2" xfId="7173"/>
    <cellStyle name="Normal 3 2 6 3 2 2 2" xfId="7174"/>
    <cellStyle name="Normal 3 2 6 3 2 2 2 2" xfId="7175"/>
    <cellStyle name="Normal 3 2 6 3 2 2 2 2 2" xfId="7176"/>
    <cellStyle name="Normal 3 2 6 3 2 2 2 3" xfId="7177"/>
    <cellStyle name="Normal 3 2 6 3 2 2 2 4" xfId="7178"/>
    <cellStyle name="Normal 3 2 6 3 2 2 3" xfId="7179"/>
    <cellStyle name="Normal 3 2 6 3 2 2 4" xfId="7180"/>
    <cellStyle name="Normal 3 2 6 3 2 3" xfId="7181"/>
    <cellStyle name="Normal 3 2 6 3 2 4" xfId="7182"/>
    <cellStyle name="Normal 3 2 6 3 2 5" xfId="7183"/>
    <cellStyle name="Normal 3 2 6 3 2 6" xfId="7184"/>
    <cellStyle name="Normal 3 2 6 3 2 7" xfId="7185"/>
    <cellStyle name="Normal 3 2 6 3 3" xfId="7186"/>
    <cellStyle name="Normal 3 2 6 3 3 2" xfId="7187"/>
    <cellStyle name="Normal 3 2 6 3 3 2 2" xfId="7188"/>
    <cellStyle name="Normal 3 2 6 3 3 2 3" xfId="7189"/>
    <cellStyle name="Normal 3 2 6 3 3 2 4" xfId="7190"/>
    <cellStyle name="Normal 3 2 6 3 3 3" xfId="7191"/>
    <cellStyle name="Normal 3 2 6 3 3 4" xfId="7192"/>
    <cellStyle name="Normal 3 2 6 3 4" xfId="7193"/>
    <cellStyle name="Normal 3 2 6 3 5" xfId="7194"/>
    <cellStyle name="Normal 3 2 6 3 6" xfId="7195"/>
    <cellStyle name="Normal 3 2 6 3 7" xfId="7196"/>
    <cellStyle name="Normal 3 2 6 4" xfId="7197"/>
    <cellStyle name="Normal 3 2 6 5" xfId="7198"/>
    <cellStyle name="Normal 3 2 6 5 2" xfId="7199"/>
    <cellStyle name="Normal 3 2 6 5 2 2" xfId="7200"/>
    <cellStyle name="Normal 3 2 6 5 2 3" xfId="7201"/>
    <cellStyle name="Normal 3 2 6 5 2 4" xfId="7202"/>
    <cellStyle name="Normal 3 2 6 5 3" xfId="7203"/>
    <cellStyle name="Normal 3 2 6 5 4" xfId="7204"/>
    <cellStyle name="Normal 3 2 6 6" xfId="7205"/>
    <cellStyle name="Normal 3 2 6 7" xfId="7206"/>
    <cellStyle name="Normal 3 2 6 8" xfId="7207"/>
    <cellStyle name="Normal 3 2 6 9" xfId="7208"/>
    <cellStyle name="Normal 3 2 7" xfId="7209"/>
    <cellStyle name="Normal 3 2 7 10" xfId="7210"/>
    <cellStyle name="Normal 3 2 7 11" xfId="7211"/>
    <cellStyle name="Normal 3 2 7 12" xfId="7212"/>
    <cellStyle name="Normal 3 2 7 13" xfId="7213"/>
    <cellStyle name="Normal 3 2 7 2" xfId="7214"/>
    <cellStyle name="Normal 3 2 7 3" xfId="7215"/>
    <cellStyle name="Normal 3 2 7 4" xfId="7216"/>
    <cellStyle name="Normal 3 2 7 5" xfId="7217"/>
    <cellStyle name="Normal 3 2 7 6" xfId="7218"/>
    <cellStyle name="Normal 3 2 7 7" xfId="7219"/>
    <cellStyle name="Normal 3 2 7 8" xfId="7220"/>
    <cellStyle name="Normal 3 2 7 9" xfId="7221"/>
    <cellStyle name="Normal 3 2 8" xfId="7222"/>
    <cellStyle name="Normal 3 2 8 10" xfId="7223"/>
    <cellStyle name="Normal 3 2 8 11" xfId="7224"/>
    <cellStyle name="Normal 3 2 8 12" xfId="7225"/>
    <cellStyle name="Normal 3 2 8 13" xfId="7226"/>
    <cellStyle name="Normal 3 2 8 2" xfId="7227"/>
    <cellStyle name="Normal 3 2 8 3" xfId="7228"/>
    <cellStyle name="Normal 3 2 8 4" xfId="7229"/>
    <cellStyle name="Normal 3 2 8 5" xfId="7230"/>
    <cellStyle name="Normal 3 2 8 6" xfId="7231"/>
    <cellStyle name="Normal 3 2 8 7" xfId="7232"/>
    <cellStyle name="Normal 3 2 8 8" xfId="7233"/>
    <cellStyle name="Normal 3 2 8 9" xfId="7234"/>
    <cellStyle name="Normal 3 2 9" xfId="7235"/>
    <cellStyle name="Normal 3 2 9 2" xfId="7236"/>
    <cellStyle name="Normal 3 2 9 2 2" xfId="7237"/>
    <cellStyle name="Normal 3 2 9 2 2 2" xfId="7238"/>
    <cellStyle name="Normal 3 2 9 2 2 2 2" xfId="7239"/>
    <cellStyle name="Normal 3 2 9 2 2 2 2 2" xfId="7240"/>
    <cellStyle name="Normal 3 2 9 2 2 2 3" xfId="7241"/>
    <cellStyle name="Normal 3 2 9 2 2 2 4" xfId="7242"/>
    <cellStyle name="Normal 3 2 9 2 2 3" xfId="7243"/>
    <cellStyle name="Normal 3 2 9 2 2 4" xfId="7244"/>
    <cellStyle name="Normal 3 2 9 2 3" xfId="7245"/>
    <cellStyle name="Normal 3 2 9 2 4" xfId="7246"/>
    <cellStyle name="Normal 3 2 9 2 5" xfId="7247"/>
    <cellStyle name="Normal 3 2 9 2 6" xfId="7248"/>
    <cellStyle name="Normal 3 2 9 2 7" xfId="7249"/>
    <cellStyle name="Normal 3 2 9 3" xfId="7250"/>
    <cellStyle name="Normal 3 2 9 3 2" xfId="7251"/>
    <cellStyle name="Normal 3 2 9 3 2 2" xfId="7252"/>
    <cellStyle name="Normal 3 2 9 3 2 3" xfId="7253"/>
    <cellStyle name="Normal 3 2 9 3 2 4" xfId="7254"/>
    <cellStyle name="Normal 3 2 9 3 3" xfId="7255"/>
    <cellStyle name="Normal 3 2 9 3 4" xfId="7256"/>
    <cellStyle name="Normal 3 2 9 4" xfId="7257"/>
    <cellStyle name="Normal 3 2 9 5" xfId="7258"/>
    <cellStyle name="Normal 3 2 9 6" xfId="7259"/>
    <cellStyle name="Normal 3 2 9 7" xfId="7260"/>
    <cellStyle name="Normal 3 20" xfId="7261"/>
    <cellStyle name="Normal 3 21" xfId="7262"/>
    <cellStyle name="Normal 3 22" xfId="7263"/>
    <cellStyle name="Normal 3 23" xfId="7264"/>
    <cellStyle name="Normal 3 24" xfId="7265"/>
    <cellStyle name="Normal 3 25" xfId="7266"/>
    <cellStyle name="Normal 3 26" xfId="7267"/>
    <cellStyle name="Normal 3 27" xfId="7268"/>
    <cellStyle name="Normal 3 28" xfId="7269"/>
    <cellStyle name="Normal 3 29" xfId="7270"/>
    <cellStyle name="Normal 3 3" xfId="7271"/>
    <cellStyle name="Normal 3 3 10" xfId="7272"/>
    <cellStyle name="Normal 3 3 11" xfId="7273"/>
    <cellStyle name="Normal 3 3 12" xfId="7274"/>
    <cellStyle name="Normal 3 3 13" xfId="7275"/>
    <cellStyle name="Normal 3 3 14" xfId="7276"/>
    <cellStyle name="Normal 3 3 2" xfId="7277"/>
    <cellStyle name="Normal 3 3 3" xfId="7278"/>
    <cellStyle name="Normal 3 3 4" xfId="7279"/>
    <cellStyle name="Normal 3 3 5" xfId="7280"/>
    <cellStyle name="Normal 3 3 6" xfId="7281"/>
    <cellStyle name="Normal 3 3 7" xfId="7282"/>
    <cellStyle name="Normal 3 3 8" xfId="7283"/>
    <cellStyle name="Normal 3 3 9" xfId="7284"/>
    <cellStyle name="Normal 3 30" xfId="7285"/>
    <cellStyle name="Normal 3 31" xfId="7286"/>
    <cellStyle name="Normal 3 32" xfId="7287"/>
    <cellStyle name="Normal 3 33" xfId="7288"/>
    <cellStyle name="Normal 3 34" xfId="7289"/>
    <cellStyle name="Normal 3 35" xfId="7290"/>
    <cellStyle name="Normal 3 4" xfId="7291"/>
    <cellStyle name="Normal 3 4 10" xfId="7292"/>
    <cellStyle name="Normal 3 4 11" xfId="7293"/>
    <cellStyle name="Normal 3 4 12" xfId="7294"/>
    <cellStyle name="Normal 3 4 13" xfId="7295"/>
    <cellStyle name="Normal 3 4 14" xfId="7296"/>
    <cellStyle name="Normal 3 4 15" xfId="7297"/>
    <cellStyle name="Normal 3 4 16" xfId="7298"/>
    <cellStyle name="Normal 3 4 2" xfId="7299"/>
    <cellStyle name="Normal 3 4 2 10" xfId="7300"/>
    <cellStyle name="Normal 3 4 2 11" xfId="7301"/>
    <cellStyle name="Normal 3 4 2 12" xfId="7302"/>
    <cellStyle name="Normal 3 4 2 13" xfId="7303"/>
    <cellStyle name="Normal 3 4 2 14" xfId="7304"/>
    <cellStyle name="Normal 3 4 2 15" xfId="7305"/>
    <cellStyle name="Normal 3 4 2 16" xfId="7306"/>
    <cellStyle name="Normal 3 4 2 2" xfId="7307"/>
    <cellStyle name="Normal 3 4 2 2 10" xfId="7308"/>
    <cellStyle name="Normal 3 4 2 2 11" xfId="7309"/>
    <cellStyle name="Normal 3 4 2 2 12" xfId="7310"/>
    <cellStyle name="Normal 3 4 2 2 13" xfId="7311"/>
    <cellStyle name="Normal 3 4 2 2 2" xfId="7312"/>
    <cellStyle name="Normal 3 4 2 2 2 10" xfId="7313"/>
    <cellStyle name="Normal 3 4 2 2 2 11" xfId="7314"/>
    <cellStyle name="Normal 3 4 2 2 2 12" xfId="7315"/>
    <cellStyle name="Normal 3 4 2 2 2 13" xfId="7316"/>
    <cellStyle name="Normal 3 4 2 2 2 2" xfId="7317"/>
    <cellStyle name="Normal 3 4 2 2 2 2 2" xfId="7318"/>
    <cellStyle name="Normal 3 4 2 2 2 2 2 2" xfId="7319"/>
    <cellStyle name="Normal 3 4 2 2 2 2 2 2 2" xfId="7320"/>
    <cellStyle name="Normal 3 4 2 2 2 2 2 2 2 2" xfId="7321"/>
    <cellStyle name="Normal 3 4 2 2 2 2 2 2 2 2 2" xfId="7322"/>
    <cellStyle name="Normal 3 4 2 2 2 2 2 2 2 3" xfId="7323"/>
    <cellStyle name="Normal 3 4 2 2 2 2 2 2 2 4" xfId="7324"/>
    <cellStyle name="Normal 3 4 2 2 2 2 2 2 3" xfId="7325"/>
    <cellStyle name="Normal 3 4 2 2 2 2 2 2 4" xfId="7326"/>
    <cellStyle name="Normal 3 4 2 2 2 2 2 3" xfId="7327"/>
    <cellStyle name="Normal 3 4 2 2 2 2 2 4" xfId="7328"/>
    <cellStyle name="Normal 3 4 2 2 2 2 2 5" xfId="7329"/>
    <cellStyle name="Normal 3 4 2 2 2 2 2 6" xfId="7330"/>
    <cellStyle name="Normal 3 4 2 2 2 2 2 7" xfId="7331"/>
    <cellStyle name="Normal 3 4 2 2 2 2 3" xfId="7332"/>
    <cellStyle name="Normal 3 4 2 2 2 2 3 2" xfId="7333"/>
    <cellStyle name="Normal 3 4 2 2 2 2 3 2 2" xfId="7334"/>
    <cellStyle name="Normal 3 4 2 2 2 2 3 2 3" xfId="7335"/>
    <cellStyle name="Normal 3 4 2 2 2 2 3 2 4" xfId="7336"/>
    <cellStyle name="Normal 3 4 2 2 2 2 3 3" xfId="7337"/>
    <cellStyle name="Normal 3 4 2 2 2 2 3 4" xfId="7338"/>
    <cellStyle name="Normal 3 4 2 2 2 2 4" xfId="7339"/>
    <cellStyle name="Normal 3 4 2 2 2 2 5" xfId="7340"/>
    <cellStyle name="Normal 3 4 2 2 2 2 6" xfId="7341"/>
    <cellStyle name="Normal 3 4 2 2 2 2 7" xfId="7342"/>
    <cellStyle name="Normal 3 4 2 2 2 3" xfId="7343"/>
    <cellStyle name="Normal 3 4 2 2 2 4" xfId="7344"/>
    <cellStyle name="Normal 3 4 2 2 2 5" xfId="7345"/>
    <cellStyle name="Normal 3 4 2 2 2 5 2" xfId="7346"/>
    <cellStyle name="Normal 3 4 2 2 2 5 2 2" xfId="7347"/>
    <cellStyle name="Normal 3 4 2 2 2 5 2 3" xfId="7348"/>
    <cellStyle name="Normal 3 4 2 2 2 5 2 4" xfId="7349"/>
    <cellStyle name="Normal 3 4 2 2 2 5 3" xfId="7350"/>
    <cellStyle name="Normal 3 4 2 2 2 5 4" xfId="7351"/>
    <cellStyle name="Normal 3 4 2 2 2 6" xfId="7352"/>
    <cellStyle name="Normal 3 4 2 2 2 7" xfId="7353"/>
    <cellStyle name="Normal 3 4 2 2 2 8" xfId="7354"/>
    <cellStyle name="Normal 3 4 2 2 2 9" xfId="7355"/>
    <cellStyle name="Normal 3 4 2 2 3" xfId="7356"/>
    <cellStyle name="Normal 3 4 2 2 3 2" xfId="7357"/>
    <cellStyle name="Normal 3 4 2 2 3 2 2" xfId="7358"/>
    <cellStyle name="Normal 3 4 2 2 3 2 2 2" xfId="7359"/>
    <cellStyle name="Normal 3 4 2 2 3 2 2 2 2" xfId="7360"/>
    <cellStyle name="Normal 3 4 2 2 3 2 2 2 2 2" xfId="7361"/>
    <cellStyle name="Normal 3 4 2 2 3 2 2 2 3" xfId="7362"/>
    <cellStyle name="Normal 3 4 2 2 3 2 2 2 4" xfId="7363"/>
    <cellStyle name="Normal 3 4 2 2 3 2 2 3" xfId="7364"/>
    <cellStyle name="Normal 3 4 2 2 3 2 2 4" xfId="7365"/>
    <cellStyle name="Normal 3 4 2 2 3 2 3" xfId="7366"/>
    <cellStyle name="Normal 3 4 2 2 3 2 4" xfId="7367"/>
    <cellStyle name="Normal 3 4 2 2 3 2 5" xfId="7368"/>
    <cellStyle name="Normal 3 4 2 2 3 2 6" xfId="7369"/>
    <cellStyle name="Normal 3 4 2 2 3 2 7" xfId="7370"/>
    <cellStyle name="Normal 3 4 2 2 3 3" xfId="7371"/>
    <cellStyle name="Normal 3 4 2 2 3 3 2" xfId="7372"/>
    <cellStyle name="Normal 3 4 2 2 3 3 2 2" xfId="7373"/>
    <cellStyle name="Normal 3 4 2 2 3 3 2 3" xfId="7374"/>
    <cellStyle name="Normal 3 4 2 2 3 3 2 4" xfId="7375"/>
    <cellStyle name="Normal 3 4 2 2 3 3 3" xfId="7376"/>
    <cellStyle name="Normal 3 4 2 2 3 3 4" xfId="7377"/>
    <cellStyle name="Normal 3 4 2 2 3 4" xfId="7378"/>
    <cellStyle name="Normal 3 4 2 2 3 5" xfId="7379"/>
    <cellStyle name="Normal 3 4 2 2 3 6" xfId="7380"/>
    <cellStyle name="Normal 3 4 2 2 3 7" xfId="7381"/>
    <cellStyle name="Normal 3 4 2 2 4" xfId="7382"/>
    <cellStyle name="Normal 3 4 2 2 5" xfId="7383"/>
    <cellStyle name="Normal 3 4 2 2 5 2" xfId="7384"/>
    <cellStyle name="Normal 3 4 2 2 5 2 2" xfId="7385"/>
    <cellStyle name="Normal 3 4 2 2 5 2 3" xfId="7386"/>
    <cellStyle name="Normal 3 4 2 2 5 2 4" xfId="7387"/>
    <cellStyle name="Normal 3 4 2 2 5 3" xfId="7388"/>
    <cellStyle name="Normal 3 4 2 2 5 4" xfId="7389"/>
    <cellStyle name="Normal 3 4 2 2 6" xfId="7390"/>
    <cellStyle name="Normal 3 4 2 2 7" xfId="7391"/>
    <cellStyle name="Normal 3 4 2 2 8" xfId="7392"/>
    <cellStyle name="Normal 3 4 2 2 9" xfId="7393"/>
    <cellStyle name="Normal 3 4 2 3" xfId="7394"/>
    <cellStyle name="Normal 3 4 2 4" xfId="7395"/>
    <cellStyle name="Normal 3 4 2 5" xfId="7396"/>
    <cellStyle name="Normal 3 4 2 5 2" xfId="7397"/>
    <cellStyle name="Normal 3 4 2 5 2 2" xfId="7398"/>
    <cellStyle name="Normal 3 4 2 5 2 2 2" xfId="7399"/>
    <cellStyle name="Normal 3 4 2 5 2 2 2 2" xfId="7400"/>
    <cellStyle name="Normal 3 4 2 5 2 2 2 2 2" xfId="7401"/>
    <cellStyle name="Normal 3 4 2 5 2 2 2 3" xfId="7402"/>
    <cellStyle name="Normal 3 4 2 5 2 2 2 4" xfId="7403"/>
    <cellStyle name="Normal 3 4 2 5 2 2 3" xfId="7404"/>
    <cellStyle name="Normal 3 4 2 5 2 2 4" xfId="7405"/>
    <cellStyle name="Normal 3 4 2 5 2 3" xfId="7406"/>
    <cellStyle name="Normal 3 4 2 5 2 4" xfId="7407"/>
    <cellStyle name="Normal 3 4 2 5 2 5" xfId="7408"/>
    <cellStyle name="Normal 3 4 2 5 2 6" xfId="7409"/>
    <cellStyle name="Normal 3 4 2 5 2 7" xfId="7410"/>
    <cellStyle name="Normal 3 4 2 5 3" xfId="7411"/>
    <cellStyle name="Normal 3 4 2 5 3 2" xfId="7412"/>
    <cellStyle name="Normal 3 4 2 5 3 2 2" xfId="7413"/>
    <cellStyle name="Normal 3 4 2 5 3 2 3" xfId="7414"/>
    <cellStyle name="Normal 3 4 2 5 3 2 4" xfId="7415"/>
    <cellStyle name="Normal 3 4 2 5 3 3" xfId="7416"/>
    <cellStyle name="Normal 3 4 2 5 3 4" xfId="7417"/>
    <cellStyle name="Normal 3 4 2 5 4" xfId="7418"/>
    <cellStyle name="Normal 3 4 2 5 5" xfId="7419"/>
    <cellStyle name="Normal 3 4 2 5 6" xfId="7420"/>
    <cellStyle name="Normal 3 4 2 5 7" xfId="7421"/>
    <cellStyle name="Normal 3 4 2 6" xfId="7422"/>
    <cellStyle name="Normal 3 4 2 7" xfId="7423"/>
    <cellStyle name="Normal 3 4 2 8" xfId="7424"/>
    <cellStyle name="Normal 3 4 2 8 2" xfId="7425"/>
    <cellStyle name="Normal 3 4 2 8 2 2" xfId="7426"/>
    <cellStyle name="Normal 3 4 2 8 2 3" xfId="7427"/>
    <cellStyle name="Normal 3 4 2 8 2 4" xfId="7428"/>
    <cellStyle name="Normal 3 4 2 8 3" xfId="7429"/>
    <cellStyle name="Normal 3 4 2 8 4" xfId="7430"/>
    <cellStyle name="Normal 3 4 2 9" xfId="7431"/>
    <cellStyle name="Normal 3 4 3" xfId="7432"/>
    <cellStyle name="Normal 3 4 3 10" xfId="7433"/>
    <cellStyle name="Normal 3 4 3 11" xfId="7434"/>
    <cellStyle name="Normal 3 4 3 12" xfId="7435"/>
    <cellStyle name="Normal 3 4 3 13" xfId="7436"/>
    <cellStyle name="Normal 3 4 3 2" xfId="7437"/>
    <cellStyle name="Normal 3 4 3 2 10" xfId="7438"/>
    <cellStyle name="Normal 3 4 3 2 11" xfId="7439"/>
    <cellStyle name="Normal 3 4 3 2 12" xfId="7440"/>
    <cellStyle name="Normal 3 4 3 2 13" xfId="7441"/>
    <cellStyle name="Normal 3 4 3 2 2" xfId="7442"/>
    <cellStyle name="Normal 3 4 3 2 2 2" xfId="7443"/>
    <cellStyle name="Normal 3 4 3 2 2 2 2" xfId="7444"/>
    <cellStyle name="Normal 3 4 3 2 2 2 2 2" xfId="7445"/>
    <cellStyle name="Normal 3 4 3 2 2 2 2 2 2" xfId="7446"/>
    <cellStyle name="Normal 3 4 3 2 2 2 2 2 2 2" xfId="7447"/>
    <cellStyle name="Normal 3 4 3 2 2 2 2 2 3" xfId="7448"/>
    <cellStyle name="Normal 3 4 3 2 2 2 2 2 4" xfId="7449"/>
    <cellStyle name="Normal 3 4 3 2 2 2 2 3" xfId="7450"/>
    <cellStyle name="Normal 3 4 3 2 2 2 2 4" xfId="7451"/>
    <cellStyle name="Normal 3 4 3 2 2 2 3" xfId="7452"/>
    <cellStyle name="Normal 3 4 3 2 2 2 4" xfId="7453"/>
    <cellStyle name="Normal 3 4 3 2 2 2 5" xfId="7454"/>
    <cellStyle name="Normal 3 4 3 2 2 2 6" xfId="7455"/>
    <cellStyle name="Normal 3 4 3 2 2 2 7" xfId="7456"/>
    <cellStyle name="Normal 3 4 3 2 2 3" xfId="7457"/>
    <cellStyle name="Normal 3 4 3 2 2 3 2" xfId="7458"/>
    <cellStyle name="Normal 3 4 3 2 2 3 2 2" xfId="7459"/>
    <cellStyle name="Normal 3 4 3 2 2 3 2 3" xfId="7460"/>
    <cellStyle name="Normal 3 4 3 2 2 3 2 4" xfId="7461"/>
    <cellStyle name="Normal 3 4 3 2 2 3 3" xfId="7462"/>
    <cellStyle name="Normal 3 4 3 2 2 3 4" xfId="7463"/>
    <cellStyle name="Normal 3 4 3 2 2 4" xfId="7464"/>
    <cellStyle name="Normal 3 4 3 2 2 5" xfId="7465"/>
    <cellStyle name="Normal 3 4 3 2 2 6" xfId="7466"/>
    <cellStyle name="Normal 3 4 3 2 2 7" xfId="7467"/>
    <cellStyle name="Normal 3 4 3 2 3" xfId="7468"/>
    <cellStyle name="Normal 3 4 3 2 4" xfId="7469"/>
    <cellStyle name="Normal 3 4 3 2 5" xfId="7470"/>
    <cellStyle name="Normal 3 4 3 2 5 2" xfId="7471"/>
    <cellStyle name="Normal 3 4 3 2 5 2 2" xfId="7472"/>
    <cellStyle name="Normal 3 4 3 2 5 2 3" xfId="7473"/>
    <cellStyle name="Normal 3 4 3 2 5 2 4" xfId="7474"/>
    <cellStyle name="Normal 3 4 3 2 5 3" xfId="7475"/>
    <cellStyle name="Normal 3 4 3 2 5 4" xfId="7476"/>
    <cellStyle name="Normal 3 4 3 2 6" xfId="7477"/>
    <cellStyle name="Normal 3 4 3 2 7" xfId="7478"/>
    <cellStyle name="Normal 3 4 3 2 8" xfId="7479"/>
    <cellStyle name="Normal 3 4 3 2 9" xfId="7480"/>
    <cellStyle name="Normal 3 4 3 3" xfId="7481"/>
    <cellStyle name="Normal 3 4 3 3 2" xfId="7482"/>
    <cellStyle name="Normal 3 4 3 3 2 2" xfId="7483"/>
    <cellStyle name="Normal 3 4 3 3 2 2 2" xfId="7484"/>
    <cellStyle name="Normal 3 4 3 3 2 2 2 2" xfId="7485"/>
    <cellStyle name="Normal 3 4 3 3 2 2 2 2 2" xfId="7486"/>
    <cellStyle name="Normal 3 4 3 3 2 2 2 3" xfId="7487"/>
    <cellStyle name="Normal 3 4 3 3 2 2 2 4" xfId="7488"/>
    <cellStyle name="Normal 3 4 3 3 2 2 3" xfId="7489"/>
    <cellStyle name="Normal 3 4 3 3 2 2 4" xfId="7490"/>
    <cellStyle name="Normal 3 4 3 3 2 3" xfId="7491"/>
    <cellStyle name="Normal 3 4 3 3 2 4" xfId="7492"/>
    <cellStyle name="Normal 3 4 3 3 2 5" xfId="7493"/>
    <cellStyle name="Normal 3 4 3 3 2 6" xfId="7494"/>
    <cellStyle name="Normal 3 4 3 3 2 7" xfId="7495"/>
    <cellStyle name="Normal 3 4 3 3 3" xfId="7496"/>
    <cellStyle name="Normal 3 4 3 3 3 2" xfId="7497"/>
    <cellStyle name="Normal 3 4 3 3 3 2 2" xfId="7498"/>
    <cellStyle name="Normal 3 4 3 3 3 2 3" xfId="7499"/>
    <cellStyle name="Normal 3 4 3 3 3 2 4" xfId="7500"/>
    <cellStyle name="Normal 3 4 3 3 3 3" xfId="7501"/>
    <cellStyle name="Normal 3 4 3 3 3 4" xfId="7502"/>
    <cellStyle name="Normal 3 4 3 3 4" xfId="7503"/>
    <cellStyle name="Normal 3 4 3 3 5" xfId="7504"/>
    <cellStyle name="Normal 3 4 3 3 6" xfId="7505"/>
    <cellStyle name="Normal 3 4 3 3 7" xfId="7506"/>
    <cellStyle name="Normal 3 4 3 4" xfId="7507"/>
    <cellStyle name="Normal 3 4 3 5" xfId="7508"/>
    <cellStyle name="Normal 3 4 3 5 2" xfId="7509"/>
    <cellStyle name="Normal 3 4 3 5 2 2" xfId="7510"/>
    <cellStyle name="Normal 3 4 3 5 2 3" xfId="7511"/>
    <cellStyle name="Normal 3 4 3 5 2 4" xfId="7512"/>
    <cellStyle name="Normal 3 4 3 5 3" xfId="7513"/>
    <cellStyle name="Normal 3 4 3 5 4" xfId="7514"/>
    <cellStyle name="Normal 3 4 3 6" xfId="7515"/>
    <cellStyle name="Normal 3 4 3 7" xfId="7516"/>
    <cellStyle name="Normal 3 4 3 8" xfId="7517"/>
    <cellStyle name="Normal 3 4 3 9" xfId="7518"/>
    <cellStyle name="Normal 3 4 4" xfId="7519"/>
    <cellStyle name="Normal 3 4 4 10" xfId="7520"/>
    <cellStyle name="Normal 3 4 4 11" xfId="7521"/>
    <cellStyle name="Normal 3 4 4 12" xfId="7522"/>
    <cellStyle name="Normal 3 4 4 13" xfId="7523"/>
    <cellStyle name="Normal 3 4 4 2" xfId="7524"/>
    <cellStyle name="Normal 3 4 4 3" xfId="7525"/>
    <cellStyle name="Normal 3 4 4 4" xfId="7526"/>
    <cellStyle name="Normal 3 4 4 5" xfId="7527"/>
    <cellStyle name="Normal 3 4 4 6" xfId="7528"/>
    <cellStyle name="Normal 3 4 4 7" xfId="7529"/>
    <cellStyle name="Normal 3 4 4 8" xfId="7530"/>
    <cellStyle name="Normal 3 4 4 9" xfId="7531"/>
    <cellStyle name="Normal 3 4 5" xfId="7532"/>
    <cellStyle name="Normal 3 4 5 2" xfId="7533"/>
    <cellStyle name="Normal 3 4 5 2 2" xfId="7534"/>
    <cellStyle name="Normal 3 4 5 2 2 2" xfId="7535"/>
    <cellStyle name="Normal 3 4 5 2 2 2 2" xfId="7536"/>
    <cellStyle name="Normal 3 4 5 2 2 2 2 2" xfId="7537"/>
    <cellStyle name="Normal 3 4 5 2 2 2 3" xfId="7538"/>
    <cellStyle name="Normal 3 4 5 2 2 2 4" xfId="7539"/>
    <cellStyle name="Normal 3 4 5 2 2 3" xfId="7540"/>
    <cellStyle name="Normal 3 4 5 2 2 4" xfId="7541"/>
    <cellStyle name="Normal 3 4 5 2 3" xfId="7542"/>
    <cellStyle name="Normal 3 4 5 2 4" xfId="7543"/>
    <cellStyle name="Normal 3 4 5 2 5" xfId="7544"/>
    <cellStyle name="Normal 3 4 5 2 6" xfId="7545"/>
    <cellStyle name="Normal 3 4 5 2 7" xfId="7546"/>
    <cellStyle name="Normal 3 4 5 3" xfId="7547"/>
    <cellStyle name="Normal 3 4 5 3 2" xfId="7548"/>
    <cellStyle name="Normal 3 4 5 3 2 2" xfId="7549"/>
    <cellStyle name="Normal 3 4 5 3 2 3" xfId="7550"/>
    <cellStyle name="Normal 3 4 5 3 2 4" xfId="7551"/>
    <cellStyle name="Normal 3 4 5 3 3" xfId="7552"/>
    <cellStyle name="Normal 3 4 5 3 4" xfId="7553"/>
    <cellStyle name="Normal 3 4 5 4" xfId="7554"/>
    <cellStyle name="Normal 3 4 5 5" xfId="7555"/>
    <cellStyle name="Normal 3 4 5 6" xfId="7556"/>
    <cellStyle name="Normal 3 4 5 7" xfId="7557"/>
    <cellStyle name="Normal 3 4 6" xfId="7558"/>
    <cellStyle name="Normal 3 4 7" xfId="7559"/>
    <cellStyle name="Normal 3 4 8" xfId="7560"/>
    <cellStyle name="Normal 3 4 8 2" xfId="7561"/>
    <cellStyle name="Normal 3 4 8 2 2" xfId="7562"/>
    <cellStyle name="Normal 3 4 8 2 3" xfId="7563"/>
    <cellStyle name="Normal 3 4 8 2 4" xfId="7564"/>
    <cellStyle name="Normal 3 4 8 3" xfId="7565"/>
    <cellStyle name="Normal 3 4 8 4" xfId="7566"/>
    <cellStyle name="Normal 3 4 9" xfId="7567"/>
    <cellStyle name="Normal 3 5" xfId="7568"/>
    <cellStyle name="Normal 3 6" xfId="7569"/>
    <cellStyle name="Normal 3 6 10" xfId="7570"/>
    <cellStyle name="Normal 3 6 11" xfId="7571"/>
    <cellStyle name="Normal 3 6 12" xfId="7572"/>
    <cellStyle name="Normal 3 6 13" xfId="7573"/>
    <cellStyle name="Normal 3 6 2" xfId="7574"/>
    <cellStyle name="Normal 3 6 2 10" xfId="7575"/>
    <cellStyle name="Normal 3 6 2 11" xfId="7576"/>
    <cellStyle name="Normal 3 6 2 12" xfId="7577"/>
    <cellStyle name="Normal 3 6 2 13" xfId="7578"/>
    <cellStyle name="Normal 3 6 2 2" xfId="7579"/>
    <cellStyle name="Normal 3 6 2 2 2" xfId="7580"/>
    <cellStyle name="Normal 3 6 2 2 2 2" xfId="7581"/>
    <cellStyle name="Normal 3 6 2 2 2 2 2" xfId="7582"/>
    <cellStyle name="Normal 3 6 2 2 2 2 2 2" xfId="7583"/>
    <cellStyle name="Normal 3 6 2 2 2 2 2 2 2" xfId="7584"/>
    <cellStyle name="Normal 3 6 2 2 2 2 2 3" xfId="7585"/>
    <cellStyle name="Normal 3 6 2 2 2 2 2 4" xfId="7586"/>
    <cellStyle name="Normal 3 6 2 2 2 2 3" xfId="7587"/>
    <cellStyle name="Normal 3 6 2 2 2 2 4" xfId="7588"/>
    <cellStyle name="Normal 3 6 2 2 2 3" xfId="7589"/>
    <cellStyle name="Normal 3 6 2 2 2 4" xfId="7590"/>
    <cellStyle name="Normal 3 6 2 2 2 5" xfId="7591"/>
    <cellStyle name="Normal 3 6 2 2 2 6" xfId="7592"/>
    <cellStyle name="Normal 3 6 2 2 2 7" xfId="7593"/>
    <cellStyle name="Normal 3 6 2 2 3" xfId="7594"/>
    <cellStyle name="Normal 3 6 2 2 3 2" xfId="7595"/>
    <cellStyle name="Normal 3 6 2 2 3 2 2" xfId="7596"/>
    <cellStyle name="Normal 3 6 2 2 3 2 3" xfId="7597"/>
    <cellStyle name="Normal 3 6 2 2 3 2 4" xfId="7598"/>
    <cellStyle name="Normal 3 6 2 2 3 3" xfId="7599"/>
    <cellStyle name="Normal 3 6 2 2 3 4" xfId="7600"/>
    <cellStyle name="Normal 3 6 2 2 4" xfId="7601"/>
    <cellStyle name="Normal 3 6 2 2 5" xfId="7602"/>
    <cellStyle name="Normal 3 6 2 2 6" xfId="7603"/>
    <cellStyle name="Normal 3 6 2 2 7" xfId="7604"/>
    <cellStyle name="Normal 3 6 2 3" xfId="7605"/>
    <cellStyle name="Normal 3 6 2 4" xfId="7606"/>
    <cellStyle name="Normal 3 6 2 5" xfId="7607"/>
    <cellStyle name="Normal 3 6 2 5 2" xfId="7608"/>
    <cellStyle name="Normal 3 6 2 5 2 2" xfId="7609"/>
    <cellStyle name="Normal 3 6 2 5 2 3" xfId="7610"/>
    <cellStyle name="Normal 3 6 2 5 2 4" xfId="7611"/>
    <cellStyle name="Normal 3 6 2 5 3" xfId="7612"/>
    <cellStyle name="Normal 3 6 2 5 4" xfId="7613"/>
    <cellStyle name="Normal 3 6 2 6" xfId="7614"/>
    <cellStyle name="Normal 3 6 2 7" xfId="7615"/>
    <cellStyle name="Normal 3 6 2 8" xfId="7616"/>
    <cellStyle name="Normal 3 6 2 9" xfId="7617"/>
    <cellStyle name="Normal 3 6 3" xfId="7618"/>
    <cellStyle name="Normal 3 6 3 2" xfId="7619"/>
    <cellStyle name="Normal 3 6 3 2 2" xfId="7620"/>
    <cellStyle name="Normal 3 6 3 2 2 2" xfId="7621"/>
    <cellStyle name="Normal 3 6 3 2 2 2 2" xfId="7622"/>
    <cellStyle name="Normal 3 6 3 2 2 2 2 2" xfId="7623"/>
    <cellStyle name="Normal 3 6 3 2 2 2 3" xfId="7624"/>
    <cellStyle name="Normal 3 6 3 2 2 2 4" xfId="7625"/>
    <cellStyle name="Normal 3 6 3 2 2 3" xfId="7626"/>
    <cellStyle name="Normal 3 6 3 2 2 4" xfId="7627"/>
    <cellStyle name="Normal 3 6 3 2 3" xfId="7628"/>
    <cellStyle name="Normal 3 6 3 2 4" xfId="7629"/>
    <cellStyle name="Normal 3 6 3 2 5" xfId="7630"/>
    <cellStyle name="Normal 3 6 3 2 6" xfId="7631"/>
    <cellStyle name="Normal 3 6 3 2 7" xfId="7632"/>
    <cellStyle name="Normal 3 6 3 3" xfId="7633"/>
    <cellStyle name="Normal 3 6 3 3 2" xfId="7634"/>
    <cellStyle name="Normal 3 6 3 3 2 2" xfId="7635"/>
    <cellStyle name="Normal 3 6 3 3 2 3" xfId="7636"/>
    <cellStyle name="Normal 3 6 3 3 2 4" xfId="7637"/>
    <cellStyle name="Normal 3 6 3 3 3" xfId="7638"/>
    <cellStyle name="Normal 3 6 3 3 4" xfId="7639"/>
    <cellStyle name="Normal 3 6 3 4" xfId="7640"/>
    <cellStyle name="Normal 3 6 3 5" xfId="7641"/>
    <cellStyle name="Normal 3 6 3 6" xfId="7642"/>
    <cellStyle name="Normal 3 6 3 7" xfId="7643"/>
    <cellStyle name="Normal 3 6 4" xfId="7644"/>
    <cellStyle name="Normal 3 6 5" xfId="7645"/>
    <cellStyle name="Normal 3 6 5 2" xfId="7646"/>
    <cellStyle name="Normal 3 6 5 2 2" xfId="7647"/>
    <cellStyle name="Normal 3 6 5 2 3" xfId="7648"/>
    <cellStyle name="Normal 3 6 5 2 4" xfId="7649"/>
    <cellStyle name="Normal 3 6 5 3" xfId="7650"/>
    <cellStyle name="Normal 3 6 5 4" xfId="7651"/>
    <cellStyle name="Normal 3 6 6" xfId="7652"/>
    <cellStyle name="Normal 3 6 7" xfId="7653"/>
    <cellStyle name="Normal 3 6 8" xfId="7654"/>
    <cellStyle name="Normal 3 6 9" xfId="7655"/>
    <cellStyle name="Normal 3 7" xfId="7656"/>
    <cellStyle name="Normal 3 7 10" xfId="7657"/>
    <cellStyle name="Normal 3 7 11" xfId="7658"/>
    <cellStyle name="Normal 3 7 12" xfId="7659"/>
    <cellStyle name="Normal 3 7 13" xfId="7660"/>
    <cellStyle name="Normal 3 7 2" xfId="7661"/>
    <cellStyle name="Normal 3 7 3" xfId="7662"/>
    <cellStyle name="Normal 3 7 4" xfId="7663"/>
    <cellStyle name="Normal 3 7 5" xfId="7664"/>
    <cellStyle name="Normal 3 7 6" xfId="7665"/>
    <cellStyle name="Normal 3 7 7" xfId="7666"/>
    <cellStyle name="Normal 3 7 8" xfId="7667"/>
    <cellStyle name="Normal 3 7 9" xfId="7668"/>
    <cellStyle name="Normal 3 8" xfId="7669"/>
    <cellStyle name="Normal 3 8 10" xfId="7670"/>
    <cellStyle name="Normal 3 8 11" xfId="7671"/>
    <cellStyle name="Normal 3 8 12" xfId="7672"/>
    <cellStyle name="Normal 3 8 13" xfId="7673"/>
    <cellStyle name="Normal 3 8 2" xfId="7674"/>
    <cellStyle name="Normal 3 8 3" xfId="7675"/>
    <cellStyle name="Normal 3 8 4" xfId="7676"/>
    <cellStyle name="Normal 3 8 5" xfId="7677"/>
    <cellStyle name="Normal 3 8 6" xfId="7678"/>
    <cellStyle name="Normal 3 8 7" xfId="7679"/>
    <cellStyle name="Normal 3 8 8" xfId="7680"/>
    <cellStyle name="Normal 3 8 9" xfId="7681"/>
    <cellStyle name="Normal 3 9" xfId="7682"/>
    <cellStyle name="Normal 3 9 2" xfId="7683"/>
    <cellStyle name="Normal 3 9 2 2" xfId="7684"/>
    <cellStyle name="Normal 3 9 2 2 2" xfId="7685"/>
    <cellStyle name="Normal 3 9 2 2 2 2" xfId="7686"/>
    <cellStyle name="Normal 3 9 2 2 2 2 2" xfId="7687"/>
    <cellStyle name="Normal 3 9 2 2 2 3" xfId="7688"/>
    <cellStyle name="Normal 3 9 2 2 2 4" xfId="7689"/>
    <cellStyle name="Normal 3 9 2 2 3" xfId="7690"/>
    <cellStyle name="Normal 3 9 2 2 4" xfId="7691"/>
    <cellStyle name="Normal 3 9 2 3" xfId="7692"/>
    <cellStyle name="Normal 3 9 2 4" xfId="7693"/>
    <cellStyle name="Normal 3 9 2 5" xfId="7694"/>
    <cellStyle name="Normal 3 9 2 6" xfId="7695"/>
    <cellStyle name="Normal 3 9 2 7" xfId="7696"/>
    <cellStyle name="Normal 3 9 3" xfId="7697"/>
    <cellStyle name="Normal 3 9 3 2" xfId="7698"/>
    <cellStyle name="Normal 3 9 3 2 2" xfId="7699"/>
    <cellStyle name="Normal 3 9 3 2 3" xfId="7700"/>
    <cellStyle name="Normal 3 9 3 2 4" xfId="7701"/>
    <cellStyle name="Normal 3 9 3 3" xfId="7702"/>
    <cellStyle name="Normal 3 9 3 4" xfId="7703"/>
    <cellStyle name="Normal 3 9 4" xfId="7704"/>
    <cellStyle name="Normal 3 9 5" xfId="7705"/>
    <cellStyle name="Normal 3 9 6" xfId="7706"/>
    <cellStyle name="Normal 3 9 7" xfId="7707"/>
    <cellStyle name="Normal 30" xfId="7708"/>
    <cellStyle name="Normal 30 10" xfId="7709"/>
    <cellStyle name="Normal 30 11" xfId="7710"/>
    <cellStyle name="Normal 30 12" xfId="7711"/>
    <cellStyle name="Normal 30 13" xfId="7712"/>
    <cellStyle name="Normal 30 14" xfId="7713"/>
    <cellStyle name="Normal 30 15" xfId="7714"/>
    <cellStyle name="Normal 30 16" xfId="7715"/>
    <cellStyle name="Normal 30 17" xfId="7716"/>
    <cellStyle name="Normal 30 18" xfId="7717"/>
    <cellStyle name="Normal 30 2" xfId="7718"/>
    <cellStyle name="Normal 30 2 10" xfId="7719"/>
    <cellStyle name="Normal 30 2 11" xfId="7720"/>
    <cellStyle name="Normal 30 2 12" xfId="7721"/>
    <cellStyle name="Normal 30 2 13" xfId="7722"/>
    <cellStyle name="Normal 30 2 2" xfId="7723"/>
    <cellStyle name="Normal 30 2 3" xfId="7724"/>
    <cellStyle name="Normal 30 2 4" xfId="7725"/>
    <cellStyle name="Normal 30 2 5" xfId="7726"/>
    <cellStyle name="Normal 30 2 6" xfId="7727"/>
    <cellStyle name="Normal 30 2 7" xfId="7728"/>
    <cellStyle name="Normal 30 2 8" xfId="7729"/>
    <cellStyle name="Normal 30 2 9" xfId="7730"/>
    <cellStyle name="Normal 30 3" xfId="7731"/>
    <cellStyle name="Normal 30 3 10" xfId="7732"/>
    <cellStyle name="Normal 30 3 11" xfId="7733"/>
    <cellStyle name="Normal 30 3 12" xfId="7734"/>
    <cellStyle name="Normal 30 3 13" xfId="7735"/>
    <cellStyle name="Normal 30 3 2" xfId="7736"/>
    <cellStyle name="Normal 30 3 3" xfId="7737"/>
    <cellStyle name="Normal 30 3 4" xfId="7738"/>
    <cellStyle name="Normal 30 3 5" xfId="7739"/>
    <cellStyle name="Normal 30 3 6" xfId="7740"/>
    <cellStyle name="Normal 30 3 7" xfId="7741"/>
    <cellStyle name="Normal 30 3 8" xfId="7742"/>
    <cellStyle name="Normal 30 3 9" xfId="7743"/>
    <cellStyle name="Normal 30 4" xfId="7744"/>
    <cellStyle name="Normal 30 4 10" xfId="7745"/>
    <cellStyle name="Normal 30 4 11" xfId="7746"/>
    <cellStyle name="Normal 30 4 12" xfId="7747"/>
    <cellStyle name="Normal 30 4 13" xfId="7748"/>
    <cellStyle name="Normal 30 4 2" xfId="7749"/>
    <cellStyle name="Normal 30 4 3" xfId="7750"/>
    <cellStyle name="Normal 30 4 4" xfId="7751"/>
    <cellStyle name="Normal 30 4 5" xfId="7752"/>
    <cellStyle name="Normal 30 4 6" xfId="7753"/>
    <cellStyle name="Normal 30 4 7" xfId="7754"/>
    <cellStyle name="Normal 30 4 8" xfId="7755"/>
    <cellStyle name="Normal 30 4 9" xfId="7756"/>
    <cellStyle name="Normal 30 5" xfId="7757"/>
    <cellStyle name="Normal 30 6" xfId="7758"/>
    <cellStyle name="Normal 30 7" xfId="7759"/>
    <cellStyle name="Normal 30 8" xfId="7760"/>
    <cellStyle name="Normal 30 9" xfId="7761"/>
    <cellStyle name="Normal 31" xfId="7762"/>
    <cellStyle name="Normal 31 10" xfId="7763"/>
    <cellStyle name="Normal 31 11" xfId="7764"/>
    <cellStyle name="Normal 31 12" xfId="7765"/>
    <cellStyle name="Normal 31 13" xfId="7766"/>
    <cellStyle name="Normal 31 14" xfId="7767"/>
    <cellStyle name="Normal 31 15" xfId="7768"/>
    <cellStyle name="Normal 31 16" xfId="7769"/>
    <cellStyle name="Normal 31 17" xfId="7770"/>
    <cellStyle name="Normal 31 18" xfId="7771"/>
    <cellStyle name="Normal 31 19" xfId="7772"/>
    <cellStyle name="Normal 31 2" xfId="7773"/>
    <cellStyle name="Normal 31 2 10" xfId="7774"/>
    <cellStyle name="Normal 31 2 11" xfId="7775"/>
    <cellStyle name="Normal 31 2 12" xfId="7776"/>
    <cellStyle name="Normal 31 2 13" xfId="7777"/>
    <cellStyle name="Normal 31 2 2" xfId="7778"/>
    <cellStyle name="Normal 31 2 2 2" xfId="7779"/>
    <cellStyle name="Normal 31 2 2 2 2" xfId="7780"/>
    <cellStyle name="Normal 31 2 2 2 2 2" xfId="7781"/>
    <cellStyle name="Normal 31 2 2 2 2 2 2" xfId="7782"/>
    <cellStyle name="Normal 31 2 2 2 2 2 2 2" xfId="7783"/>
    <cellStyle name="Normal 31 2 2 2 2 2 3" xfId="7784"/>
    <cellStyle name="Normal 31 2 2 2 2 2 4" xfId="7785"/>
    <cellStyle name="Normal 31 2 2 2 2 3" xfId="7786"/>
    <cellStyle name="Normal 31 2 2 2 2 4" xfId="7787"/>
    <cellStyle name="Normal 31 2 2 2 3" xfId="7788"/>
    <cellStyle name="Normal 31 2 2 2 4" xfId="7789"/>
    <cellStyle name="Normal 31 2 2 2 5" xfId="7790"/>
    <cellStyle name="Normal 31 2 2 2 6" xfId="7791"/>
    <cellStyle name="Normal 31 2 2 2 7" xfId="7792"/>
    <cellStyle name="Normal 31 2 2 3" xfId="7793"/>
    <cellStyle name="Normal 31 2 2 3 2" xfId="7794"/>
    <cellStyle name="Normal 31 2 2 3 2 2" xfId="7795"/>
    <cellStyle name="Normal 31 2 2 3 2 3" xfId="7796"/>
    <cellStyle name="Normal 31 2 2 3 2 4" xfId="7797"/>
    <cellStyle name="Normal 31 2 2 3 3" xfId="7798"/>
    <cellStyle name="Normal 31 2 2 3 4" xfId="7799"/>
    <cellStyle name="Normal 31 2 2 4" xfId="7800"/>
    <cellStyle name="Normal 31 2 2 5" xfId="7801"/>
    <cellStyle name="Normal 31 2 2 6" xfId="7802"/>
    <cellStyle name="Normal 31 2 2 7" xfId="7803"/>
    <cellStyle name="Normal 31 2 3" xfId="7804"/>
    <cellStyle name="Normal 31 2 4" xfId="7805"/>
    <cellStyle name="Normal 31 2 5" xfId="7806"/>
    <cellStyle name="Normal 31 2 5 2" xfId="7807"/>
    <cellStyle name="Normal 31 2 5 2 2" xfId="7808"/>
    <cellStyle name="Normal 31 2 5 2 3" xfId="7809"/>
    <cellStyle name="Normal 31 2 5 2 4" xfId="7810"/>
    <cellStyle name="Normal 31 2 5 3" xfId="7811"/>
    <cellStyle name="Normal 31 2 5 4" xfId="7812"/>
    <cellStyle name="Normal 31 2 6" xfId="7813"/>
    <cellStyle name="Normal 31 2 7" xfId="7814"/>
    <cellStyle name="Normal 31 2 8" xfId="7815"/>
    <cellStyle name="Normal 31 2 9" xfId="7816"/>
    <cellStyle name="Normal 31 20" xfId="7817"/>
    <cellStyle name="Normal 31 21" xfId="7818"/>
    <cellStyle name="Normal 31 22" xfId="7819"/>
    <cellStyle name="Normal 31 23" xfId="7820"/>
    <cellStyle name="Normal 31 24" xfId="7821"/>
    <cellStyle name="Normal 31 25" xfId="7822"/>
    <cellStyle name="Normal 31 3" xfId="7823"/>
    <cellStyle name="Normal 31 3 2" xfId="7824"/>
    <cellStyle name="Normal 31 3 2 2" xfId="7825"/>
    <cellStyle name="Normal 31 3 2 2 2" xfId="7826"/>
    <cellStyle name="Normal 31 3 2 2 2 2" xfId="7827"/>
    <cellStyle name="Normal 31 3 2 2 2 2 2" xfId="7828"/>
    <cellStyle name="Normal 31 3 2 2 2 3" xfId="7829"/>
    <cellStyle name="Normal 31 3 2 2 2 4" xfId="7830"/>
    <cellStyle name="Normal 31 3 2 2 3" xfId="7831"/>
    <cellStyle name="Normal 31 3 2 2 4" xfId="7832"/>
    <cellStyle name="Normal 31 3 2 3" xfId="7833"/>
    <cellStyle name="Normal 31 3 2 4" xfId="7834"/>
    <cellStyle name="Normal 31 3 2 5" xfId="7835"/>
    <cellStyle name="Normal 31 3 2 6" xfId="7836"/>
    <cellStyle name="Normal 31 3 2 7" xfId="7837"/>
    <cellStyle name="Normal 31 3 3" xfId="7838"/>
    <cellStyle name="Normal 31 3 3 2" xfId="7839"/>
    <cellStyle name="Normal 31 3 3 2 2" xfId="7840"/>
    <cellStyle name="Normal 31 3 3 2 3" xfId="7841"/>
    <cellStyle name="Normal 31 3 3 2 4" xfId="7842"/>
    <cellStyle name="Normal 31 3 3 3" xfId="7843"/>
    <cellStyle name="Normal 31 3 3 4" xfId="7844"/>
    <cellStyle name="Normal 31 3 4" xfId="7845"/>
    <cellStyle name="Normal 31 3 5" xfId="7846"/>
    <cellStyle name="Normal 31 3 6" xfId="7847"/>
    <cellStyle name="Normal 31 3 7" xfId="7848"/>
    <cellStyle name="Normal 31 4" xfId="7849"/>
    <cellStyle name="Normal 31 5" xfId="7850"/>
    <cellStyle name="Normal 31 5 2" xfId="7851"/>
    <cellStyle name="Normal 31 5 2 2" xfId="7852"/>
    <cellStyle name="Normal 31 5 2 3" xfId="7853"/>
    <cellStyle name="Normal 31 5 2 4" xfId="7854"/>
    <cellStyle name="Normal 31 5 3" xfId="7855"/>
    <cellStyle name="Normal 31 5 4" xfId="7856"/>
    <cellStyle name="Normal 31 6" xfId="7857"/>
    <cellStyle name="Normal 31 7" xfId="7858"/>
    <cellStyle name="Normal 31 8" xfId="7859"/>
    <cellStyle name="Normal 31 9" xfId="7860"/>
    <cellStyle name="Normal 32" xfId="7861"/>
    <cellStyle name="Normal 32 10" xfId="7862"/>
    <cellStyle name="Normal 32 11" xfId="7863"/>
    <cellStyle name="Normal 32 12" xfId="7864"/>
    <cellStyle name="Normal 32 13" xfId="7865"/>
    <cellStyle name="Normal 32 14" xfId="7866"/>
    <cellStyle name="Normal 32 15" xfId="7867"/>
    <cellStyle name="Normal 32 16" xfId="7868"/>
    <cellStyle name="Normal 32 17" xfId="7869"/>
    <cellStyle name="Normal 32 18" xfId="7870"/>
    <cellStyle name="Normal 32 19" xfId="7871"/>
    <cellStyle name="Normal 32 2" xfId="7872"/>
    <cellStyle name="Normal 32 20" xfId="7873"/>
    <cellStyle name="Normal 32 21" xfId="7874"/>
    <cellStyle name="Normal 32 22" xfId="7875"/>
    <cellStyle name="Normal 32 23" xfId="7876"/>
    <cellStyle name="Normal 32 24" xfId="7877"/>
    <cellStyle name="Normal 32 3" xfId="7878"/>
    <cellStyle name="Normal 32 4" xfId="7879"/>
    <cellStyle name="Normal 32 5" xfId="7880"/>
    <cellStyle name="Normal 32 6" xfId="7881"/>
    <cellStyle name="Normal 32 7" xfId="7882"/>
    <cellStyle name="Normal 32 8" xfId="7883"/>
    <cellStyle name="Normal 32 9" xfId="7884"/>
    <cellStyle name="Normal 33" xfId="7885"/>
    <cellStyle name="Normal 33 10" xfId="7886"/>
    <cellStyle name="Normal 33 11" xfId="7887"/>
    <cellStyle name="Normal 33 12" xfId="7888"/>
    <cellStyle name="Normal 33 13" xfId="7889"/>
    <cellStyle name="Normal 33 14" xfId="7890"/>
    <cellStyle name="Normal 33 15" xfId="7891"/>
    <cellStyle name="Normal 33 16" xfId="7892"/>
    <cellStyle name="Normal 33 17" xfId="7893"/>
    <cellStyle name="Normal 33 18" xfId="7894"/>
    <cellStyle name="Normal 33 19" xfId="7895"/>
    <cellStyle name="Normal 33 2" xfId="7896"/>
    <cellStyle name="Normal 33 2 10" xfId="7897"/>
    <cellStyle name="Normal 33 2 11" xfId="7898"/>
    <cellStyle name="Normal 33 2 2" xfId="7899"/>
    <cellStyle name="Normal 33 2 3" xfId="7900"/>
    <cellStyle name="Normal 33 2 4" xfId="7901"/>
    <cellStyle name="Normal 33 2 5" xfId="7902"/>
    <cellStyle name="Normal 33 2 6" xfId="7903"/>
    <cellStyle name="Normal 33 2 7" xfId="7904"/>
    <cellStyle name="Normal 33 2 8" xfId="7905"/>
    <cellStyle name="Normal 33 2 9" xfId="7906"/>
    <cellStyle name="Normal 33 20" xfId="7907"/>
    <cellStyle name="Normal 33 21" xfId="7908"/>
    <cellStyle name="Normal 33 22" xfId="7909"/>
    <cellStyle name="Normal 33 23" xfId="7910"/>
    <cellStyle name="Normal 33 24" xfId="7911"/>
    <cellStyle name="Normal 33 3" xfId="7912"/>
    <cellStyle name="Normal 33 3 10" xfId="7913"/>
    <cellStyle name="Normal 33 3 11" xfId="7914"/>
    <cellStyle name="Normal 33 3 2" xfId="7915"/>
    <cellStyle name="Normal 33 3 3" xfId="7916"/>
    <cellStyle name="Normal 33 3 4" xfId="7917"/>
    <cellStyle name="Normal 33 3 5" xfId="7918"/>
    <cellStyle name="Normal 33 3 6" xfId="7919"/>
    <cellStyle name="Normal 33 3 7" xfId="7920"/>
    <cellStyle name="Normal 33 3 8" xfId="7921"/>
    <cellStyle name="Normal 33 3 9" xfId="7922"/>
    <cellStyle name="Normal 33 4" xfId="7923"/>
    <cellStyle name="Normal 33 5" xfId="7924"/>
    <cellStyle name="Normal 33 6" xfId="7925"/>
    <cellStyle name="Normal 33 7" xfId="7926"/>
    <cellStyle name="Normal 33 8" xfId="7927"/>
    <cellStyle name="Normal 33 9" xfId="7928"/>
    <cellStyle name="Normal 34" xfId="7929"/>
    <cellStyle name="Normal 34 2" xfId="7930"/>
    <cellStyle name="Normal 34 2 2" xfId="7931"/>
    <cellStyle name="Normal 34 2 2 2" xfId="7932"/>
    <cellStyle name="Normal 34 2 2 2 2" xfId="7933"/>
    <cellStyle name="Normal 34 2 2 2 3" xfId="7934"/>
    <cellStyle name="Normal 34 2 2 2 4" xfId="7935"/>
    <cellStyle name="Normal 34 2 2 3" xfId="7936"/>
    <cellStyle name="Normal 34 2 2 4" xfId="7937"/>
    <cellStyle name="Normal 34 2 3" xfId="7938"/>
    <cellStyle name="Normal 34 2 4" xfId="7939"/>
    <cellStyle name="Normal 34 2 5" xfId="7940"/>
    <cellStyle name="Normal 34 2 6" xfId="7941"/>
    <cellStyle name="Normal 34 2 7" xfId="7942"/>
    <cellStyle name="Normal 34 3" xfId="7943"/>
    <cellStyle name="Normal 34 4" xfId="7944"/>
    <cellStyle name="Normal 34 5" xfId="7945"/>
    <cellStyle name="Normal 34 6" xfId="7946"/>
    <cellStyle name="Normal 34 7" xfId="7947"/>
    <cellStyle name="Normal 34 8" xfId="7948"/>
    <cellStyle name="Normal 35" xfId="7949"/>
    <cellStyle name="Normal 35 2" xfId="7950"/>
    <cellStyle name="Normal 35 2 10" xfId="7951"/>
    <cellStyle name="Normal 35 2 11" xfId="7952"/>
    <cellStyle name="Normal 35 2 2" xfId="7953"/>
    <cellStyle name="Normal 35 2 3" xfId="7954"/>
    <cellStyle name="Normal 35 2 4" xfId="7955"/>
    <cellStyle name="Normal 35 2 5" xfId="7956"/>
    <cellStyle name="Normal 35 2 6" xfId="7957"/>
    <cellStyle name="Normal 35 2 7" xfId="7958"/>
    <cellStyle name="Normal 35 2 8" xfId="7959"/>
    <cellStyle name="Normal 35 2 9" xfId="7960"/>
    <cellStyle name="Normal 35 3" xfId="7961"/>
    <cellStyle name="Normal 35 3 10" xfId="7962"/>
    <cellStyle name="Normal 35 3 11" xfId="7963"/>
    <cellStyle name="Normal 35 3 2" xfId="7964"/>
    <cellStyle name="Normal 35 3 3" xfId="7965"/>
    <cellStyle name="Normal 35 3 4" xfId="7966"/>
    <cellStyle name="Normal 35 3 5" xfId="7967"/>
    <cellStyle name="Normal 35 3 6" xfId="7968"/>
    <cellStyle name="Normal 35 3 7" xfId="7969"/>
    <cellStyle name="Normal 35 3 8" xfId="7970"/>
    <cellStyle name="Normal 35 3 9" xfId="7971"/>
    <cellStyle name="Normal 35 4" xfId="7972"/>
    <cellStyle name="Normal 35 5" xfId="7973"/>
    <cellStyle name="Normal 35 6" xfId="7974"/>
    <cellStyle name="Normal 35 7" xfId="7975"/>
    <cellStyle name="Normal 35 8" xfId="7976"/>
    <cellStyle name="Normal 36" xfId="7977"/>
    <cellStyle name="Normal 36 2" xfId="7978"/>
    <cellStyle name="Normal 36 2 2" xfId="7979"/>
    <cellStyle name="Normal 36 2 3" xfId="7980"/>
    <cellStyle name="Normal 36 2 4" xfId="7981"/>
    <cellStyle name="Normal 36 3" xfId="7982"/>
    <cellStyle name="Normal 36 4" xfId="7983"/>
    <cellStyle name="Normal 36 5" xfId="7984"/>
    <cellStyle name="Normal 37" xfId="7985"/>
    <cellStyle name="Normal 37 10" xfId="7986"/>
    <cellStyle name="Normal 37 11" xfId="7987"/>
    <cellStyle name="Normal 37 12" xfId="7988"/>
    <cellStyle name="Normal 37 13" xfId="7989"/>
    <cellStyle name="Normal 37 14" xfId="7990"/>
    <cellStyle name="Normal 37 15" xfId="7991"/>
    <cellStyle name="Normal 37 2" xfId="7992"/>
    <cellStyle name="Normal 37 2 10" xfId="7993"/>
    <cellStyle name="Normal 37 2 11" xfId="7994"/>
    <cellStyle name="Normal 37 2 2" xfId="7995"/>
    <cellStyle name="Normal 37 2 3" xfId="7996"/>
    <cellStyle name="Normal 37 2 4" xfId="7997"/>
    <cellStyle name="Normal 37 2 5" xfId="7998"/>
    <cellStyle name="Normal 37 2 6" xfId="7999"/>
    <cellStyle name="Normal 37 2 7" xfId="8000"/>
    <cellStyle name="Normal 37 2 8" xfId="8001"/>
    <cellStyle name="Normal 37 2 9" xfId="8002"/>
    <cellStyle name="Normal 37 3" xfId="8003"/>
    <cellStyle name="Normal 37 3 10" xfId="8004"/>
    <cellStyle name="Normal 37 3 11" xfId="8005"/>
    <cellStyle name="Normal 37 3 2" xfId="8006"/>
    <cellStyle name="Normal 37 3 3" xfId="8007"/>
    <cellStyle name="Normal 37 3 4" xfId="8008"/>
    <cellStyle name="Normal 37 3 5" xfId="8009"/>
    <cellStyle name="Normal 37 3 6" xfId="8010"/>
    <cellStyle name="Normal 37 3 7" xfId="8011"/>
    <cellStyle name="Normal 37 3 8" xfId="8012"/>
    <cellStyle name="Normal 37 3 9" xfId="8013"/>
    <cellStyle name="Normal 37 4" xfId="8014"/>
    <cellStyle name="Normal 37 5" xfId="8015"/>
    <cellStyle name="Normal 37 6" xfId="8016"/>
    <cellStyle name="Normal 37 7" xfId="8017"/>
    <cellStyle name="Normal 37 8" xfId="8018"/>
    <cellStyle name="Normal 37 9" xfId="8019"/>
    <cellStyle name="Normal 38" xfId="8020"/>
    <cellStyle name="Normal 38 10" xfId="8021"/>
    <cellStyle name="Normal 38 11" xfId="8022"/>
    <cellStyle name="Normal 38 12" xfId="8023"/>
    <cellStyle name="Normal 38 13" xfId="8024"/>
    <cellStyle name="Normal 38 14" xfId="8025"/>
    <cellStyle name="Normal 38 2" xfId="8026"/>
    <cellStyle name="Normal 38 2 10" xfId="8027"/>
    <cellStyle name="Normal 38 2 11" xfId="8028"/>
    <cellStyle name="Normal 38 2 2" xfId="8029"/>
    <cellStyle name="Normal 38 2 3" xfId="8030"/>
    <cellStyle name="Normal 38 2 4" xfId="8031"/>
    <cellStyle name="Normal 38 2 5" xfId="8032"/>
    <cellStyle name="Normal 38 2 6" xfId="8033"/>
    <cellStyle name="Normal 38 2 7" xfId="8034"/>
    <cellStyle name="Normal 38 2 8" xfId="8035"/>
    <cellStyle name="Normal 38 2 9" xfId="8036"/>
    <cellStyle name="Normal 38 3" xfId="8037"/>
    <cellStyle name="Normal 38 3 10" xfId="8038"/>
    <cellStyle name="Normal 38 3 11" xfId="8039"/>
    <cellStyle name="Normal 38 3 2" xfId="8040"/>
    <cellStyle name="Normal 38 3 3" xfId="8041"/>
    <cellStyle name="Normal 38 3 4" xfId="8042"/>
    <cellStyle name="Normal 38 3 5" xfId="8043"/>
    <cellStyle name="Normal 38 3 6" xfId="8044"/>
    <cellStyle name="Normal 38 3 7" xfId="8045"/>
    <cellStyle name="Normal 38 3 8" xfId="8046"/>
    <cellStyle name="Normal 38 3 9" xfId="8047"/>
    <cellStyle name="Normal 38 4" xfId="8048"/>
    <cellStyle name="Normal 38 5" xfId="8049"/>
    <cellStyle name="Normal 38 6" xfId="8050"/>
    <cellStyle name="Normal 38 7" xfId="8051"/>
    <cellStyle name="Normal 38 8" xfId="8052"/>
    <cellStyle name="Normal 38 9" xfId="8053"/>
    <cellStyle name="Normal 39" xfId="8054"/>
    <cellStyle name="Normal 39 2" xfId="8055"/>
    <cellStyle name="Normal 39 2 2" xfId="8056"/>
    <cellStyle name="Normal 39 3" xfId="8057"/>
    <cellStyle name="Normal 39 4" xfId="8058"/>
    <cellStyle name="Normal 39 5" xfId="8059"/>
    <cellStyle name="Normal 4" xfId="8060"/>
    <cellStyle name="Normal 4 10" xfId="8061"/>
    <cellStyle name="Normal 4 11" xfId="8062"/>
    <cellStyle name="Normal 4 12" xfId="8063"/>
    <cellStyle name="Normal 4 13" xfId="8064"/>
    <cellStyle name="Normal 4 14" xfId="8065"/>
    <cellStyle name="Normal 4 15" xfId="8066"/>
    <cellStyle name="Normal 4 16" xfId="8067"/>
    <cellStyle name="Normal 4 17" xfId="8068"/>
    <cellStyle name="Normal 4 18" xfId="8069"/>
    <cellStyle name="Normal 4 19" xfId="8070"/>
    <cellStyle name="Normal 4 2" xfId="8071"/>
    <cellStyle name="Normal 4 2 10" xfId="8072"/>
    <cellStyle name="Normal 4 2 11" xfId="8073"/>
    <cellStyle name="Normal 4 2 12" xfId="8074"/>
    <cellStyle name="Normal 4 2 13" xfId="8075"/>
    <cellStyle name="Normal 4 2 2" xfId="8076"/>
    <cellStyle name="Normal 4 2 3" xfId="8077"/>
    <cellStyle name="Normal 4 2 4" xfId="8078"/>
    <cellStyle name="Normal 4 2 5" xfId="8079"/>
    <cellStyle name="Normal 4 2 6" xfId="8080"/>
    <cellStyle name="Normal 4 2 7" xfId="8081"/>
    <cellStyle name="Normal 4 2 8" xfId="8082"/>
    <cellStyle name="Normal 4 2 9" xfId="8083"/>
    <cellStyle name="Normal 4 20" xfId="8084"/>
    <cellStyle name="Normal 4 21" xfId="8085"/>
    <cellStyle name="Normal 4 22" xfId="8086"/>
    <cellStyle name="Normal 4 23" xfId="8087"/>
    <cellStyle name="Normal 4 24" xfId="8088"/>
    <cellStyle name="Normal 4 3" xfId="8089"/>
    <cellStyle name="Normal 4 3 10" xfId="8090"/>
    <cellStyle name="Normal 4 3 11" xfId="8091"/>
    <cellStyle name="Normal 4 3 12" xfId="8092"/>
    <cellStyle name="Normal 4 3 13" xfId="8093"/>
    <cellStyle name="Normal 4 3 2" xfId="8094"/>
    <cellStyle name="Normal 4 3 3" xfId="8095"/>
    <cellStyle name="Normal 4 3 4" xfId="8096"/>
    <cellStyle name="Normal 4 3 5" xfId="8097"/>
    <cellStyle name="Normal 4 3 6" xfId="8098"/>
    <cellStyle name="Normal 4 3 7" xfId="8099"/>
    <cellStyle name="Normal 4 3 8" xfId="8100"/>
    <cellStyle name="Normal 4 3 9" xfId="8101"/>
    <cellStyle name="Normal 4 4" xfId="8102"/>
    <cellStyle name="Normal 4 4 10" xfId="8103"/>
    <cellStyle name="Normal 4 4 11" xfId="8104"/>
    <cellStyle name="Normal 4 4 12" xfId="8105"/>
    <cellStyle name="Normal 4 4 13" xfId="8106"/>
    <cellStyle name="Normal 4 4 2" xfId="8107"/>
    <cellStyle name="Normal 4 4 3" xfId="8108"/>
    <cellStyle name="Normal 4 4 4" xfId="8109"/>
    <cellStyle name="Normal 4 4 5" xfId="8110"/>
    <cellStyle name="Normal 4 4 6" xfId="8111"/>
    <cellStyle name="Normal 4 4 7" xfId="8112"/>
    <cellStyle name="Normal 4 4 8" xfId="8113"/>
    <cellStyle name="Normal 4 4 9" xfId="8114"/>
    <cellStyle name="Normal 4 5" xfId="8115"/>
    <cellStyle name="Normal 4 5 10" xfId="8116"/>
    <cellStyle name="Normal 4 5 11" xfId="8117"/>
    <cellStyle name="Normal 4 5 12" xfId="8118"/>
    <cellStyle name="Normal 4 5 13" xfId="8119"/>
    <cellStyle name="Normal 4 5 2" xfId="8120"/>
    <cellStyle name="Normal 4 5 3" xfId="8121"/>
    <cellStyle name="Normal 4 5 4" xfId="8122"/>
    <cellStyle name="Normal 4 5 5" xfId="8123"/>
    <cellStyle name="Normal 4 5 6" xfId="8124"/>
    <cellStyle name="Normal 4 5 7" xfId="8125"/>
    <cellStyle name="Normal 4 5 8" xfId="8126"/>
    <cellStyle name="Normal 4 5 9" xfId="8127"/>
    <cellStyle name="Normal 4 6" xfId="8128"/>
    <cellStyle name="Normal 4 6 10" xfId="8129"/>
    <cellStyle name="Normal 4 6 11" xfId="8130"/>
    <cellStyle name="Normal 4 6 12" xfId="8131"/>
    <cellStyle name="Normal 4 6 13" xfId="8132"/>
    <cellStyle name="Normal 4 6 2" xfId="8133"/>
    <cellStyle name="Normal 4 6 3" xfId="8134"/>
    <cellStyle name="Normal 4 6 4" xfId="8135"/>
    <cellStyle name="Normal 4 6 5" xfId="8136"/>
    <cellStyle name="Normal 4 6 6" xfId="8137"/>
    <cellStyle name="Normal 4 6 7" xfId="8138"/>
    <cellStyle name="Normal 4 6 8" xfId="8139"/>
    <cellStyle name="Normal 4 6 9" xfId="8140"/>
    <cellStyle name="Normal 4 7" xfId="8141"/>
    <cellStyle name="Normal 4 7 10" xfId="8142"/>
    <cellStyle name="Normal 4 7 11" xfId="8143"/>
    <cellStyle name="Normal 4 7 12" xfId="8144"/>
    <cellStyle name="Normal 4 7 13" xfId="8145"/>
    <cellStyle name="Normal 4 7 2" xfId="8146"/>
    <cellStyle name="Normal 4 7 3" xfId="8147"/>
    <cellStyle name="Normal 4 7 4" xfId="8148"/>
    <cellStyle name="Normal 4 7 5" xfId="8149"/>
    <cellStyle name="Normal 4 7 6" xfId="8150"/>
    <cellStyle name="Normal 4 7 7" xfId="8151"/>
    <cellStyle name="Normal 4 7 8" xfId="8152"/>
    <cellStyle name="Normal 4 7 9" xfId="8153"/>
    <cellStyle name="Normal 4 8" xfId="8154"/>
    <cellStyle name="Normal 4 8 10" xfId="8155"/>
    <cellStyle name="Normal 4 8 11" xfId="8156"/>
    <cellStyle name="Normal 4 8 12" xfId="8157"/>
    <cellStyle name="Normal 4 8 13" xfId="8158"/>
    <cellStyle name="Normal 4 8 2" xfId="8159"/>
    <cellStyle name="Normal 4 8 3" xfId="8160"/>
    <cellStyle name="Normal 4 8 4" xfId="8161"/>
    <cellStyle name="Normal 4 8 5" xfId="8162"/>
    <cellStyle name="Normal 4 8 6" xfId="8163"/>
    <cellStyle name="Normal 4 8 7" xfId="8164"/>
    <cellStyle name="Normal 4 8 8" xfId="8165"/>
    <cellStyle name="Normal 4 8 9" xfId="8166"/>
    <cellStyle name="Normal 4 9" xfId="8167"/>
    <cellStyle name="Normal 40" xfId="8168"/>
    <cellStyle name="Normal 40 2" xfId="8169"/>
    <cellStyle name="Normal 41" xfId="8170"/>
    <cellStyle name="Normal 41 2" xfId="8171"/>
    <cellStyle name="Normal 42" xfId="8172"/>
    <cellStyle name="Normal 43" xfId="8173"/>
    <cellStyle name="Normal 44" xfId="8174"/>
    <cellStyle name="Normal 44 2" xfId="8175"/>
    <cellStyle name="Normal 45" xfId="8176"/>
    <cellStyle name="Normal 45 2" xfId="8177"/>
    <cellStyle name="Normal 45 3" xfId="8178"/>
    <cellStyle name="Normal 45 4" xfId="8179"/>
    <cellStyle name="Normal 45 5" xfId="8180"/>
    <cellStyle name="Normal 45 6" xfId="8181"/>
    <cellStyle name="Normal 45 7" xfId="8182"/>
    <cellStyle name="Normal 45 8" xfId="8183"/>
    <cellStyle name="Normal 45 9" xfId="8184"/>
    <cellStyle name="Normal 46" xfId="8185"/>
    <cellStyle name="Normal 46 2" xfId="8186"/>
    <cellStyle name="Normal 47" xfId="8187"/>
    <cellStyle name="Normal 47 10" xfId="8188"/>
    <cellStyle name="Normal 47 10 2" xfId="8189"/>
    <cellStyle name="Normal 47 11" xfId="8190"/>
    <cellStyle name="Normal 47 11 2" xfId="8191"/>
    <cellStyle name="Normal 47 12" xfId="8192"/>
    <cellStyle name="Normal 47 12 2" xfId="8193"/>
    <cellStyle name="Normal 47 13" xfId="8194"/>
    <cellStyle name="Normal 47 13 2" xfId="8195"/>
    <cellStyle name="Normal 47 14" xfId="8196"/>
    <cellStyle name="Normal 47 14 2" xfId="8197"/>
    <cellStyle name="Normal 47 15" xfId="8198"/>
    <cellStyle name="Normal 47 15 2" xfId="8199"/>
    <cellStyle name="Normal 47 16" xfId="8200"/>
    <cellStyle name="Normal 47 16 2" xfId="8201"/>
    <cellStyle name="Normal 47 17" xfId="8202"/>
    <cellStyle name="Normal 47 2" xfId="8203"/>
    <cellStyle name="Normal 47 2 2" xfId="8204"/>
    <cellStyle name="Normal 47 3" xfId="8205"/>
    <cellStyle name="Normal 47 3 2" xfId="8206"/>
    <cellStyle name="Normal 47 4" xfId="8207"/>
    <cellStyle name="Normal 47 4 2" xfId="8208"/>
    <cellStyle name="Normal 47 5" xfId="8209"/>
    <cellStyle name="Normal 47 5 2" xfId="8210"/>
    <cellStyle name="Normal 47 6" xfId="8211"/>
    <cellStyle name="Normal 47 6 2" xfId="8212"/>
    <cellStyle name="Normal 47 7" xfId="8213"/>
    <cellStyle name="Normal 47 7 2" xfId="8214"/>
    <cellStyle name="Normal 47 8" xfId="8215"/>
    <cellStyle name="Normal 47 8 2" xfId="8216"/>
    <cellStyle name="Normal 47 9" xfId="8217"/>
    <cellStyle name="Normal 47 9 2" xfId="8218"/>
    <cellStyle name="Normal 48" xfId="8219"/>
    <cellStyle name="Normal 48 2" xfId="8220"/>
    <cellStyle name="Normal 48 3" xfId="8221"/>
    <cellStyle name="Normal 48 4" xfId="8222"/>
    <cellStyle name="Normal 48 5" xfId="8223"/>
    <cellStyle name="Normal 48 6" xfId="8224"/>
    <cellStyle name="Normal 49" xfId="8225"/>
    <cellStyle name="Normal 49 2" xfId="8226"/>
    <cellStyle name="Normal 5" xfId="8227"/>
    <cellStyle name="Normal 5 10" xfId="8228"/>
    <cellStyle name="Normal 5 11" xfId="8229"/>
    <cellStyle name="Normal 5 12" xfId="8230"/>
    <cellStyle name="Normal 5 13" xfId="8231"/>
    <cellStyle name="Normal 5 14" xfId="8232"/>
    <cellStyle name="Normal 5 15" xfId="8233"/>
    <cellStyle name="Normal 5 16" xfId="8234"/>
    <cellStyle name="Normal 5 17" xfId="8235"/>
    <cellStyle name="Normal 5 18" xfId="8236"/>
    <cellStyle name="Normal 5 19" xfId="8237"/>
    <cellStyle name="Normal 5 2" xfId="8238"/>
    <cellStyle name="Normal 5 2 10" xfId="8239"/>
    <cellStyle name="Normal 5 2 11" xfId="8240"/>
    <cellStyle name="Normal 5 2 12" xfId="8241"/>
    <cellStyle name="Normal 5 2 13" xfId="8242"/>
    <cellStyle name="Normal 5 2 2" xfId="8243"/>
    <cellStyle name="Normal 5 2 3" xfId="8244"/>
    <cellStyle name="Normal 5 2 4" xfId="8245"/>
    <cellStyle name="Normal 5 2 5" xfId="8246"/>
    <cellStyle name="Normal 5 2 6" xfId="8247"/>
    <cellStyle name="Normal 5 2 7" xfId="8248"/>
    <cellStyle name="Normal 5 2 8" xfId="8249"/>
    <cellStyle name="Normal 5 2 9" xfId="8250"/>
    <cellStyle name="Normal 5 20" xfId="8251"/>
    <cellStyle name="Normal 5 21" xfId="8252"/>
    <cellStyle name="Normal 5 22" xfId="8253"/>
    <cellStyle name="Normal 5 23" xfId="8254"/>
    <cellStyle name="Normal 5 24" xfId="8255"/>
    <cellStyle name="Normal 5 25" xfId="8256"/>
    <cellStyle name="Normal 5 26" xfId="8257"/>
    <cellStyle name="Normal 5 27" xfId="8258"/>
    <cellStyle name="Normal 5 28" xfId="8259"/>
    <cellStyle name="Normal 5 29" xfId="8260"/>
    <cellStyle name="Normal 5 3" xfId="8261"/>
    <cellStyle name="Normal 5 3 10" xfId="8262"/>
    <cellStyle name="Normal 5 3 11" xfId="8263"/>
    <cellStyle name="Normal 5 3 12" xfId="8264"/>
    <cellStyle name="Normal 5 3 13" xfId="8265"/>
    <cellStyle name="Normal 5 3 2" xfId="8266"/>
    <cellStyle name="Normal 5 3 3" xfId="8267"/>
    <cellStyle name="Normal 5 3 4" xfId="8268"/>
    <cellStyle name="Normal 5 3 5" xfId="8269"/>
    <cellStyle name="Normal 5 3 6" xfId="8270"/>
    <cellStyle name="Normal 5 3 7" xfId="8271"/>
    <cellStyle name="Normal 5 3 8" xfId="8272"/>
    <cellStyle name="Normal 5 3 9" xfId="8273"/>
    <cellStyle name="Normal 5 30" xfId="8274"/>
    <cellStyle name="Normal 5 31" xfId="8275"/>
    <cellStyle name="Normal 5 4" xfId="8276"/>
    <cellStyle name="Normal 5 4 10" xfId="8277"/>
    <cellStyle name="Normal 5 4 11" xfId="8278"/>
    <cellStyle name="Normal 5 4 12" xfId="8279"/>
    <cellStyle name="Normal 5 4 13" xfId="8280"/>
    <cellStyle name="Normal 5 4 2" xfId="8281"/>
    <cellStyle name="Normal 5 4 3" xfId="8282"/>
    <cellStyle name="Normal 5 4 4" xfId="8283"/>
    <cellStyle name="Normal 5 4 5" xfId="8284"/>
    <cellStyle name="Normal 5 4 6" xfId="8285"/>
    <cellStyle name="Normal 5 4 7" xfId="8286"/>
    <cellStyle name="Normal 5 4 8" xfId="8287"/>
    <cellStyle name="Normal 5 4 9" xfId="8288"/>
    <cellStyle name="Normal 5 5" xfId="8289"/>
    <cellStyle name="Normal 5 5 10" xfId="8290"/>
    <cellStyle name="Normal 5 5 11" xfId="8291"/>
    <cellStyle name="Normal 5 5 12" xfId="8292"/>
    <cellStyle name="Normal 5 5 13" xfId="8293"/>
    <cellStyle name="Normal 5 5 2" xfId="8294"/>
    <cellStyle name="Normal 5 5 3" xfId="8295"/>
    <cellStyle name="Normal 5 5 4" xfId="8296"/>
    <cellStyle name="Normal 5 5 5" xfId="8297"/>
    <cellStyle name="Normal 5 5 6" xfId="8298"/>
    <cellStyle name="Normal 5 5 7" xfId="8299"/>
    <cellStyle name="Normal 5 5 8" xfId="8300"/>
    <cellStyle name="Normal 5 5 9" xfId="8301"/>
    <cellStyle name="Normal 5 6" xfId="8302"/>
    <cellStyle name="Normal 5 6 10" xfId="8303"/>
    <cellStyle name="Normal 5 6 11" xfId="8304"/>
    <cellStyle name="Normal 5 6 12" xfId="8305"/>
    <cellStyle name="Normal 5 6 13" xfId="8306"/>
    <cellStyle name="Normal 5 6 2" xfId="8307"/>
    <cellStyle name="Normal 5 6 3" xfId="8308"/>
    <cellStyle name="Normal 5 6 4" xfId="8309"/>
    <cellStyle name="Normal 5 6 5" xfId="8310"/>
    <cellStyle name="Normal 5 6 6" xfId="8311"/>
    <cellStyle name="Normal 5 6 7" xfId="8312"/>
    <cellStyle name="Normal 5 6 8" xfId="8313"/>
    <cellStyle name="Normal 5 6 9" xfId="8314"/>
    <cellStyle name="Normal 5 7" xfId="8315"/>
    <cellStyle name="Normal 5 7 10" xfId="8316"/>
    <cellStyle name="Normal 5 7 11" xfId="8317"/>
    <cellStyle name="Normal 5 7 12" xfId="8318"/>
    <cellStyle name="Normal 5 7 13" xfId="8319"/>
    <cellStyle name="Normal 5 7 2" xfId="8320"/>
    <cellStyle name="Normal 5 7 3" xfId="8321"/>
    <cellStyle name="Normal 5 7 4" xfId="8322"/>
    <cellStyle name="Normal 5 7 5" xfId="8323"/>
    <cellStyle name="Normal 5 7 6" xfId="8324"/>
    <cellStyle name="Normal 5 7 7" xfId="8325"/>
    <cellStyle name="Normal 5 7 8" xfId="8326"/>
    <cellStyle name="Normal 5 7 9" xfId="8327"/>
    <cellStyle name="Normal 5 8" xfId="8328"/>
    <cellStyle name="Normal 5 8 10" xfId="8329"/>
    <cellStyle name="Normal 5 8 11" xfId="8330"/>
    <cellStyle name="Normal 5 8 12" xfId="8331"/>
    <cellStyle name="Normal 5 8 13" xfId="8332"/>
    <cellStyle name="Normal 5 8 2" xfId="8333"/>
    <cellStyle name="Normal 5 8 3" xfId="8334"/>
    <cellStyle name="Normal 5 8 4" xfId="8335"/>
    <cellStyle name="Normal 5 8 5" xfId="8336"/>
    <cellStyle name="Normal 5 8 6" xfId="8337"/>
    <cellStyle name="Normal 5 8 7" xfId="8338"/>
    <cellStyle name="Normal 5 8 8" xfId="8339"/>
    <cellStyle name="Normal 5 8 9" xfId="8340"/>
    <cellStyle name="Normal 5 9" xfId="8341"/>
    <cellStyle name="Normal 50" xfId="8342"/>
    <cellStyle name="Normal 50 2" xfId="8343"/>
    <cellStyle name="Normal 51 2" xfId="8344"/>
    <cellStyle name="Normal 51 3" xfId="8345"/>
    <cellStyle name="Normal 51 4" xfId="8346"/>
    <cellStyle name="Normal 52" xfId="8347"/>
    <cellStyle name="Normal 52 10" xfId="8348"/>
    <cellStyle name="Normal 52 10 2" xfId="8349"/>
    <cellStyle name="Normal 52 11" xfId="8350"/>
    <cellStyle name="Normal 52 11 2" xfId="8351"/>
    <cellStyle name="Normal 52 12" xfId="8352"/>
    <cellStyle name="Normal 52 12 2" xfId="8353"/>
    <cellStyle name="Normal 52 13" xfId="8354"/>
    <cellStyle name="Normal 52 13 2" xfId="8355"/>
    <cellStyle name="Normal 52 14" xfId="8356"/>
    <cellStyle name="Normal 52 14 2" xfId="8357"/>
    <cellStyle name="Normal 52 15" xfId="8358"/>
    <cellStyle name="Normal 52 15 2" xfId="8359"/>
    <cellStyle name="Normal 52 16" xfId="8360"/>
    <cellStyle name="Normal 52 16 2" xfId="8361"/>
    <cellStyle name="Normal 52 17" xfId="8362"/>
    <cellStyle name="Normal 52 2" xfId="8363"/>
    <cellStyle name="Normal 52 2 2" xfId="8364"/>
    <cellStyle name="Normal 52 3" xfId="8365"/>
    <cellStyle name="Normal 52 3 2" xfId="8366"/>
    <cellStyle name="Normal 52 4" xfId="8367"/>
    <cellStyle name="Normal 52 4 2" xfId="8368"/>
    <cellStyle name="Normal 52 5" xfId="8369"/>
    <cellStyle name="Normal 52 5 2" xfId="8370"/>
    <cellStyle name="Normal 52 6" xfId="8371"/>
    <cellStyle name="Normal 52 6 2" xfId="8372"/>
    <cellStyle name="Normal 52 7" xfId="8373"/>
    <cellStyle name="Normal 52 7 2" xfId="8374"/>
    <cellStyle name="Normal 52 8" xfId="8375"/>
    <cellStyle name="Normal 52 8 2" xfId="8376"/>
    <cellStyle name="Normal 52 9" xfId="8377"/>
    <cellStyle name="Normal 52 9 2" xfId="8378"/>
    <cellStyle name="Normal 53" xfId="8379"/>
    <cellStyle name="Normal 53 10" xfId="8380"/>
    <cellStyle name="Normal 53 10 2" xfId="8381"/>
    <cellStyle name="Normal 53 11" xfId="8382"/>
    <cellStyle name="Normal 53 11 2" xfId="8383"/>
    <cellStyle name="Normal 53 12" xfId="8384"/>
    <cellStyle name="Normal 53 12 2" xfId="8385"/>
    <cellStyle name="Normal 53 13" xfId="8386"/>
    <cellStyle name="Normal 53 13 2" xfId="8387"/>
    <cellStyle name="Normal 53 14" xfId="8388"/>
    <cellStyle name="Normal 53 14 2" xfId="8389"/>
    <cellStyle name="Normal 53 15" xfId="8390"/>
    <cellStyle name="Normal 53 15 2" xfId="8391"/>
    <cellStyle name="Normal 53 16" xfId="8392"/>
    <cellStyle name="Normal 53 16 2" xfId="8393"/>
    <cellStyle name="Normal 53 17" xfId="8394"/>
    <cellStyle name="Normal 53 2" xfId="8395"/>
    <cellStyle name="Normal 53 2 2" xfId="8396"/>
    <cellStyle name="Normal 53 3" xfId="8397"/>
    <cellStyle name="Normal 53 3 2" xfId="8398"/>
    <cellStyle name="Normal 53 4" xfId="8399"/>
    <cellStyle name="Normal 53 4 2" xfId="8400"/>
    <cellStyle name="Normal 53 5" xfId="8401"/>
    <cellStyle name="Normal 53 5 2" xfId="8402"/>
    <cellStyle name="Normal 53 6" xfId="8403"/>
    <cellStyle name="Normal 53 6 2" xfId="8404"/>
    <cellStyle name="Normal 53 7" xfId="8405"/>
    <cellStyle name="Normal 53 7 2" xfId="8406"/>
    <cellStyle name="Normal 53 8" xfId="8407"/>
    <cellStyle name="Normal 53 8 2" xfId="8408"/>
    <cellStyle name="Normal 53 9" xfId="8409"/>
    <cellStyle name="Normal 53 9 2" xfId="8410"/>
    <cellStyle name="Normal 54" xfId="8411"/>
    <cellStyle name="Normal 54 10" xfId="8412"/>
    <cellStyle name="Normal 54 10 2" xfId="8413"/>
    <cellStyle name="Normal 54 11" xfId="8414"/>
    <cellStyle name="Normal 54 11 2" xfId="8415"/>
    <cellStyle name="Normal 54 12" xfId="8416"/>
    <cellStyle name="Normal 54 12 2" xfId="8417"/>
    <cellStyle name="Normal 54 13" xfId="8418"/>
    <cellStyle name="Normal 54 13 2" xfId="8419"/>
    <cellStyle name="Normal 54 14" xfId="8420"/>
    <cellStyle name="Normal 54 14 2" xfId="8421"/>
    <cellStyle name="Normal 54 15" xfId="8422"/>
    <cellStyle name="Normal 54 15 2" xfId="8423"/>
    <cellStyle name="Normal 54 16" xfId="8424"/>
    <cellStyle name="Normal 54 16 2" xfId="8425"/>
    <cellStyle name="Normal 54 17" xfId="8426"/>
    <cellStyle name="Normal 54 2" xfId="8427"/>
    <cellStyle name="Normal 54 2 2" xfId="8428"/>
    <cellStyle name="Normal 54 3" xfId="8429"/>
    <cellStyle name="Normal 54 3 2" xfId="8430"/>
    <cellStyle name="Normal 54 4" xfId="8431"/>
    <cellStyle name="Normal 54 4 2" xfId="8432"/>
    <cellStyle name="Normal 54 5" xfId="8433"/>
    <cellStyle name="Normal 54 5 2" xfId="8434"/>
    <cellStyle name="Normal 54 6" xfId="8435"/>
    <cellStyle name="Normal 54 6 2" xfId="8436"/>
    <cellStyle name="Normal 54 7" xfId="8437"/>
    <cellStyle name="Normal 54 7 2" xfId="8438"/>
    <cellStyle name="Normal 54 8" xfId="8439"/>
    <cellStyle name="Normal 54 8 2" xfId="8440"/>
    <cellStyle name="Normal 54 9" xfId="8441"/>
    <cellStyle name="Normal 54 9 2" xfId="8442"/>
    <cellStyle name="Normal 55" xfId="8443"/>
    <cellStyle name="Normal 55 10" xfId="8444"/>
    <cellStyle name="Normal 55 10 2" xfId="8445"/>
    <cellStyle name="Normal 55 11" xfId="8446"/>
    <cellStyle name="Normal 55 11 2" xfId="8447"/>
    <cellStyle name="Normal 55 12" xfId="8448"/>
    <cellStyle name="Normal 55 12 2" xfId="8449"/>
    <cellStyle name="Normal 55 13" xfId="8450"/>
    <cellStyle name="Normal 55 13 2" xfId="8451"/>
    <cellStyle name="Normal 55 14" xfId="8452"/>
    <cellStyle name="Normal 55 14 2" xfId="8453"/>
    <cellStyle name="Normal 55 15" xfId="8454"/>
    <cellStyle name="Normal 55 15 2" xfId="8455"/>
    <cellStyle name="Normal 55 16" xfId="8456"/>
    <cellStyle name="Normal 55 16 2" xfId="8457"/>
    <cellStyle name="Normal 55 17" xfId="8458"/>
    <cellStyle name="Normal 55 2" xfId="8459"/>
    <cellStyle name="Normal 55 2 2" xfId="8460"/>
    <cellStyle name="Normal 55 3" xfId="8461"/>
    <cellStyle name="Normal 55 3 2" xfId="8462"/>
    <cellStyle name="Normal 55 4" xfId="8463"/>
    <cellStyle name="Normal 55 4 2" xfId="8464"/>
    <cellStyle name="Normal 55 5" xfId="8465"/>
    <cellStyle name="Normal 55 5 2" xfId="8466"/>
    <cellStyle name="Normal 55 6" xfId="8467"/>
    <cellStyle name="Normal 55 6 2" xfId="8468"/>
    <cellStyle name="Normal 55 7" xfId="8469"/>
    <cellStyle name="Normal 55 7 2" xfId="8470"/>
    <cellStyle name="Normal 55 8" xfId="8471"/>
    <cellStyle name="Normal 55 8 2" xfId="8472"/>
    <cellStyle name="Normal 55 9" xfId="8473"/>
    <cellStyle name="Normal 55 9 2" xfId="8474"/>
    <cellStyle name="Normal 56 2" xfId="8475"/>
    <cellStyle name="Normal 56 3" xfId="8476"/>
    <cellStyle name="Normal 56 4" xfId="8477"/>
    <cellStyle name="Normal 58" xfId="8478"/>
    <cellStyle name="Normal 58 2" xfId="8479"/>
    <cellStyle name="Normal 58 3" xfId="8480"/>
    <cellStyle name="Normal 58 4" xfId="8481"/>
    <cellStyle name="Normal 6" xfId="8482"/>
    <cellStyle name="Normal 6 10" xfId="8483"/>
    <cellStyle name="Normal 6 11" xfId="8484"/>
    <cellStyle name="Normal 6 12" xfId="8485"/>
    <cellStyle name="Normal 6 13" xfId="8486"/>
    <cellStyle name="Normal 6 14" xfId="8487"/>
    <cellStyle name="Normal 6 15" xfId="8488"/>
    <cellStyle name="Normal 6 16" xfId="8489"/>
    <cellStyle name="Normal 6 17" xfId="8490"/>
    <cellStyle name="Normal 6 18" xfId="8491"/>
    <cellStyle name="Normal 6 19" xfId="8492"/>
    <cellStyle name="Normal 6 2" xfId="8493"/>
    <cellStyle name="Normal 6 2 10" xfId="8494"/>
    <cellStyle name="Normal 6 2 11" xfId="8495"/>
    <cellStyle name="Normal 6 2 12" xfId="8496"/>
    <cellStyle name="Normal 6 2 13" xfId="8497"/>
    <cellStyle name="Normal 6 2 2" xfId="8498"/>
    <cellStyle name="Normal 6 2 3" xfId="8499"/>
    <cellStyle name="Normal 6 2 4" xfId="8500"/>
    <cellStyle name="Normal 6 2 5" xfId="8501"/>
    <cellStyle name="Normal 6 2 6" xfId="8502"/>
    <cellStyle name="Normal 6 2 7" xfId="8503"/>
    <cellStyle name="Normal 6 2 8" xfId="8504"/>
    <cellStyle name="Normal 6 2 9" xfId="8505"/>
    <cellStyle name="Normal 6 20" xfId="8506"/>
    <cellStyle name="Normal 6 21" xfId="8507"/>
    <cellStyle name="Normal 6 22" xfId="8508"/>
    <cellStyle name="Normal 6 23" xfId="8509"/>
    <cellStyle name="Normal 6 24" xfId="8510"/>
    <cellStyle name="Normal 6 25" xfId="8511"/>
    <cellStyle name="Normal 6 26" xfId="8512"/>
    <cellStyle name="Normal 6 27" xfId="8513"/>
    <cellStyle name="Normal 6 28" xfId="8514"/>
    <cellStyle name="Normal 6 29" xfId="8515"/>
    <cellStyle name="Normal 6 3" xfId="8516"/>
    <cellStyle name="Normal 6 3 10" xfId="8517"/>
    <cellStyle name="Normal 6 3 11" xfId="8518"/>
    <cellStyle name="Normal 6 3 12" xfId="8519"/>
    <cellStyle name="Normal 6 3 13" xfId="8520"/>
    <cellStyle name="Normal 6 3 2" xfId="8521"/>
    <cellStyle name="Normal 6 3 3" xfId="8522"/>
    <cellStyle name="Normal 6 3 4" xfId="8523"/>
    <cellStyle name="Normal 6 3 5" xfId="8524"/>
    <cellStyle name="Normal 6 3 6" xfId="8525"/>
    <cellStyle name="Normal 6 3 7" xfId="8526"/>
    <cellStyle name="Normal 6 3 8" xfId="8527"/>
    <cellStyle name="Normal 6 3 9" xfId="8528"/>
    <cellStyle name="Normal 6 30" xfId="8529"/>
    <cellStyle name="Normal 6 31" xfId="8530"/>
    <cellStyle name="Normal 6 4" xfId="8531"/>
    <cellStyle name="Normal 6 4 10" xfId="8532"/>
    <cellStyle name="Normal 6 4 11" xfId="8533"/>
    <cellStyle name="Normal 6 4 12" xfId="8534"/>
    <cellStyle name="Normal 6 4 13" xfId="8535"/>
    <cellStyle name="Normal 6 4 2" xfId="8536"/>
    <cellStyle name="Normal 6 4 3" xfId="8537"/>
    <cellStyle name="Normal 6 4 4" xfId="8538"/>
    <cellStyle name="Normal 6 4 5" xfId="8539"/>
    <cellStyle name="Normal 6 4 6" xfId="8540"/>
    <cellStyle name="Normal 6 4 7" xfId="8541"/>
    <cellStyle name="Normal 6 4 8" xfId="8542"/>
    <cellStyle name="Normal 6 4 9" xfId="8543"/>
    <cellStyle name="Normal 6 5" xfId="8544"/>
    <cellStyle name="Normal 6 5 10" xfId="8545"/>
    <cellStyle name="Normal 6 5 11" xfId="8546"/>
    <cellStyle name="Normal 6 5 12" xfId="8547"/>
    <cellStyle name="Normal 6 5 13" xfId="8548"/>
    <cellStyle name="Normal 6 5 2" xfId="8549"/>
    <cellStyle name="Normal 6 5 3" xfId="8550"/>
    <cellStyle name="Normal 6 5 4" xfId="8551"/>
    <cellStyle name="Normal 6 5 5" xfId="8552"/>
    <cellStyle name="Normal 6 5 6" xfId="8553"/>
    <cellStyle name="Normal 6 5 7" xfId="8554"/>
    <cellStyle name="Normal 6 5 8" xfId="8555"/>
    <cellStyle name="Normal 6 5 9" xfId="8556"/>
    <cellStyle name="Normal 6 6" xfId="8557"/>
    <cellStyle name="Normal 6 6 10" xfId="8558"/>
    <cellStyle name="Normal 6 6 11" xfId="8559"/>
    <cellStyle name="Normal 6 6 12" xfId="8560"/>
    <cellStyle name="Normal 6 6 13" xfId="8561"/>
    <cellStyle name="Normal 6 6 2" xfId="8562"/>
    <cellStyle name="Normal 6 6 3" xfId="8563"/>
    <cellStyle name="Normal 6 6 4" xfId="8564"/>
    <cellStyle name="Normal 6 6 5" xfId="8565"/>
    <cellStyle name="Normal 6 6 6" xfId="8566"/>
    <cellStyle name="Normal 6 6 7" xfId="8567"/>
    <cellStyle name="Normal 6 6 8" xfId="8568"/>
    <cellStyle name="Normal 6 6 9" xfId="8569"/>
    <cellStyle name="Normal 6 7" xfId="8570"/>
    <cellStyle name="Normal 6 7 10" xfId="8571"/>
    <cellStyle name="Normal 6 7 11" xfId="8572"/>
    <cellStyle name="Normal 6 7 12" xfId="8573"/>
    <cellStyle name="Normal 6 7 13" xfId="8574"/>
    <cellStyle name="Normal 6 7 2" xfId="8575"/>
    <cellStyle name="Normal 6 7 3" xfId="8576"/>
    <cellStyle name="Normal 6 7 4" xfId="8577"/>
    <cellStyle name="Normal 6 7 5" xfId="8578"/>
    <cellStyle name="Normal 6 7 6" xfId="8579"/>
    <cellStyle name="Normal 6 7 7" xfId="8580"/>
    <cellStyle name="Normal 6 7 8" xfId="8581"/>
    <cellStyle name="Normal 6 7 9" xfId="8582"/>
    <cellStyle name="Normal 6 8" xfId="8583"/>
    <cellStyle name="Normal 6 8 10" xfId="8584"/>
    <cellStyle name="Normal 6 8 11" xfId="8585"/>
    <cellStyle name="Normal 6 8 12" xfId="8586"/>
    <cellStyle name="Normal 6 8 13" xfId="8587"/>
    <cellStyle name="Normal 6 8 2" xfId="8588"/>
    <cellStyle name="Normal 6 8 3" xfId="8589"/>
    <cellStyle name="Normal 6 8 4" xfId="8590"/>
    <cellStyle name="Normal 6 8 5" xfId="8591"/>
    <cellStyle name="Normal 6 8 6" xfId="8592"/>
    <cellStyle name="Normal 6 8 7" xfId="8593"/>
    <cellStyle name="Normal 6 8 8" xfId="8594"/>
    <cellStyle name="Normal 6 8 9" xfId="8595"/>
    <cellStyle name="Normal 6 9" xfId="8596"/>
    <cellStyle name="Normal 60" xfId="8597"/>
    <cellStyle name="Normal 61" xfId="8598"/>
    <cellStyle name="Normal 7" xfId="8599"/>
    <cellStyle name="Normal 7 10" xfId="8600"/>
    <cellStyle name="Normal 7 11" xfId="8601"/>
    <cellStyle name="Normal 7 12" xfId="8602"/>
    <cellStyle name="Normal 7 13" xfId="8603"/>
    <cellStyle name="Normal 7 14" xfId="8604"/>
    <cellStyle name="Normal 7 15" xfId="8605"/>
    <cellStyle name="Normal 7 16" xfId="8606"/>
    <cellStyle name="Normal 7 17" xfId="8607"/>
    <cellStyle name="Normal 7 18" xfId="8608"/>
    <cellStyle name="Normal 7 19" xfId="8609"/>
    <cellStyle name="Normal 7 2" xfId="8610"/>
    <cellStyle name="Normal 7 2 10" xfId="8611"/>
    <cellStyle name="Normal 7 2 11" xfId="8612"/>
    <cellStyle name="Normal 7 2 12" xfId="8613"/>
    <cellStyle name="Normal 7 2 13" xfId="8614"/>
    <cellStyle name="Normal 7 2 2" xfId="8615"/>
    <cellStyle name="Normal 7 2 3" xfId="8616"/>
    <cellStyle name="Normal 7 2 4" xfId="8617"/>
    <cellStyle name="Normal 7 2 5" xfId="8618"/>
    <cellStyle name="Normal 7 2 6" xfId="8619"/>
    <cellStyle name="Normal 7 2 7" xfId="8620"/>
    <cellStyle name="Normal 7 2 8" xfId="8621"/>
    <cellStyle name="Normal 7 2 9" xfId="8622"/>
    <cellStyle name="Normal 7 20" xfId="8623"/>
    <cellStyle name="Normal 7 21" xfId="8624"/>
    <cellStyle name="Normal 7 22" xfId="8625"/>
    <cellStyle name="Normal 7 23" xfId="8626"/>
    <cellStyle name="Normal 7 24" xfId="8627"/>
    <cellStyle name="Normal 7 25" xfId="8628"/>
    <cellStyle name="Normal 7 26" xfId="8629"/>
    <cellStyle name="Normal 7 27" xfId="8630"/>
    <cellStyle name="Normal 7 28" xfId="8631"/>
    <cellStyle name="Normal 7 29" xfId="8632"/>
    <cellStyle name="Normal 7 3" xfId="8633"/>
    <cellStyle name="Normal 7 3 10" xfId="8634"/>
    <cellStyle name="Normal 7 3 11" xfId="8635"/>
    <cellStyle name="Normal 7 3 12" xfId="8636"/>
    <cellStyle name="Normal 7 3 13" xfId="8637"/>
    <cellStyle name="Normal 7 3 2" xfId="8638"/>
    <cellStyle name="Normal 7 3 3" xfId="8639"/>
    <cellStyle name="Normal 7 3 4" xfId="8640"/>
    <cellStyle name="Normal 7 3 5" xfId="8641"/>
    <cellStyle name="Normal 7 3 6" xfId="8642"/>
    <cellStyle name="Normal 7 3 7" xfId="8643"/>
    <cellStyle name="Normal 7 3 8" xfId="8644"/>
    <cellStyle name="Normal 7 3 9" xfId="8645"/>
    <cellStyle name="Normal 7 30" xfId="8646"/>
    <cellStyle name="Normal 7 31" xfId="8647"/>
    <cellStyle name="Normal 7 4" xfId="8648"/>
    <cellStyle name="Normal 7 4 10" xfId="8649"/>
    <cellStyle name="Normal 7 4 11" xfId="8650"/>
    <cellStyle name="Normal 7 4 12" xfId="8651"/>
    <cellStyle name="Normal 7 4 13" xfId="8652"/>
    <cellStyle name="Normal 7 4 2" xfId="8653"/>
    <cellStyle name="Normal 7 4 3" xfId="8654"/>
    <cellStyle name="Normal 7 4 4" xfId="8655"/>
    <cellStyle name="Normal 7 4 5" xfId="8656"/>
    <cellStyle name="Normal 7 4 6" xfId="8657"/>
    <cellStyle name="Normal 7 4 7" xfId="8658"/>
    <cellStyle name="Normal 7 4 8" xfId="8659"/>
    <cellStyle name="Normal 7 4 9" xfId="8660"/>
    <cellStyle name="Normal 7 5" xfId="8661"/>
    <cellStyle name="Normal 7 5 10" xfId="8662"/>
    <cellStyle name="Normal 7 5 11" xfId="8663"/>
    <cellStyle name="Normal 7 5 12" xfId="8664"/>
    <cellStyle name="Normal 7 5 13" xfId="8665"/>
    <cellStyle name="Normal 7 5 2" xfId="8666"/>
    <cellStyle name="Normal 7 5 3" xfId="8667"/>
    <cellStyle name="Normal 7 5 4" xfId="8668"/>
    <cellStyle name="Normal 7 5 5" xfId="8669"/>
    <cellStyle name="Normal 7 5 6" xfId="8670"/>
    <cellStyle name="Normal 7 5 7" xfId="8671"/>
    <cellStyle name="Normal 7 5 8" xfId="8672"/>
    <cellStyle name="Normal 7 5 9" xfId="8673"/>
    <cellStyle name="Normal 7 6" xfId="8674"/>
    <cellStyle name="Normal 7 6 10" xfId="8675"/>
    <cellStyle name="Normal 7 6 11" xfId="8676"/>
    <cellStyle name="Normal 7 6 12" xfId="8677"/>
    <cellStyle name="Normal 7 6 13" xfId="8678"/>
    <cellStyle name="Normal 7 6 2" xfId="8679"/>
    <cellStyle name="Normal 7 6 3" xfId="8680"/>
    <cellStyle name="Normal 7 6 4" xfId="8681"/>
    <cellStyle name="Normal 7 6 5" xfId="8682"/>
    <cellStyle name="Normal 7 6 6" xfId="8683"/>
    <cellStyle name="Normal 7 6 7" xfId="8684"/>
    <cellStyle name="Normal 7 6 8" xfId="8685"/>
    <cellStyle name="Normal 7 6 9" xfId="8686"/>
    <cellStyle name="Normal 7 7" xfId="8687"/>
    <cellStyle name="Normal 7 7 10" xfId="8688"/>
    <cellStyle name="Normal 7 7 11" xfId="8689"/>
    <cellStyle name="Normal 7 7 12" xfId="8690"/>
    <cellStyle name="Normal 7 7 13" xfId="8691"/>
    <cellStyle name="Normal 7 7 2" xfId="8692"/>
    <cellStyle name="Normal 7 7 3" xfId="8693"/>
    <cellStyle name="Normal 7 7 4" xfId="8694"/>
    <cellStyle name="Normal 7 7 5" xfId="8695"/>
    <cellStyle name="Normal 7 7 6" xfId="8696"/>
    <cellStyle name="Normal 7 7 7" xfId="8697"/>
    <cellStyle name="Normal 7 7 8" xfId="8698"/>
    <cellStyle name="Normal 7 7 9" xfId="8699"/>
    <cellStyle name="Normal 7 8" xfId="8700"/>
    <cellStyle name="Normal 7 8 10" xfId="8701"/>
    <cellStyle name="Normal 7 8 11" xfId="8702"/>
    <cellStyle name="Normal 7 8 12" xfId="8703"/>
    <cellStyle name="Normal 7 8 13" xfId="8704"/>
    <cellStyle name="Normal 7 8 2" xfId="8705"/>
    <cellStyle name="Normal 7 8 3" xfId="8706"/>
    <cellStyle name="Normal 7 8 4" xfId="8707"/>
    <cellStyle name="Normal 7 8 5" xfId="8708"/>
    <cellStyle name="Normal 7 8 6" xfId="8709"/>
    <cellStyle name="Normal 7 8 7" xfId="8710"/>
    <cellStyle name="Normal 7 8 8" xfId="8711"/>
    <cellStyle name="Normal 7 8 9" xfId="8712"/>
    <cellStyle name="Normal 7 9" xfId="8713"/>
    <cellStyle name="Normal 8" xfId="8714"/>
    <cellStyle name="Normal 8 10" xfId="8715"/>
    <cellStyle name="Normal 8 11" xfId="8716"/>
    <cellStyle name="Normal 8 12" xfId="8717"/>
    <cellStyle name="Normal 8 13" xfId="8718"/>
    <cellStyle name="Normal 8 14" xfId="8719"/>
    <cellStyle name="Normal 8 15" xfId="8720"/>
    <cellStyle name="Normal 8 16" xfId="8721"/>
    <cellStyle name="Normal 8 17" xfId="8722"/>
    <cellStyle name="Normal 8 18" xfId="8723"/>
    <cellStyle name="Normal 8 19" xfId="8724"/>
    <cellStyle name="Normal 8 2" xfId="8725"/>
    <cellStyle name="Normal 8 2 10" xfId="8726"/>
    <cellStyle name="Normal 8 2 11" xfId="8727"/>
    <cellStyle name="Normal 8 2 12" xfId="8728"/>
    <cellStyle name="Normal 8 2 13" xfId="8729"/>
    <cellStyle name="Normal 8 2 2" xfId="8730"/>
    <cellStyle name="Normal 8 2 3" xfId="8731"/>
    <cellStyle name="Normal 8 2 4" xfId="8732"/>
    <cellStyle name="Normal 8 2 5" xfId="8733"/>
    <cellStyle name="Normal 8 2 6" xfId="8734"/>
    <cellStyle name="Normal 8 2 7" xfId="8735"/>
    <cellStyle name="Normal 8 2 8" xfId="8736"/>
    <cellStyle name="Normal 8 2 9" xfId="8737"/>
    <cellStyle name="Normal 8 20" xfId="8738"/>
    <cellStyle name="Normal 8 21" xfId="8739"/>
    <cellStyle name="Normal 8 22" xfId="8740"/>
    <cellStyle name="Normal 8 23" xfId="8741"/>
    <cellStyle name="Normal 8 24" xfId="8742"/>
    <cellStyle name="Normal 8 25" xfId="8743"/>
    <cellStyle name="Normal 8 26" xfId="8744"/>
    <cellStyle name="Normal 8 27" xfId="8745"/>
    <cellStyle name="Normal 8 28" xfId="8746"/>
    <cellStyle name="Normal 8 29" xfId="8747"/>
    <cellStyle name="Normal 8 3" xfId="8748"/>
    <cellStyle name="Normal 8 3 10" xfId="8749"/>
    <cellStyle name="Normal 8 3 11" xfId="8750"/>
    <cellStyle name="Normal 8 3 12" xfId="8751"/>
    <cellStyle name="Normal 8 3 13" xfId="8752"/>
    <cellStyle name="Normal 8 3 2" xfId="8753"/>
    <cellStyle name="Normal 8 3 3" xfId="8754"/>
    <cellStyle name="Normal 8 3 4" xfId="8755"/>
    <cellStyle name="Normal 8 3 5" xfId="8756"/>
    <cellStyle name="Normal 8 3 6" xfId="8757"/>
    <cellStyle name="Normal 8 3 7" xfId="8758"/>
    <cellStyle name="Normal 8 3 8" xfId="8759"/>
    <cellStyle name="Normal 8 3 9" xfId="8760"/>
    <cellStyle name="Normal 8 30" xfId="8761"/>
    <cellStyle name="Normal 8 31" xfId="8762"/>
    <cellStyle name="Normal 8 4" xfId="8763"/>
    <cellStyle name="Normal 8 4 10" xfId="8764"/>
    <cellStyle name="Normal 8 4 11" xfId="8765"/>
    <cellStyle name="Normal 8 4 12" xfId="8766"/>
    <cellStyle name="Normal 8 4 13" xfId="8767"/>
    <cellStyle name="Normal 8 4 2" xfId="8768"/>
    <cellStyle name="Normal 8 4 3" xfId="8769"/>
    <cellStyle name="Normal 8 4 4" xfId="8770"/>
    <cellStyle name="Normal 8 4 5" xfId="8771"/>
    <cellStyle name="Normal 8 4 6" xfId="8772"/>
    <cellStyle name="Normal 8 4 7" xfId="8773"/>
    <cellStyle name="Normal 8 4 8" xfId="8774"/>
    <cellStyle name="Normal 8 4 9" xfId="8775"/>
    <cellStyle name="Normal 8 5" xfId="8776"/>
    <cellStyle name="Normal 8 5 10" xfId="8777"/>
    <cellStyle name="Normal 8 5 11" xfId="8778"/>
    <cellStyle name="Normal 8 5 12" xfId="8779"/>
    <cellStyle name="Normal 8 5 13" xfId="8780"/>
    <cellStyle name="Normal 8 5 2" xfId="8781"/>
    <cellStyle name="Normal 8 5 3" xfId="8782"/>
    <cellStyle name="Normal 8 5 4" xfId="8783"/>
    <cellStyle name="Normal 8 5 5" xfId="8784"/>
    <cellStyle name="Normal 8 5 6" xfId="8785"/>
    <cellStyle name="Normal 8 5 7" xfId="8786"/>
    <cellStyle name="Normal 8 5 8" xfId="8787"/>
    <cellStyle name="Normal 8 5 9" xfId="8788"/>
    <cellStyle name="Normal 8 6" xfId="8789"/>
    <cellStyle name="Normal 8 6 10" xfId="8790"/>
    <cellStyle name="Normal 8 6 11" xfId="8791"/>
    <cellStyle name="Normal 8 6 12" xfId="8792"/>
    <cellStyle name="Normal 8 6 13" xfId="8793"/>
    <cellStyle name="Normal 8 6 2" xfId="8794"/>
    <cellStyle name="Normal 8 6 3" xfId="8795"/>
    <cellStyle name="Normal 8 6 4" xfId="8796"/>
    <cellStyle name="Normal 8 6 5" xfId="8797"/>
    <cellStyle name="Normal 8 6 6" xfId="8798"/>
    <cellStyle name="Normal 8 6 7" xfId="8799"/>
    <cellStyle name="Normal 8 6 8" xfId="8800"/>
    <cellStyle name="Normal 8 6 9" xfId="8801"/>
    <cellStyle name="Normal 8 7" xfId="8802"/>
    <cellStyle name="Normal 8 7 10" xfId="8803"/>
    <cellStyle name="Normal 8 7 11" xfId="8804"/>
    <cellStyle name="Normal 8 7 12" xfId="8805"/>
    <cellStyle name="Normal 8 7 13" xfId="8806"/>
    <cellStyle name="Normal 8 7 2" xfId="8807"/>
    <cellStyle name="Normal 8 7 3" xfId="8808"/>
    <cellStyle name="Normal 8 7 4" xfId="8809"/>
    <cellStyle name="Normal 8 7 5" xfId="8810"/>
    <cellStyle name="Normal 8 7 6" xfId="8811"/>
    <cellStyle name="Normal 8 7 7" xfId="8812"/>
    <cellStyle name="Normal 8 7 8" xfId="8813"/>
    <cellStyle name="Normal 8 7 9" xfId="8814"/>
    <cellStyle name="Normal 8 8" xfId="8815"/>
    <cellStyle name="Normal 8 8 10" xfId="8816"/>
    <cellStyle name="Normal 8 8 11" xfId="8817"/>
    <cellStyle name="Normal 8 8 12" xfId="8818"/>
    <cellStyle name="Normal 8 8 13" xfId="8819"/>
    <cellStyle name="Normal 8 8 2" xfId="8820"/>
    <cellStyle name="Normal 8 8 3" xfId="8821"/>
    <cellStyle name="Normal 8 8 4" xfId="8822"/>
    <cellStyle name="Normal 8 8 5" xfId="8823"/>
    <cellStyle name="Normal 8 8 6" xfId="8824"/>
    <cellStyle name="Normal 8 8 7" xfId="8825"/>
    <cellStyle name="Normal 8 8 8" xfId="8826"/>
    <cellStyle name="Normal 8 8 9" xfId="8827"/>
    <cellStyle name="Normal 8 9" xfId="8828"/>
    <cellStyle name="Normal 9" xfId="8829"/>
    <cellStyle name="Normal 9 10" xfId="8830"/>
    <cellStyle name="Normal 9 11" xfId="8831"/>
    <cellStyle name="Normal 9 12" xfId="8832"/>
    <cellStyle name="Normal 9 13" xfId="8833"/>
    <cellStyle name="Normal 9 14" xfId="8834"/>
    <cellStyle name="Normal 9 15" xfId="8835"/>
    <cellStyle name="Normal 9 16" xfId="8836"/>
    <cellStyle name="Normal 9 17" xfId="8837"/>
    <cellStyle name="Normal 9 18" xfId="8838"/>
    <cellStyle name="Normal 9 19" xfId="8839"/>
    <cellStyle name="Normal 9 2" xfId="8840"/>
    <cellStyle name="Normal 9 2 10" xfId="8841"/>
    <cellStyle name="Normal 9 2 11" xfId="8842"/>
    <cellStyle name="Normal 9 2 12" xfId="8843"/>
    <cellStyle name="Normal 9 2 13" xfId="8844"/>
    <cellStyle name="Normal 9 2 2" xfId="8845"/>
    <cellStyle name="Normal 9 2 3" xfId="8846"/>
    <cellStyle name="Normal 9 2 4" xfId="8847"/>
    <cellStyle name="Normal 9 2 5" xfId="8848"/>
    <cellStyle name="Normal 9 2 6" xfId="8849"/>
    <cellStyle name="Normal 9 2 7" xfId="8850"/>
    <cellStyle name="Normal 9 2 8" xfId="8851"/>
    <cellStyle name="Normal 9 2 9" xfId="8852"/>
    <cellStyle name="Normal 9 20" xfId="8853"/>
    <cellStyle name="Normal 9 21" xfId="8854"/>
    <cellStyle name="Normal 9 22" xfId="8855"/>
    <cellStyle name="Normal 9 23" xfId="8856"/>
    <cellStyle name="Normal 9 24" xfId="8857"/>
    <cellStyle name="Normal 9 25" xfId="8858"/>
    <cellStyle name="Normal 9 26" xfId="8859"/>
    <cellStyle name="Normal 9 27" xfId="8860"/>
    <cellStyle name="Normal 9 28" xfId="8861"/>
    <cellStyle name="Normal 9 29" xfId="8862"/>
    <cellStyle name="Normal 9 3" xfId="8863"/>
    <cellStyle name="Normal 9 3 10" xfId="8864"/>
    <cellStyle name="Normal 9 3 11" xfId="8865"/>
    <cellStyle name="Normal 9 3 12" xfId="8866"/>
    <cellStyle name="Normal 9 3 13" xfId="8867"/>
    <cellStyle name="Normal 9 3 2" xfId="8868"/>
    <cellStyle name="Normal 9 3 3" xfId="8869"/>
    <cellStyle name="Normal 9 3 4" xfId="8870"/>
    <cellStyle name="Normal 9 3 5" xfId="8871"/>
    <cellStyle name="Normal 9 3 6" xfId="8872"/>
    <cellStyle name="Normal 9 3 7" xfId="8873"/>
    <cellStyle name="Normal 9 3 8" xfId="8874"/>
    <cellStyle name="Normal 9 3 9" xfId="8875"/>
    <cellStyle name="Normal 9 30" xfId="8876"/>
    <cellStyle name="Normal 9 31" xfId="8877"/>
    <cellStyle name="Normal 9 4" xfId="8878"/>
    <cellStyle name="Normal 9 4 10" xfId="8879"/>
    <cellStyle name="Normal 9 4 11" xfId="8880"/>
    <cellStyle name="Normal 9 4 12" xfId="8881"/>
    <cellStyle name="Normal 9 4 13" xfId="8882"/>
    <cellStyle name="Normal 9 4 2" xfId="8883"/>
    <cellStyle name="Normal 9 4 3" xfId="8884"/>
    <cellStyle name="Normal 9 4 4" xfId="8885"/>
    <cellStyle name="Normal 9 4 5" xfId="8886"/>
    <cellStyle name="Normal 9 4 6" xfId="8887"/>
    <cellStyle name="Normal 9 4 7" xfId="8888"/>
    <cellStyle name="Normal 9 4 8" xfId="8889"/>
    <cellStyle name="Normal 9 4 9" xfId="8890"/>
    <cellStyle name="Normal 9 5" xfId="8891"/>
    <cellStyle name="Normal 9 5 10" xfId="8892"/>
    <cellStyle name="Normal 9 5 11" xfId="8893"/>
    <cellStyle name="Normal 9 5 12" xfId="8894"/>
    <cellStyle name="Normal 9 5 13" xfId="8895"/>
    <cellStyle name="Normal 9 5 2" xfId="8896"/>
    <cellStyle name="Normal 9 5 3" xfId="8897"/>
    <cellStyle name="Normal 9 5 4" xfId="8898"/>
    <cellStyle name="Normal 9 5 5" xfId="8899"/>
    <cellStyle name="Normal 9 5 6" xfId="8900"/>
    <cellStyle name="Normal 9 5 7" xfId="8901"/>
    <cellStyle name="Normal 9 5 8" xfId="8902"/>
    <cellStyle name="Normal 9 5 9" xfId="8903"/>
    <cellStyle name="Normal 9 6" xfId="8904"/>
    <cellStyle name="Normal 9 6 10" xfId="8905"/>
    <cellStyle name="Normal 9 6 11" xfId="8906"/>
    <cellStyle name="Normal 9 6 12" xfId="8907"/>
    <cellStyle name="Normal 9 6 13" xfId="8908"/>
    <cellStyle name="Normal 9 6 2" xfId="8909"/>
    <cellStyle name="Normal 9 6 3" xfId="8910"/>
    <cellStyle name="Normal 9 6 4" xfId="8911"/>
    <cellStyle name="Normal 9 6 5" xfId="8912"/>
    <cellStyle name="Normal 9 6 6" xfId="8913"/>
    <cellStyle name="Normal 9 6 7" xfId="8914"/>
    <cellStyle name="Normal 9 6 8" xfId="8915"/>
    <cellStyle name="Normal 9 6 9" xfId="8916"/>
    <cellStyle name="Normal 9 7" xfId="8917"/>
    <cellStyle name="Normal 9 7 10" xfId="8918"/>
    <cellStyle name="Normal 9 7 11" xfId="8919"/>
    <cellStyle name="Normal 9 7 12" xfId="8920"/>
    <cellStyle name="Normal 9 7 13" xfId="8921"/>
    <cellStyle name="Normal 9 7 2" xfId="8922"/>
    <cellStyle name="Normal 9 7 3" xfId="8923"/>
    <cellStyle name="Normal 9 7 4" xfId="8924"/>
    <cellStyle name="Normal 9 7 5" xfId="8925"/>
    <cellStyle name="Normal 9 7 6" xfId="8926"/>
    <cellStyle name="Normal 9 7 7" xfId="8927"/>
    <cellStyle name="Normal 9 7 8" xfId="8928"/>
    <cellStyle name="Normal 9 7 9" xfId="8929"/>
    <cellStyle name="Normal 9 8" xfId="8930"/>
    <cellStyle name="Normal 9 8 10" xfId="8931"/>
    <cellStyle name="Normal 9 8 11" xfId="8932"/>
    <cellStyle name="Normal 9 8 12" xfId="8933"/>
    <cellStyle name="Normal 9 8 13" xfId="8934"/>
    <cellStyle name="Normal 9 8 2" xfId="8935"/>
    <cellStyle name="Normal 9 8 3" xfId="8936"/>
    <cellStyle name="Normal 9 8 4" xfId="8937"/>
    <cellStyle name="Normal 9 8 5" xfId="8938"/>
    <cellStyle name="Normal 9 8 6" xfId="8939"/>
    <cellStyle name="Normal 9 8 7" xfId="8940"/>
    <cellStyle name="Normal 9 8 8" xfId="8941"/>
    <cellStyle name="Normal 9 8 9" xfId="8942"/>
    <cellStyle name="Normal 9 9" xfId="8943"/>
  </cellStyles>
  <dxfs count="0"/>
  <tableStyles count="0" defaultTableStyle="TableStyleMedium9" defaultPivotStyle="PivotStyleLight16"/>
  <colors>
    <mruColors>
      <color rgb="FFF99F95"/>
      <color rgb="FFC0D2DE"/>
      <color rgb="FF608CAB"/>
      <color rgb="FF9BBB59"/>
      <color rgb="FF8064A2"/>
      <color rgb="FF5CB37C"/>
      <color rgb="FF00BB59"/>
      <color rgb="FF8238BA"/>
      <color rgb="FF83A442"/>
      <color rgb="FF7A5D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iagrams/colors1.xml><?xml version="1.0" encoding="utf-8"?>
<dgm:colorsDef xmlns:dgm="http://schemas.openxmlformats.org/drawingml/2006/diagram" xmlns:a="http://schemas.openxmlformats.org/drawingml/2006/main" uniqueId="urn:microsoft.com/office/officeart/2005/8/colors/colorful3">
  <dgm:title val=""/>
  <dgm:desc val=""/>
  <dgm:catLst>
    <dgm:cat type="colorful" pri="10300"/>
  </dgm:catLst>
  <dgm:styleLbl name="node0">
    <dgm:fillClrLst meth="repeat">
      <a:schemeClr val="accent2"/>
    </dgm:fillClrLst>
    <dgm:linClrLst meth="repeat">
      <a:schemeClr val="lt1"/>
    </dgm:linClrLst>
    <dgm:effectClrLst/>
    <dgm:txLinClrLst/>
    <dgm:txFillClrLst/>
    <dgm:txEffectClrLst/>
  </dgm:styleLbl>
  <dgm:styleLbl name="node1">
    <dgm:fillClrLst>
      <a:schemeClr val="accent3"/>
      <a:schemeClr val="accent4"/>
    </dgm:fillClrLst>
    <dgm:linClrLst meth="repeat">
      <a:schemeClr val="lt1"/>
    </dgm:linClrLst>
    <dgm:effectClrLst/>
    <dgm:txLinClrLst/>
    <dgm:txFillClrLst/>
    <dgm:txEffectClrLst/>
  </dgm:styleLbl>
  <dgm:styleLbl name="alignNode1">
    <dgm:fillClrLst>
      <a:schemeClr val="accent3"/>
      <a:schemeClr val="accent4"/>
    </dgm:fillClrLst>
    <dgm:linClrLst>
      <a:schemeClr val="accent3"/>
      <a:schemeClr val="accent4"/>
    </dgm:linClrLst>
    <dgm:effectClrLst/>
    <dgm:txLinClrLst/>
    <dgm:txFillClrLst/>
    <dgm:txEffectClrLst/>
  </dgm:styleLbl>
  <dgm:styleLbl name="lnNode1">
    <dgm:fillClrLst>
      <a:schemeClr val="accent3"/>
      <a:schemeClr val="accent4"/>
    </dgm:fillClrLst>
    <dgm:linClrLst meth="repeat">
      <a:schemeClr val="lt1"/>
    </dgm:linClrLst>
    <dgm:effectClrLst/>
    <dgm:txLinClrLst/>
    <dgm:txFillClrLst/>
    <dgm:txEffectClrLst/>
  </dgm:styleLbl>
  <dgm:styleLbl name="vennNode1">
    <dgm:fillClrLst>
      <a:schemeClr val="accent3">
        <a:alpha val="50000"/>
      </a:schemeClr>
      <a:schemeClr val="accent4">
        <a:alpha val="50000"/>
      </a:schemeClr>
    </dgm:fillClrLst>
    <dgm:linClrLst meth="repeat">
      <a:schemeClr val="lt1"/>
    </dgm:linClrLst>
    <dgm:effectClrLst/>
    <dgm:txLinClrLst/>
    <dgm:txFillClrLst/>
    <dgm:txEffectClrLst/>
  </dgm:styleLbl>
  <dgm:styleLbl name="node2">
    <dgm:fillClrLst>
      <a:schemeClr val="accent4"/>
    </dgm:fillClrLst>
    <dgm:linClrLst meth="repeat">
      <a:schemeClr val="lt1"/>
    </dgm:linClrLst>
    <dgm:effectClrLst/>
    <dgm:txLinClrLst/>
    <dgm:txFillClrLst/>
    <dgm:txEffectClrLst/>
  </dgm:styleLbl>
  <dgm:styleLbl name="node3">
    <dgm:fillClrLst>
      <a:schemeClr val="accent5"/>
    </dgm:fillClrLst>
    <dgm:linClrLst meth="repeat">
      <a:schemeClr val="lt1"/>
    </dgm:linClrLst>
    <dgm:effectClrLst/>
    <dgm:txLinClrLst/>
    <dgm:txFillClrLst/>
    <dgm:txEffectClrLst/>
  </dgm:styleLbl>
  <dgm:styleLbl name="node4">
    <dgm:fillClrLst>
      <a:schemeClr val="accent6"/>
    </dgm:fillClrLst>
    <dgm:linClrLst meth="repeat">
      <a:schemeClr val="lt1"/>
    </dgm:linClrLst>
    <dgm:effectClrLst/>
    <dgm:txLinClrLst/>
    <dgm:txFillClrLst/>
    <dgm:txEffectClrLst/>
  </dgm:styleLbl>
  <dgm:styleLbl name="fgImgPlace1">
    <dgm:fillClrLst>
      <a:schemeClr val="accent3">
        <a:tint val="50000"/>
      </a:schemeClr>
      <a:schemeClr val="accent4">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3">
        <a:tint val="50000"/>
      </a:schemeClr>
      <a:schemeClr val="accent4">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3">
        <a:tint val="50000"/>
      </a:schemeClr>
      <a:schemeClr val="accent4">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3"/>
      <a:schemeClr val="accent4"/>
    </dgm:fillClrLst>
    <dgm:linClrLst meth="repeat">
      <a:schemeClr val="lt1"/>
    </dgm:linClrLst>
    <dgm:effectClrLst/>
    <dgm:txLinClrLst/>
    <dgm:txFillClrLst/>
    <dgm:txEffectClrLst/>
  </dgm:styleLbl>
  <dgm:styleLbl name="fgSibTrans2D1">
    <dgm:fillClrLst>
      <a:schemeClr val="accent3"/>
      <a:schemeClr val="accent4"/>
    </dgm:fillClrLst>
    <dgm:linClrLst meth="repeat">
      <a:schemeClr val="lt1"/>
    </dgm:linClrLst>
    <dgm:effectClrLst/>
    <dgm:txLinClrLst/>
    <dgm:txFillClrLst meth="repeat">
      <a:schemeClr val="lt1"/>
    </dgm:txFillClrLst>
    <dgm:txEffectClrLst/>
  </dgm:styleLbl>
  <dgm:styleLbl name="bgSibTrans2D1">
    <dgm:fillClrLst>
      <a:schemeClr val="accent3"/>
      <a:schemeClr val="accent4"/>
    </dgm:fillClrLst>
    <dgm:linClrLst meth="repeat">
      <a:schemeClr val="lt1"/>
    </dgm:linClrLst>
    <dgm:effectClrLst/>
    <dgm:txLinClrLst/>
    <dgm:txFillClrLst meth="repeat">
      <a:schemeClr val="lt1"/>
    </dgm:txFillClrLst>
    <dgm:txEffectClrLst/>
  </dgm:styleLbl>
  <dgm:styleLbl name="sibTrans1D1">
    <dgm:fillClrLst/>
    <dgm:linClrLst>
      <a:schemeClr val="accent3"/>
      <a:schemeClr val="accent4"/>
    </dgm:linClrLst>
    <dgm:effectClrLst/>
    <dgm:txLinClrLst/>
    <dgm:txFillClrLst meth="repeat">
      <a:schemeClr val="tx1"/>
    </dgm:txFillClrLst>
    <dgm:txEffectClrLst/>
  </dgm:styleLbl>
  <dgm:styleLbl name="callout">
    <dgm:fillClrLst meth="repeat">
      <a:schemeClr val="accent3"/>
    </dgm:fillClrLst>
    <dgm:linClrLst meth="repeat">
      <a:schemeClr val="accent3">
        <a:tint val="50000"/>
      </a:schemeClr>
    </dgm:linClrLst>
    <dgm:effectClrLst/>
    <dgm:txLinClrLst/>
    <dgm:txFillClrLst meth="repeat">
      <a:schemeClr val="tx1"/>
    </dgm:txFillClrLst>
    <dgm:txEffectClrLst/>
  </dgm:styleLbl>
  <dgm:styleLbl name="asst0">
    <dgm:fillClrLst meth="repeat">
      <a:schemeClr val="accent3"/>
    </dgm:fillClrLst>
    <dgm:linClrLst meth="repeat">
      <a:schemeClr val="lt1">
        <a:shade val="80000"/>
      </a:schemeClr>
    </dgm:linClrLst>
    <dgm:effectClrLst/>
    <dgm:txLinClrLst/>
    <dgm:txFillClrLst/>
    <dgm:txEffectClrLst/>
  </dgm:styleLbl>
  <dgm:styleLbl name="asst1">
    <dgm:fillClrLst meth="repeat">
      <a:schemeClr val="accent4"/>
    </dgm:fillClrLst>
    <dgm:linClrLst meth="repeat">
      <a:schemeClr val="lt1">
        <a:shade val="80000"/>
      </a:schemeClr>
    </dgm:linClrLst>
    <dgm:effectClrLst/>
    <dgm:txLinClrLst/>
    <dgm:txFillClrLst/>
    <dgm:txEffectClrLst/>
  </dgm:styleLbl>
  <dgm:styleLbl name="asst2">
    <dgm:fillClrLst>
      <a:schemeClr val="accent5"/>
    </dgm:fillClrLst>
    <dgm:linClrLst meth="repeat">
      <a:schemeClr val="lt1"/>
    </dgm:linClrLst>
    <dgm:effectClrLst/>
    <dgm:txLinClrLst/>
    <dgm:txFillClrLst/>
    <dgm:txEffectClrLst/>
  </dgm:styleLbl>
  <dgm:styleLbl name="asst3">
    <dgm:fillClrLst>
      <a:schemeClr val="accent6"/>
    </dgm:fillClrLst>
    <dgm:linClrLst meth="repeat">
      <a:schemeClr val="lt1"/>
    </dgm:linClrLst>
    <dgm:effectClrLst/>
    <dgm:txLinClrLst/>
    <dgm:txFillClrLst/>
    <dgm:txEffectClrLst/>
  </dgm:styleLbl>
  <dgm:styleLbl name="asst4">
    <dgm:fillClrLst>
      <a:schemeClr val="accent1"/>
    </dgm:fillClrLst>
    <dgm:linClrLst meth="repeat">
      <a:schemeClr val="lt1"/>
    </dgm:linClrLst>
    <dgm:effectClrLst/>
    <dgm:txLinClrLst/>
    <dgm:txFillClrLst/>
    <dgm:txEffectClrLst/>
  </dgm:styleLbl>
  <dgm:styleLbl name="parChTrans2D1">
    <dgm:fillClrLst meth="repeat">
      <a:schemeClr val="accent2"/>
    </dgm:fillClrLst>
    <dgm:linClrLst meth="repeat">
      <a:schemeClr val="lt1"/>
    </dgm:linClrLst>
    <dgm:effectClrLst/>
    <dgm:txLinClrLst/>
    <dgm:txFillClrLst meth="repeat">
      <a:schemeClr val="lt1"/>
    </dgm:txFillClrLst>
    <dgm:txEffectClrLst/>
  </dgm:styleLbl>
  <dgm:styleLbl name="parChTrans2D2">
    <dgm:fillClrLst meth="repeat">
      <a:schemeClr val="accent3"/>
    </dgm:fillClrLst>
    <dgm:linClrLst meth="repeat">
      <a:schemeClr val="lt1"/>
    </dgm:linClrLst>
    <dgm:effectClrLst/>
    <dgm:txLinClrLst/>
    <dgm:txFillClrLst/>
    <dgm:txEffectClrLst/>
  </dgm:styleLbl>
  <dgm:styleLbl name="parChTrans2D3">
    <dgm:fillClrLst meth="repeat">
      <a:schemeClr val="accent4"/>
    </dgm:fillClrLst>
    <dgm:linClrLst meth="repeat">
      <a:schemeClr val="lt1"/>
    </dgm:linClrLst>
    <dgm:effectClrLst/>
    <dgm:txLinClrLst/>
    <dgm:txFillClrLst/>
    <dgm:txEffectClrLst/>
  </dgm:styleLbl>
  <dgm:styleLbl name="parChTrans2D4">
    <dgm:fillClrLst meth="repeat">
      <a:schemeClr val="accent5"/>
    </dgm:fillClrLst>
    <dgm:linClrLst meth="repeat">
      <a:schemeClr val="lt1"/>
    </dgm:linClrLst>
    <dgm:effectClrLst/>
    <dgm:txLinClrLst/>
    <dgm:txFillClrLst meth="repeat">
      <a:schemeClr val="lt1"/>
    </dgm:txFillClrLst>
    <dgm:txEffectClrLst/>
  </dgm:styleLbl>
  <dgm:styleLbl name="parChTrans1D1">
    <dgm:fillClrLst meth="repeat">
      <a:schemeClr val="accent3"/>
    </dgm:fillClrLst>
    <dgm:linClrLst meth="repeat">
      <a:schemeClr val="accent3"/>
    </dgm:linClrLst>
    <dgm:effectClrLst/>
    <dgm:txLinClrLst/>
    <dgm:txFillClrLst meth="repeat">
      <a:schemeClr val="tx1"/>
    </dgm:txFillClrLst>
    <dgm:txEffectClrLst/>
  </dgm:styleLbl>
  <dgm:styleLbl name="parChTrans1D2">
    <dgm:fillClrLst meth="repeat">
      <a:schemeClr val="accent2">
        <a:tint val="90000"/>
      </a:schemeClr>
    </dgm:fillClrLst>
    <dgm:linClrLst meth="repeat">
      <a:schemeClr val="accent4"/>
    </dgm:linClrLst>
    <dgm:effectClrLst/>
    <dgm:txLinClrLst/>
    <dgm:txFillClrLst meth="repeat">
      <a:schemeClr val="tx1"/>
    </dgm:txFillClrLst>
    <dgm:txEffectClrLst/>
  </dgm:styleLbl>
  <dgm:styleLbl name="parChTrans1D3">
    <dgm:fillClrLst meth="repeat">
      <a:schemeClr val="accent2">
        <a:tint val="70000"/>
      </a:schemeClr>
    </dgm:fillClrLst>
    <dgm:linClrLst meth="repeat">
      <a:schemeClr val="accent5"/>
    </dgm:linClrLst>
    <dgm:effectClrLst/>
    <dgm:txLinClrLst/>
    <dgm:txFillClrLst meth="repeat">
      <a:schemeClr val="tx1"/>
    </dgm:txFillClrLst>
    <dgm:txEffectClrLst/>
  </dgm:styleLbl>
  <dgm:styleLbl name="parChTrans1D4">
    <dgm:fillClrLst meth="repeat">
      <a:schemeClr val="accent6">
        <a:tint val="50000"/>
      </a:schemeClr>
    </dgm:fillClrLst>
    <dgm:linClrLst meth="repeat">
      <a:schemeClr val="accent6"/>
    </dgm:linClrLst>
    <dgm:effectClrLst/>
    <dgm:txLinClrLst/>
    <dgm:txFillClrLst meth="repeat">
      <a:schemeClr val="tx1"/>
    </dgm:txFillClrLst>
    <dgm:txEffectClrLst/>
  </dgm:styleLbl>
  <dgm:styleLbl name="fgAcc1">
    <dgm:fillClrLst meth="repeat">
      <a:schemeClr val="lt1">
        <a:alpha val="90000"/>
      </a:schemeClr>
    </dgm:fillClrLst>
    <dgm:linClrLst>
      <a:schemeClr val="accent3"/>
      <a:schemeClr val="accent4"/>
    </dgm:linClrLst>
    <dgm:effectClrLst/>
    <dgm:txLinClrLst/>
    <dgm:txFillClrLst meth="repeat">
      <a:schemeClr val="dk1"/>
    </dgm:txFillClrLst>
    <dgm:txEffectClrLst/>
  </dgm:styleLbl>
  <dgm:styleLbl name="conFgAcc1">
    <dgm:fillClrLst meth="repeat">
      <a:schemeClr val="lt1">
        <a:alpha val="90000"/>
      </a:schemeClr>
    </dgm:fillClrLst>
    <dgm:linClrLst>
      <a:schemeClr val="accent3"/>
      <a:schemeClr val="accent4"/>
    </dgm:linClrLst>
    <dgm:effectClrLst/>
    <dgm:txLinClrLst/>
    <dgm:txFillClrLst meth="repeat">
      <a:schemeClr val="dk1"/>
    </dgm:txFillClrLst>
    <dgm:txEffectClrLst/>
  </dgm:styleLbl>
  <dgm:styleLbl name="alignAcc1">
    <dgm:fillClrLst meth="repeat">
      <a:schemeClr val="lt1">
        <a:alpha val="90000"/>
      </a:schemeClr>
    </dgm:fillClrLst>
    <dgm:linClrLst>
      <a:schemeClr val="accent3"/>
      <a:schemeClr val="accent4"/>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2"/>
    </dgm:linClrLst>
    <dgm:effectClrLst/>
    <dgm:txLinClrLst/>
    <dgm:txFillClrLst meth="repeat">
      <a:schemeClr val="dk1"/>
    </dgm:txFillClrLst>
    <dgm:txEffectClrLst/>
  </dgm:styleLbl>
  <dgm:styleLbl name="bgAcc1">
    <dgm:fillClrLst meth="repeat">
      <a:schemeClr val="lt1">
        <a:alpha val="90000"/>
      </a:schemeClr>
    </dgm:fillClrLst>
    <dgm:linClrLst>
      <a:schemeClr val="accent3"/>
      <a:schemeClr val="accent4"/>
    </dgm:linClrLst>
    <dgm:effectClrLst/>
    <dgm:txLinClrLst/>
    <dgm:txFillClrLst meth="repeat">
      <a:schemeClr val="dk1"/>
    </dgm:txFillClrLst>
    <dgm:txEffectClrLst/>
  </dgm:styleLbl>
  <dgm:styleLbl name="solidFgAcc1">
    <dgm:fillClrLst meth="repeat">
      <a:schemeClr val="lt1"/>
    </dgm:fillClrLst>
    <dgm:linClrLst>
      <a:schemeClr val="accent3"/>
      <a:schemeClr val="accent4"/>
    </dgm:linClrLst>
    <dgm:effectClrLst/>
    <dgm:txLinClrLst/>
    <dgm:txFillClrLst meth="repeat">
      <a:schemeClr val="dk1"/>
    </dgm:txFillClrLst>
    <dgm:txEffectClrLst/>
  </dgm:styleLbl>
  <dgm:styleLbl name="solidAlignAcc1">
    <dgm:fillClrLst meth="repeat">
      <a:schemeClr val="lt1"/>
    </dgm:fillClrLst>
    <dgm:linClrLst>
      <a:schemeClr val="accent3"/>
      <a:schemeClr val="accent4"/>
    </dgm:linClrLst>
    <dgm:effectClrLst/>
    <dgm:txLinClrLst/>
    <dgm:txFillClrLst meth="repeat">
      <a:schemeClr val="dk1"/>
    </dgm:txFillClrLst>
    <dgm:txEffectClrLst/>
  </dgm:styleLbl>
  <dgm:styleLbl name="solidBgAcc1">
    <dgm:fillClrLst meth="repeat">
      <a:schemeClr val="lt1"/>
    </dgm:fillClrLst>
    <dgm:linClrLst>
      <a:schemeClr val="accent3"/>
      <a:schemeClr val="accent4"/>
    </dgm:linClrLst>
    <dgm:effectClrLst/>
    <dgm:txLinClrLst/>
    <dgm:txFillClrLst meth="repeat">
      <a:schemeClr val="dk1"/>
    </dgm:txFillClrLst>
    <dgm:txEffectClrLst/>
  </dgm:styleLbl>
  <dgm:styleLbl name="fgAccFollowNode1">
    <dgm:fillClrLst>
      <a:schemeClr val="accent3">
        <a:tint val="40000"/>
        <a:alpha val="90000"/>
      </a:schemeClr>
      <a:schemeClr val="accent4">
        <a:tint val="40000"/>
        <a:alpha val="90000"/>
      </a:schemeClr>
    </dgm:fillClrLst>
    <dgm:linClrLst>
      <a:schemeClr val="accent3">
        <a:tint val="40000"/>
        <a:alpha val="90000"/>
      </a:schemeClr>
      <a:schemeClr val="accent4">
        <a:tint val="40000"/>
        <a:alpha val="90000"/>
      </a:schemeClr>
    </dgm:linClrLst>
    <dgm:effectClrLst/>
    <dgm:txLinClrLst/>
    <dgm:txFillClrLst meth="repeat">
      <a:schemeClr val="dk1"/>
    </dgm:txFillClrLst>
    <dgm:txEffectClrLst/>
  </dgm:styleLbl>
  <dgm:styleLbl name="alignAccFollowNode1">
    <dgm:fillClrLst>
      <a:schemeClr val="accent3">
        <a:tint val="40000"/>
        <a:alpha val="90000"/>
      </a:schemeClr>
      <a:schemeClr val="accent4">
        <a:tint val="40000"/>
        <a:alpha val="90000"/>
      </a:schemeClr>
    </dgm:fillClrLst>
    <dgm:linClrLst>
      <a:schemeClr val="accent3">
        <a:tint val="40000"/>
        <a:alpha val="90000"/>
      </a:schemeClr>
      <a:schemeClr val="accent4">
        <a:tint val="40000"/>
        <a:alpha val="90000"/>
      </a:schemeClr>
    </dgm:linClrLst>
    <dgm:effectClrLst/>
    <dgm:txLinClrLst/>
    <dgm:txFillClrLst meth="repeat">
      <a:schemeClr val="dk1"/>
    </dgm:txFillClrLst>
    <dgm:txEffectClrLst/>
  </dgm:styleLbl>
  <dgm:styleLbl name="bgAccFollowNode1">
    <dgm:fillClrLst>
      <a:schemeClr val="accent3">
        <a:tint val="40000"/>
        <a:alpha val="90000"/>
      </a:schemeClr>
      <a:schemeClr val="accent4">
        <a:tint val="40000"/>
        <a:alpha val="90000"/>
      </a:schemeClr>
    </dgm:fillClrLst>
    <dgm:linClrLst>
      <a:schemeClr val="accent3">
        <a:tint val="40000"/>
        <a:alpha val="90000"/>
      </a:schemeClr>
      <a:schemeClr val="accent4">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2"/>
    </dgm:linClrLst>
    <dgm:effectClrLst/>
    <dgm:txLinClrLst/>
    <dgm:txFillClrLst meth="repeat">
      <a:schemeClr val="dk1"/>
    </dgm:txFillClrLst>
    <dgm:txEffectClrLst/>
  </dgm:styleLbl>
  <dgm:styleLbl name="fgAcc2">
    <dgm:fillClrLst meth="repeat">
      <a:schemeClr val="lt1">
        <a:alpha val="90000"/>
      </a:schemeClr>
    </dgm:fillClrLst>
    <dgm:linClrLst>
      <a:schemeClr val="accent4"/>
    </dgm:linClrLst>
    <dgm:effectClrLst/>
    <dgm:txLinClrLst/>
    <dgm:txFillClrLst meth="repeat">
      <a:schemeClr val="dk1"/>
    </dgm:txFillClrLst>
    <dgm:txEffectClrLst/>
  </dgm:styleLbl>
  <dgm:styleLbl name="fgAcc3">
    <dgm:fillClrLst meth="repeat">
      <a:schemeClr val="lt1">
        <a:alpha val="90000"/>
      </a:schemeClr>
    </dgm:fillClrLst>
    <dgm:linClrLst>
      <a:schemeClr val="accent5"/>
    </dgm:linClrLst>
    <dgm:effectClrLst/>
    <dgm:txLinClrLst/>
    <dgm:txFillClrLst meth="repeat">
      <a:schemeClr val="dk1"/>
    </dgm:txFillClrLst>
    <dgm:txEffectClrLst/>
  </dgm:styleLbl>
  <dgm:styleLbl name="fgAcc4">
    <dgm:fillClrLst meth="repeat">
      <a:schemeClr val="lt1">
        <a:alpha val="90000"/>
      </a:schemeClr>
    </dgm:fillClrLst>
    <dgm:linClrLst>
      <a:schemeClr val="accent6"/>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3">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2">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colorful3">
  <dgm:title val=""/>
  <dgm:desc val=""/>
  <dgm:catLst>
    <dgm:cat type="colorful" pri="10300"/>
  </dgm:catLst>
  <dgm:styleLbl name="node0">
    <dgm:fillClrLst meth="repeat">
      <a:schemeClr val="accent2"/>
    </dgm:fillClrLst>
    <dgm:linClrLst meth="repeat">
      <a:schemeClr val="lt1"/>
    </dgm:linClrLst>
    <dgm:effectClrLst/>
    <dgm:txLinClrLst/>
    <dgm:txFillClrLst/>
    <dgm:txEffectClrLst/>
  </dgm:styleLbl>
  <dgm:styleLbl name="node1">
    <dgm:fillClrLst>
      <a:schemeClr val="accent3"/>
      <a:schemeClr val="accent4"/>
    </dgm:fillClrLst>
    <dgm:linClrLst meth="repeat">
      <a:schemeClr val="lt1"/>
    </dgm:linClrLst>
    <dgm:effectClrLst/>
    <dgm:txLinClrLst/>
    <dgm:txFillClrLst/>
    <dgm:txEffectClrLst/>
  </dgm:styleLbl>
  <dgm:styleLbl name="alignNode1">
    <dgm:fillClrLst>
      <a:schemeClr val="accent3"/>
      <a:schemeClr val="accent4"/>
    </dgm:fillClrLst>
    <dgm:linClrLst>
      <a:schemeClr val="accent3"/>
      <a:schemeClr val="accent4"/>
    </dgm:linClrLst>
    <dgm:effectClrLst/>
    <dgm:txLinClrLst/>
    <dgm:txFillClrLst/>
    <dgm:txEffectClrLst/>
  </dgm:styleLbl>
  <dgm:styleLbl name="lnNode1">
    <dgm:fillClrLst>
      <a:schemeClr val="accent3"/>
      <a:schemeClr val="accent4"/>
    </dgm:fillClrLst>
    <dgm:linClrLst meth="repeat">
      <a:schemeClr val="lt1"/>
    </dgm:linClrLst>
    <dgm:effectClrLst/>
    <dgm:txLinClrLst/>
    <dgm:txFillClrLst/>
    <dgm:txEffectClrLst/>
  </dgm:styleLbl>
  <dgm:styleLbl name="vennNode1">
    <dgm:fillClrLst>
      <a:schemeClr val="accent3">
        <a:alpha val="50000"/>
      </a:schemeClr>
      <a:schemeClr val="accent4">
        <a:alpha val="50000"/>
      </a:schemeClr>
    </dgm:fillClrLst>
    <dgm:linClrLst meth="repeat">
      <a:schemeClr val="lt1"/>
    </dgm:linClrLst>
    <dgm:effectClrLst/>
    <dgm:txLinClrLst/>
    <dgm:txFillClrLst/>
    <dgm:txEffectClrLst/>
  </dgm:styleLbl>
  <dgm:styleLbl name="node2">
    <dgm:fillClrLst>
      <a:schemeClr val="accent4"/>
    </dgm:fillClrLst>
    <dgm:linClrLst meth="repeat">
      <a:schemeClr val="lt1"/>
    </dgm:linClrLst>
    <dgm:effectClrLst/>
    <dgm:txLinClrLst/>
    <dgm:txFillClrLst/>
    <dgm:txEffectClrLst/>
  </dgm:styleLbl>
  <dgm:styleLbl name="node3">
    <dgm:fillClrLst>
      <a:schemeClr val="accent5"/>
    </dgm:fillClrLst>
    <dgm:linClrLst meth="repeat">
      <a:schemeClr val="lt1"/>
    </dgm:linClrLst>
    <dgm:effectClrLst/>
    <dgm:txLinClrLst/>
    <dgm:txFillClrLst/>
    <dgm:txEffectClrLst/>
  </dgm:styleLbl>
  <dgm:styleLbl name="node4">
    <dgm:fillClrLst>
      <a:schemeClr val="accent6"/>
    </dgm:fillClrLst>
    <dgm:linClrLst meth="repeat">
      <a:schemeClr val="lt1"/>
    </dgm:linClrLst>
    <dgm:effectClrLst/>
    <dgm:txLinClrLst/>
    <dgm:txFillClrLst/>
    <dgm:txEffectClrLst/>
  </dgm:styleLbl>
  <dgm:styleLbl name="fgImgPlace1">
    <dgm:fillClrLst>
      <a:schemeClr val="accent3">
        <a:tint val="50000"/>
      </a:schemeClr>
      <a:schemeClr val="accent4">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3">
        <a:tint val="50000"/>
      </a:schemeClr>
      <a:schemeClr val="accent4">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3">
        <a:tint val="50000"/>
      </a:schemeClr>
      <a:schemeClr val="accent4">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3"/>
      <a:schemeClr val="accent4"/>
    </dgm:fillClrLst>
    <dgm:linClrLst meth="repeat">
      <a:schemeClr val="lt1"/>
    </dgm:linClrLst>
    <dgm:effectClrLst/>
    <dgm:txLinClrLst/>
    <dgm:txFillClrLst/>
    <dgm:txEffectClrLst/>
  </dgm:styleLbl>
  <dgm:styleLbl name="fgSibTrans2D1">
    <dgm:fillClrLst>
      <a:schemeClr val="accent3"/>
      <a:schemeClr val="accent4"/>
    </dgm:fillClrLst>
    <dgm:linClrLst meth="repeat">
      <a:schemeClr val="lt1"/>
    </dgm:linClrLst>
    <dgm:effectClrLst/>
    <dgm:txLinClrLst/>
    <dgm:txFillClrLst meth="repeat">
      <a:schemeClr val="lt1"/>
    </dgm:txFillClrLst>
    <dgm:txEffectClrLst/>
  </dgm:styleLbl>
  <dgm:styleLbl name="bgSibTrans2D1">
    <dgm:fillClrLst>
      <a:schemeClr val="accent3"/>
      <a:schemeClr val="accent4"/>
    </dgm:fillClrLst>
    <dgm:linClrLst meth="repeat">
      <a:schemeClr val="lt1"/>
    </dgm:linClrLst>
    <dgm:effectClrLst/>
    <dgm:txLinClrLst/>
    <dgm:txFillClrLst meth="repeat">
      <a:schemeClr val="lt1"/>
    </dgm:txFillClrLst>
    <dgm:txEffectClrLst/>
  </dgm:styleLbl>
  <dgm:styleLbl name="sibTrans1D1">
    <dgm:fillClrLst/>
    <dgm:linClrLst>
      <a:schemeClr val="accent3"/>
      <a:schemeClr val="accent4"/>
    </dgm:linClrLst>
    <dgm:effectClrLst/>
    <dgm:txLinClrLst/>
    <dgm:txFillClrLst meth="repeat">
      <a:schemeClr val="tx1"/>
    </dgm:txFillClrLst>
    <dgm:txEffectClrLst/>
  </dgm:styleLbl>
  <dgm:styleLbl name="callout">
    <dgm:fillClrLst meth="repeat">
      <a:schemeClr val="accent3"/>
    </dgm:fillClrLst>
    <dgm:linClrLst meth="repeat">
      <a:schemeClr val="accent3">
        <a:tint val="50000"/>
      </a:schemeClr>
    </dgm:linClrLst>
    <dgm:effectClrLst/>
    <dgm:txLinClrLst/>
    <dgm:txFillClrLst meth="repeat">
      <a:schemeClr val="tx1"/>
    </dgm:txFillClrLst>
    <dgm:txEffectClrLst/>
  </dgm:styleLbl>
  <dgm:styleLbl name="asst0">
    <dgm:fillClrLst meth="repeat">
      <a:schemeClr val="accent3"/>
    </dgm:fillClrLst>
    <dgm:linClrLst meth="repeat">
      <a:schemeClr val="lt1">
        <a:shade val="80000"/>
      </a:schemeClr>
    </dgm:linClrLst>
    <dgm:effectClrLst/>
    <dgm:txLinClrLst/>
    <dgm:txFillClrLst/>
    <dgm:txEffectClrLst/>
  </dgm:styleLbl>
  <dgm:styleLbl name="asst1">
    <dgm:fillClrLst meth="repeat">
      <a:schemeClr val="accent4"/>
    </dgm:fillClrLst>
    <dgm:linClrLst meth="repeat">
      <a:schemeClr val="lt1">
        <a:shade val="80000"/>
      </a:schemeClr>
    </dgm:linClrLst>
    <dgm:effectClrLst/>
    <dgm:txLinClrLst/>
    <dgm:txFillClrLst/>
    <dgm:txEffectClrLst/>
  </dgm:styleLbl>
  <dgm:styleLbl name="asst2">
    <dgm:fillClrLst>
      <a:schemeClr val="accent5"/>
    </dgm:fillClrLst>
    <dgm:linClrLst meth="repeat">
      <a:schemeClr val="lt1"/>
    </dgm:linClrLst>
    <dgm:effectClrLst/>
    <dgm:txLinClrLst/>
    <dgm:txFillClrLst/>
    <dgm:txEffectClrLst/>
  </dgm:styleLbl>
  <dgm:styleLbl name="asst3">
    <dgm:fillClrLst>
      <a:schemeClr val="accent6"/>
    </dgm:fillClrLst>
    <dgm:linClrLst meth="repeat">
      <a:schemeClr val="lt1"/>
    </dgm:linClrLst>
    <dgm:effectClrLst/>
    <dgm:txLinClrLst/>
    <dgm:txFillClrLst/>
    <dgm:txEffectClrLst/>
  </dgm:styleLbl>
  <dgm:styleLbl name="asst4">
    <dgm:fillClrLst>
      <a:schemeClr val="accent1"/>
    </dgm:fillClrLst>
    <dgm:linClrLst meth="repeat">
      <a:schemeClr val="lt1"/>
    </dgm:linClrLst>
    <dgm:effectClrLst/>
    <dgm:txLinClrLst/>
    <dgm:txFillClrLst/>
    <dgm:txEffectClrLst/>
  </dgm:styleLbl>
  <dgm:styleLbl name="parChTrans2D1">
    <dgm:fillClrLst meth="repeat">
      <a:schemeClr val="accent2"/>
    </dgm:fillClrLst>
    <dgm:linClrLst meth="repeat">
      <a:schemeClr val="lt1"/>
    </dgm:linClrLst>
    <dgm:effectClrLst/>
    <dgm:txLinClrLst/>
    <dgm:txFillClrLst meth="repeat">
      <a:schemeClr val="lt1"/>
    </dgm:txFillClrLst>
    <dgm:txEffectClrLst/>
  </dgm:styleLbl>
  <dgm:styleLbl name="parChTrans2D2">
    <dgm:fillClrLst meth="repeat">
      <a:schemeClr val="accent3"/>
    </dgm:fillClrLst>
    <dgm:linClrLst meth="repeat">
      <a:schemeClr val="lt1"/>
    </dgm:linClrLst>
    <dgm:effectClrLst/>
    <dgm:txLinClrLst/>
    <dgm:txFillClrLst/>
    <dgm:txEffectClrLst/>
  </dgm:styleLbl>
  <dgm:styleLbl name="parChTrans2D3">
    <dgm:fillClrLst meth="repeat">
      <a:schemeClr val="accent4"/>
    </dgm:fillClrLst>
    <dgm:linClrLst meth="repeat">
      <a:schemeClr val="lt1"/>
    </dgm:linClrLst>
    <dgm:effectClrLst/>
    <dgm:txLinClrLst/>
    <dgm:txFillClrLst/>
    <dgm:txEffectClrLst/>
  </dgm:styleLbl>
  <dgm:styleLbl name="parChTrans2D4">
    <dgm:fillClrLst meth="repeat">
      <a:schemeClr val="accent5"/>
    </dgm:fillClrLst>
    <dgm:linClrLst meth="repeat">
      <a:schemeClr val="lt1"/>
    </dgm:linClrLst>
    <dgm:effectClrLst/>
    <dgm:txLinClrLst/>
    <dgm:txFillClrLst meth="repeat">
      <a:schemeClr val="lt1"/>
    </dgm:txFillClrLst>
    <dgm:txEffectClrLst/>
  </dgm:styleLbl>
  <dgm:styleLbl name="parChTrans1D1">
    <dgm:fillClrLst meth="repeat">
      <a:schemeClr val="accent3"/>
    </dgm:fillClrLst>
    <dgm:linClrLst meth="repeat">
      <a:schemeClr val="accent3"/>
    </dgm:linClrLst>
    <dgm:effectClrLst/>
    <dgm:txLinClrLst/>
    <dgm:txFillClrLst meth="repeat">
      <a:schemeClr val="tx1"/>
    </dgm:txFillClrLst>
    <dgm:txEffectClrLst/>
  </dgm:styleLbl>
  <dgm:styleLbl name="parChTrans1D2">
    <dgm:fillClrLst meth="repeat">
      <a:schemeClr val="accent2">
        <a:tint val="90000"/>
      </a:schemeClr>
    </dgm:fillClrLst>
    <dgm:linClrLst meth="repeat">
      <a:schemeClr val="accent4"/>
    </dgm:linClrLst>
    <dgm:effectClrLst/>
    <dgm:txLinClrLst/>
    <dgm:txFillClrLst meth="repeat">
      <a:schemeClr val="tx1"/>
    </dgm:txFillClrLst>
    <dgm:txEffectClrLst/>
  </dgm:styleLbl>
  <dgm:styleLbl name="parChTrans1D3">
    <dgm:fillClrLst meth="repeat">
      <a:schemeClr val="accent2">
        <a:tint val="70000"/>
      </a:schemeClr>
    </dgm:fillClrLst>
    <dgm:linClrLst meth="repeat">
      <a:schemeClr val="accent5"/>
    </dgm:linClrLst>
    <dgm:effectClrLst/>
    <dgm:txLinClrLst/>
    <dgm:txFillClrLst meth="repeat">
      <a:schemeClr val="tx1"/>
    </dgm:txFillClrLst>
    <dgm:txEffectClrLst/>
  </dgm:styleLbl>
  <dgm:styleLbl name="parChTrans1D4">
    <dgm:fillClrLst meth="repeat">
      <a:schemeClr val="accent6">
        <a:tint val="50000"/>
      </a:schemeClr>
    </dgm:fillClrLst>
    <dgm:linClrLst meth="repeat">
      <a:schemeClr val="accent6"/>
    </dgm:linClrLst>
    <dgm:effectClrLst/>
    <dgm:txLinClrLst/>
    <dgm:txFillClrLst meth="repeat">
      <a:schemeClr val="tx1"/>
    </dgm:txFillClrLst>
    <dgm:txEffectClrLst/>
  </dgm:styleLbl>
  <dgm:styleLbl name="fgAcc1">
    <dgm:fillClrLst meth="repeat">
      <a:schemeClr val="lt1">
        <a:alpha val="90000"/>
      </a:schemeClr>
    </dgm:fillClrLst>
    <dgm:linClrLst>
      <a:schemeClr val="accent3"/>
      <a:schemeClr val="accent4"/>
    </dgm:linClrLst>
    <dgm:effectClrLst/>
    <dgm:txLinClrLst/>
    <dgm:txFillClrLst meth="repeat">
      <a:schemeClr val="dk1"/>
    </dgm:txFillClrLst>
    <dgm:txEffectClrLst/>
  </dgm:styleLbl>
  <dgm:styleLbl name="conFgAcc1">
    <dgm:fillClrLst meth="repeat">
      <a:schemeClr val="lt1">
        <a:alpha val="90000"/>
      </a:schemeClr>
    </dgm:fillClrLst>
    <dgm:linClrLst>
      <a:schemeClr val="accent3"/>
      <a:schemeClr val="accent4"/>
    </dgm:linClrLst>
    <dgm:effectClrLst/>
    <dgm:txLinClrLst/>
    <dgm:txFillClrLst meth="repeat">
      <a:schemeClr val="dk1"/>
    </dgm:txFillClrLst>
    <dgm:txEffectClrLst/>
  </dgm:styleLbl>
  <dgm:styleLbl name="alignAcc1">
    <dgm:fillClrLst meth="repeat">
      <a:schemeClr val="lt1">
        <a:alpha val="90000"/>
      </a:schemeClr>
    </dgm:fillClrLst>
    <dgm:linClrLst>
      <a:schemeClr val="accent3"/>
      <a:schemeClr val="accent4"/>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2"/>
    </dgm:linClrLst>
    <dgm:effectClrLst/>
    <dgm:txLinClrLst/>
    <dgm:txFillClrLst meth="repeat">
      <a:schemeClr val="dk1"/>
    </dgm:txFillClrLst>
    <dgm:txEffectClrLst/>
  </dgm:styleLbl>
  <dgm:styleLbl name="bgAcc1">
    <dgm:fillClrLst meth="repeat">
      <a:schemeClr val="lt1">
        <a:alpha val="90000"/>
      </a:schemeClr>
    </dgm:fillClrLst>
    <dgm:linClrLst>
      <a:schemeClr val="accent3"/>
      <a:schemeClr val="accent4"/>
    </dgm:linClrLst>
    <dgm:effectClrLst/>
    <dgm:txLinClrLst/>
    <dgm:txFillClrLst meth="repeat">
      <a:schemeClr val="dk1"/>
    </dgm:txFillClrLst>
    <dgm:txEffectClrLst/>
  </dgm:styleLbl>
  <dgm:styleLbl name="solidFgAcc1">
    <dgm:fillClrLst meth="repeat">
      <a:schemeClr val="lt1"/>
    </dgm:fillClrLst>
    <dgm:linClrLst>
      <a:schemeClr val="accent3"/>
      <a:schemeClr val="accent4"/>
    </dgm:linClrLst>
    <dgm:effectClrLst/>
    <dgm:txLinClrLst/>
    <dgm:txFillClrLst meth="repeat">
      <a:schemeClr val="dk1"/>
    </dgm:txFillClrLst>
    <dgm:txEffectClrLst/>
  </dgm:styleLbl>
  <dgm:styleLbl name="solidAlignAcc1">
    <dgm:fillClrLst meth="repeat">
      <a:schemeClr val="lt1"/>
    </dgm:fillClrLst>
    <dgm:linClrLst>
      <a:schemeClr val="accent3"/>
      <a:schemeClr val="accent4"/>
    </dgm:linClrLst>
    <dgm:effectClrLst/>
    <dgm:txLinClrLst/>
    <dgm:txFillClrLst meth="repeat">
      <a:schemeClr val="dk1"/>
    </dgm:txFillClrLst>
    <dgm:txEffectClrLst/>
  </dgm:styleLbl>
  <dgm:styleLbl name="solidBgAcc1">
    <dgm:fillClrLst meth="repeat">
      <a:schemeClr val="lt1"/>
    </dgm:fillClrLst>
    <dgm:linClrLst>
      <a:schemeClr val="accent3"/>
      <a:schemeClr val="accent4"/>
    </dgm:linClrLst>
    <dgm:effectClrLst/>
    <dgm:txLinClrLst/>
    <dgm:txFillClrLst meth="repeat">
      <a:schemeClr val="dk1"/>
    </dgm:txFillClrLst>
    <dgm:txEffectClrLst/>
  </dgm:styleLbl>
  <dgm:styleLbl name="fgAccFollowNode1">
    <dgm:fillClrLst>
      <a:schemeClr val="accent3">
        <a:tint val="40000"/>
        <a:alpha val="90000"/>
      </a:schemeClr>
      <a:schemeClr val="accent4">
        <a:tint val="40000"/>
        <a:alpha val="90000"/>
      </a:schemeClr>
    </dgm:fillClrLst>
    <dgm:linClrLst>
      <a:schemeClr val="accent3">
        <a:tint val="40000"/>
        <a:alpha val="90000"/>
      </a:schemeClr>
      <a:schemeClr val="accent4">
        <a:tint val="40000"/>
        <a:alpha val="90000"/>
      </a:schemeClr>
    </dgm:linClrLst>
    <dgm:effectClrLst/>
    <dgm:txLinClrLst/>
    <dgm:txFillClrLst meth="repeat">
      <a:schemeClr val="dk1"/>
    </dgm:txFillClrLst>
    <dgm:txEffectClrLst/>
  </dgm:styleLbl>
  <dgm:styleLbl name="alignAccFollowNode1">
    <dgm:fillClrLst>
      <a:schemeClr val="accent3">
        <a:tint val="40000"/>
        <a:alpha val="90000"/>
      </a:schemeClr>
      <a:schemeClr val="accent4">
        <a:tint val="40000"/>
        <a:alpha val="90000"/>
      </a:schemeClr>
    </dgm:fillClrLst>
    <dgm:linClrLst>
      <a:schemeClr val="accent3">
        <a:tint val="40000"/>
        <a:alpha val="90000"/>
      </a:schemeClr>
      <a:schemeClr val="accent4">
        <a:tint val="40000"/>
        <a:alpha val="90000"/>
      </a:schemeClr>
    </dgm:linClrLst>
    <dgm:effectClrLst/>
    <dgm:txLinClrLst/>
    <dgm:txFillClrLst meth="repeat">
      <a:schemeClr val="dk1"/>
    </dgm:txFillClrLst>
    <dgm:txEffectClrLst/>
  </dgm:styleLbl>
  <dgm:styleLbl name="bgAccFollowNode1">
    <dgm:fillClrLst>
      <a:schemeClr val="accent3">
        <a:tint val="40000"/>
        <a:alpha val="90000"/>
      </a:schemeClr>
      <a:schemeClr val="accent4">
        <a:tint val="40000"/>
        <a:alpha val="90000"/>
      </a:schemeClr>
    </dgm:fillClrLst>
    <dgm:linClrLst>
      <a:schemeClr val="accent3">
        <a:tint val="40000"/>
        <a:alpha val="90000"/>
      </a:schemeClr>
      <a:schemeClr val="accent4">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2"/>
    </dgm:linClrLst>
    <dgm:effectClrLst/>
    <dgm:txLinClrLst/>
    <dgm:txFillClrLst meth="repeat">
      <a:schemeClr val="dk1"/>
    </dgm:txFillClrLst>
    <dgm:txEffectClrLst/>
  </dgm:styleLbl>
  <dgm:styleLbl name="fgAcc2">
    <dgm:fillClrLst meth="repeat">
      <a:schemeClr val="lt1">
        <a:alpha val="90000"/>
      </a:schemeClr>
    </dgm:fillClrLst>
    <dgm:linClrLst>
      <a:schemeClr val="accent4"/>
    </dgm:linClrLst>
    <dgm:effectClrLst/>
    <dgm:txLinClrLst/>
    <dgm:txFillClrLst meth="repeat">
      <a:schemeClr val="dk1"/>
    </dgm:txFillClrLst>
    <dgm:txEffectClrLst/>
  </dgm:styleLbl>
  <dgm:styleLbl name="fgAcc3">
    <dgm:fillClrLst meth="repeat">
      <a:schemeClr val="lt1">
        <a:alpha val="90000"/>
      </a:schemeClr>
    </dgm:fillClrLst>
    <dgm:linClrLst>
      <a:schemeClr val="accent5"/>
    </dgm:linClrLst>
    <dgm:effectClrLst/>
    <dgm:txLinClrLst/>
    <dgm:txFillClrLst meth="repeat">
      <a:schemeClr val="dk1"/>
    </dgm:txFillClrLst>
    <dgm:txEffectClrLst/>
  </dgm:styleLbl>
  <dgm:styleLbl name="fgAcc4">
    <dgm:fillClrLst meth="repeat">
      <a:schemeClr val="lt1">
        <a:alpha val="90000"/>
      </a:schemeClr>
    </dgm:fillClrLst>
    <dgm:linClrLst>
      <a:schemeClr val="accent6"/>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3">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2">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3.xml><?xml version="1.0" encoding="utf-8"?>
<dgm:colorsDef xmlns:dgm="http://schemas.openxmlformats.org/drawingml/2006/diagram" xmlns:a="http://schemas.openxmlformats.org/drawingml/2006/main" uniqueId="urn:microsoft.com/office/officeart/2005/8/colors/colorful1">
  <dgm:title val=""/>
  <dgm:desc val=""/>
  <dgm:catLst>
    <dgm:cat type="colorful" pri="10100"/>
  </dgm:catLst>
  <dgm:styleLbl name="node0">
    <dgm:fillClrLst meth="repeat">
      <a:schemeClr val="accent1"/>
    </dgm:fillClrLst>
    <dgm:linClrLst meth="repeat">
      <a:schemeClr val="lt1"/>
    </dgm:linClrLst>
    <dgm:effectClrLst/>
    <dgm:txLinClrLst/>
    <dgm:txFillClrLst/>
    <dgm:txEffectClrLst/>
  </dgm:styleLbl>
  <dgm:styleLbl name="node1">
    <dgm:fillClrLst meth="repeat">
      <a:schemeClr val="accent2"/>
      <a:schemeClr val="accent3"/>
      <a:schemeClr val="accent4"/>
      <a:schemeClr val="accent5"/>
      <a:schemeClr val="accent6"/>
    </dgm:fillClrLst>
    <dgm:linClrLst meth="repeat">
      <a:schemeClr val="lt1"/>
    </dgm:linClrLst>
    <dgm:effectClrLst/>
    <dgm:txLinClrLst/>
    <dgm:txFillClrLst/>
    <dgm:txEffectClrLst/>
  </dgm:styleLbl>
  <dgm:styleLbl name="alignNode1">
    <dgm:fillClrLst meth="repeat">
      <a:schemeClr val="accent2"/>
      <a:schemeClr val="accent3"/>
      <a:schemeClr val="accent4"/>
      <a:schemeClr val="accent5"/>
      <a:schemeClr val="accent6"/>
    </dgm:fillClrLst>
    <dgm:linClrLst meth="repeat">
      <a:schemeClr val="accent2"/>
      <a:schemeClr val="accent3"/>
      <a:schemeClr val="accent4"/>
      <a:schemeClr val="accent5"/>
      <a:schemeClr val="accent6"/>
    </dgm:linClrLst>
    <dgm:effectClrLst/>
    <dgm:txLinClrLst/>
    <dgm:txFillClrLst/>
    <dgm:txEffectClrLst/>
  </dgm:styleLbl>
  <dgm:styleLbl name="lnNode1">
    <dgm:fillClrLst meth="repeat">
      <a:schemeClr val="accent2"/>
      <a:schemeClr val="accent3"/>
      <a:schemeClr val="accent4"/>
      <a:schemeClr val="accent5"/>
      <a:schemeClr val="accent6"/>
    </dgm:fillClrLst>
    <dgm:linClrLst meth="repeat">
      <a:schemeClr val="lt1"/>
    </dgm:linClrLst>
    <dgm:effectClrLst/>
    <dgm:txLinClrLst/>
    <dgm:txFillClrLst/>
    <dgm:txEffectClrLst/>
  </dgm:styleLbl>
  <dgm:styleLbl name="vennNode1">
    <dgm:fillClrLst meth="repeat">
      <a:schemeClr val="accent2">
        <a:alpha val="50000"/>
      </a:schemeClr>
      <a:schemeClr val="accent3">
        <a:alpha val="50000"/>
      </a:schemeClr>
      <a:schemeClr val="accent4">
        <a:alpha val="50000"/>
      </a:schemeClr>
      <a:schemeClr val="accent5">
        <a:alpha val="50000"/>
      </a:schemeClr>
      <a:schemeClr val="accent6">
        <a:alpha val="50000"/>
      </a:schemeClr>
    </dgm:fillClrLst>
    <dgm:linClrLst meth="repeat">
      <a:schemeClr val="lt1"/>
    </dgm:linClrLst>
    <dgm:effectClrLst/>
    <dgm:txLinClrLst/>
    <dgm:txFillClrLst/>
    <dgm:txEffectClrLst/>
  </dgm:styleLbl>
  <dgm:styleLbl name="node2">
    <dgm:fillClrLst>
      <a:schemeClr val="accent2"/>
    </dgm:fillClrLst>
    <dgm:linClrLst meth="repeat">
      <a:schemeClr val="lt1"/>
    </dgm:linClrLst>
    <dgm:effectClrLst/>
    <dgm:txLinClrLst/>
    <dgm:txFillClrLst/>
    <dgm:txEffectClrLst/>
  </dgm:styleLbl>
  <dgm:styleLbl name="node3">
    <dgm:fillClrLst>
      <a:schemeClr val="accent3"/>
    </dgm:fillClrLst>
    <dgm:linClrLst meth="repeat">
      <a:schemeClr val="lt1"/>
    </dgm:linClrLst>
    <dgm:effectClrLst/>
    <dgm:txLinClrLst/>
    <dgm:txFillClrLst/>
    <dgm:txEffectClrLst/>
  </dgm:styleLbl>
  <dgm:styleLbl name="node4">
    <dgm:fillClrLst>
      <a:schemeClr val="accent4"/>
    </dgm:fillClrLst>
    <dgm:linClrLst meth="repeat">
      <a:schemeClr val="lt1"/>
    </dgm:linClrLst>
    <dgm:effectClrLst/>
    <dgm:txLinClrLst/>
    <dgm:txFillClrLst/>
    <dgm:txEffectClrLst/>
  </dgm:styleLbl>
  <dgm:styleLbl name="fgImgPlace1">
    <dgm:fillClrLst meth="repeat">
      <a:schemeClr val="accent2">
        <a:tint val="50000"/>
      </a:schemeClr>
      <a:schemeClr val="accent3">
        <a:tint val="50000"/>
      </a:schemeClr>
      <a:schemeClr val="accent4">
        <a:tint val="50000"/>
      </a:schemeClr>
      <a:schemeClr val="accent5">
        <a:tint val="50000"/>
      </a:schemeClr>
      <a:schemeClr val="accent6">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1">
        <a:tint val="50000"/>
      </a:schemeClr>
      <a:schemeClr val="accent2">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1">
        <a:tint val="50000"/>
      </a:schemeClr>
      <a:schemeClr val="accent2">
        <a:tint val="2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2"/>
      <a:schemeClr val="accent3"/>
      <a:schemeClr val="accent4"/>
      <a:schemeClr val="accent5"/>
      <a:schemeClr val="accent6"/>
    </dgm:fillClrLst>
    <dgm:linClrLst meth="cycle">
      <a:schemeClr val="lt1"/>
    </dgm:linClrLst>
    <dgm:effectClrLst/>
    <dgm:txLinClrLst/>
    <dgm:txFillClrLst/>
    <dgm:txEffectClrLst/>
  </dgm:styleLbl>
  <dgm:styleLbl name="fgSibTrans2D1">
    <dgm:fillClrLst meth="repeat">
      <a:schemeClr val="accent2"/>
      <a:schemeClr val="accent3"/>
      <a:schemeClr val="accent4"/>
      <a:schemeClr val="accent5"/>
      <a:schemeClr val="accent6"/>
    </dgm:fillClrLst>
    <dgm:linClrLst meth="cycle">
      <a:schemeClr val="lt1"/>
    </dgm:linClrLst>
    <dgm:effectClrLst/>
    <dgm:txLinClrLst/>
    <dgm:txFillClrLst meth="repeat">
      <a:schemeClr val="lt1"/>
    </dgm:txFillClrLst>
    <dgm:txEffectClrLst/>
  </dgm:styleLbl>
  <dgm:styleLbl name="bgSibTrans2D1">
    <dgm:fillClrLst meth="repeat">
      <a:schemeClr val="accent2"/>
      <a:schemeClr val="accent3"/>
      <a:schemeClr val="accent4"/>
      <a:schemeClr val="accent5"/>
      <a:schemeClr val="accent6"/>
    </dgm:fillClrLst>
    <dgm:linClrLst meth="cycle">
      <a:schemeClr val="lt1"/>
    </dgm:linClrLst>
    <dgm:effectClrLst/>
    <dgm:txLinClrLst/>
    <dgm:txFillClrLst meth="repeat">
      <a:schemeClr val="lt1"/>
    </dgm:txFillClrLst>
    <dgm:txEffectClrLst/>
  </dgm:styleLbl>
  <dgm:styleLbl name="sibTrans1D1">
    <dgm:fillClrLst meth="repeat">
      <a:schemeClr val="accent2"/>
      <a:schemeClr val="accent3"/>
      <a:schemeClr val="accent4"/>
      <a:schemeClr val="accent5"/>
      <a:schemeClr val="accent6"/>
    </dgm:fillClrLst>
    <dgm:linClrLst meth="repeat">
      <a:schemeClr val="accent2"/>
      <a:schemeClr val="accent3"/>
      <a:schemeClr val="accent4"/>
      <a:schemeClr val="accent5"/>
      <a:schemeClr val="accent6"/>
    </dgm:linClrLst>
    <dgm:effectClrLst/>
    <dgm:txLinClrLst/>
    <dgm:txFillClrLst meth="repeat">
      <a:schemeClr val="tx1"/>
    </dgm:txFillClrLst>
    <dgm:txEffectClrLst/>
  </dgm:styleLbl>
  <dgm:styleLbl name="callout">
    <dgm:fillClrLst meth="repeat">
      <a:schemeClr val="accent2"/>
    </dgm:fillClrLst>
    <dgm:linClrLst meth="repeat">
      <a:schemeClr val="accent2">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2"/>
    </dgm:fillClrLst>
    <dgm:linClrLst meth="repeat">
      <a:schemeClr val="lt1"/>
    </dgm:linClrLst>
    <dgm:effectClrLst/>
    <dgm:txLinClrLst/>
    <dgm:txFillClrLst/>
    <dgm:txEffectClrLst/>
  </dgm:styleLbl>
  <dgm:styleLbl name="asst2">
    <dgm:fillClrLst>
      <a:schemeClr val="accent3"/>
    </dgm:fillClrLst>
    <dgm:linClrLst meth="repeat">
      <a:schemeClr val="lt1"/>
    </dgm:linClrLst>
    <dgm:effectClrLst/>
    <dgm:txLinClrLst/>
    <dgm:txFillClrLst/>
    <dgm:txEffectClrLst/>
  </dgm:styleLbl>
  <dgm:styleLbl name="asst3">
    <dgm:fillClrLst>
      <a:schemeClr val="accent4"/>
    </dgm:fillClrLst>
    <dgm:linClrLst meth="repeat">
      <a:schemeClr val="lt1"/>
    </dgm:linClrLst>
    <dgm:effectClrLst/>
    <dgm:txLinClrLst/>
    <dgm:txFillClrLst/>
    <dgm:txEffectClrLst/>
  </dgm:styleLbl>
  <dgm:styleLbl name="asst4">
    <dgm:fillClrLst>
      <a:schemeClr val="accent5"/>
    </dgm:fillClrLst>
    <dgm:linClrLst meth="repeat">
      <a:schemeClr val="lt1"/>
    </dgm:linClrLst>
    <dgm:effectClrLst/>
    <dgm:txLinClrLst/>
    <dgm:txFillClrLst/>
    <dgm:txEffectClrLst/>
  </dgm:styleLbl>
  <dgm:styleLbl name="parChTrans2D1">
    <dgm:fillClrLst meth="repeat">
      <a:schemeClr val="accent2"/>
    </dgm:fillClrLst>
    <dgm:linClrLst meth="repeat">
      <a:schemeClr val="lt1"/>
    </dgm:linClrLst>
    <dgm:effectClrLst/>
    <dgm:txLinClrLst/>
    <dgm:txFillClrLst meth="repeat">
      <a:schemeClr val="lt1"/>
    </dgm:txFillClrLst>
    <dgm:txEffectClrLst/>
  </dgm:styleLbl>
  <dgm:styleLbl name="parChTrans2D2">
    <dgm:fillClrLst meth="repeat">
      <a:schemeClr val="accent3"/>
    </dgm:fillClrLst>
    <dgm:linClrLst meth="repeat">
      <a:schemeClr val="lt1"/>
    </dgm:linClrLst>
    <dgm:effectClrLst/>
    <dgm:txLinClrLst/>
    <dgm:txFillClrLst/>
    <dgm:txEffectClrLst/>
  </dgm:styleLbl>
  <dgm:styleLbl name="parChTrans2D3">
    <dgm:fillClrLst meth="repeat">
      <a:schemeClr val="accent4"/>
    </dgm:fillClrLst>
    <dgm:linClrLst meth="repeat">
      <a:schemeClr val="lt1"/>
    </dgm:linClrLst>
    <dgm:effectClrLst/>
    <dgm:txLinClrLst/>
    <dgm:txFillClrLst/>
    <dgm:txEffectClrLst/>
  </dgm:styleLbl>
  <dgm:styleLbl name="parChTrans2D4">
    <dgm:fillClrLst meth="repeat">
      <a:schemeClr val="accent5"/>
    </dgm:fillClrLst>
    <dgm:linClrLst meth="repeat">
      <a:schemeClr val="lt1"/>
    </dgm:linClrLst>
    <dgm:effectClrLst/>
    <dgm:txLinClrLst/>
    <dgm:txFillClrLst meth="repeat">
      <a:schemeClr val="lt1"/>
    </dgm:txFillClrLst>
    <dgm:txEffectClrLst/>
  </dgm:styleLbl>
  <dgm:styleLbl name="parChTrans1D1">
    <dgm:fillClrLst meth="repeat">
      <a:schemeClr val="accent2"/>
    </dgm:fillClrLst>
    <dgm:linClrLst meth="repeat">
      <a:schemeClr val="accent1"/>
    </dgm:linClrLst>
    <dgm:effectClrLst/>
    <dgm:txLinClrLst/>
    <dgm:txFillClrLst meth="repeat">
      <a:schemeClr val="tx1"/>
    </dgm:txFillClrLst>
    <dgm:txEffectClrLst/>
  </dgm:styleLbl>
  <dgm:styleLbl name="parChTrans1D2">
    <dgm:fillClrLst meth="repeat">
      <a:schemeClr val="accent3">
        <a:tint val="90000"/>
      </a:schemeClr>
    </dgm:fillClrLst>
    <dgm:linClrLst meth="repeat">
      <a:schemeClr val="accent2"/>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3"/>
    </dgm:linClrLst>
    <dgm:effectClrLst/>
    <dgm:txLinClrLst/>
    <dgm:txFillClrLst meth="repeat">
      <a:schemeClr val="tx1"/>
    </dgm:txFillClrLst>
    <dgm:txEffectClrLst/>
  </dgm:styleLbl>
  <dgm:styleLbl name="parChTrans1D4">
    <dgm:fillClrLst meth="repeat">
      <a:schemeClr val="accent5">
        <a:tint val="50000"/>
      </a:schemeClr>
    </dgm:fillClrLst>
    <dgm:linClrLst meth="repeat">
      <a:schemeClr val="accent4"/>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2"/>
      <a:schemeClr val="accent3"/>
      <a:schemeClr val="accent4"/>
      <a:schemeClr val="accent5"/>
      <a:schemeClr val="accent6"/>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2"/>
      <a:schemeClr val="accent3"/>
      <a:schemeClr val="accent4"/>
      <a:schemeClr val="accent5"/>
      <a:schemeClr val="accent6"/>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2"/>
      <a:schemeClr val="accent3"/>
      <a:schemeClr val="accent4"/>
      <a:schemeClr val="accent5"/>
      <a:schemeClr val="accent6"/>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2"/>
      <a:schemeClr val="accent3"/>
      <a:schemeClr val="accent4"/>
      <a:schemeClr val="accent5"/>
      <a:schemeClr val="accent6"/>
    </dgm:linClrLst>
    <dgm:effectClrLst/>
    <dgm:txLinClrLst/>
    <dgm:txFillClrLst meth="repeat">
      <a:schemeClr val="dk1"/>
    </dgm:txFillClrLst>
    <dgm:txEffectClrLst/>
  </dgm:styleLbl>
  <dgm:styleLbl name="solidFgAcc1">
    <dgm:fillClrLst meth="repeat">
      <a:schemeClr val="lt1"/>
    </dgm:fillClrLst>
    <dgm:linClrLst meth="repeat">
      <a:schemeClr val="accent2"/>
      <a:schemeClr val="accent3"/>
      <a:schemeClr val="accent4"/>
      <a:schemeClr val="accent5"/>
      <a:schemeClr val="accent6"/>
    </dgm:linClrLst>
    <dgm:effectClrLst/>
    <dgm:txLinClrLst/>
    <dgm:txFillClrLst meth="repeat">
      <a:schemeClr val="dk1"/>
    </dgm:txFillClrLst>
    <dgm:txEffectClrLst/>
  </dgm:styleLbl>
  <dgm:styleLbl name="solidAlignAcc1">
    <dgm:fillClrLst meth="repeat">
      <a:schemeClr val="lt1"/>
    </dgm:fillClrLst>
    <dgm:linClrLst meth="repeat">
      <a:schemeClr val="accent2"/>
      <a:schemeClr val="accent3"/>
      <a:schemeClr val="accent4"/>
      <a:schemeClr val="accent5"/>
      <a:schemeClr val="accent6"/>
    </dgm:linClrLst>
    <dgm:effectClrLst/>
    <dgm:txLinClrLst/>
    <dgm:txFillClrLst meth="repeat">
      <a:schemeClr val="dk1"/>
    </dgm:txFillClrLst>
    <dgm:txEffectClrLst/>
  </dgm:styleLbl>
  <dgm:styleLbl name="solidBgAcc1">
    <dgm:fillClrLst meth="repeat">
      <a:schemeClr val="lt1"/>
    </dgm:fillClrLst>
    <dgm:linClrLst meth="repeat">
      <a:schemeClr val="accent2"/>
      <a:schemeClr val="accent3"/>
      <a:schemeClr val="accent4"/>
      <a:schemeClr val="accent5"/>
      <a:schemeClr val="accent6"/>
    </dgm:linClrLst>
    <dgm:effectClrLst/>
    <dgm:txLinClrLst/>
    <dgm:txFillClrLst meth="repeat">
      <a:schemeClr val="dk1"/>
    </dgm:txFillClrLst>
    <dgm:txEffectClrLst/>
  </dgm:styleLbl>
  <dgm:styleLbl name="fgAccFollowNode1">
    <dgm:fillClrLst meth="repeat">
      <a:schemeClr val="accent2">
        <a:tint val="40000"/>
        <a:alpha val="90000"/>
      </a:schemeClr>
      <a:schemeClr val="accent3">
        <a:tint val="40000"/>
        <a:alpha val="90000"/>
      </a:schemeClr>
      <a:schemeClr val="accent4">
        <a:tint val="40000"/>
        <a:alpha val="90000"/>
      </a:schemeClr>
      <a:schemeClr val="accent5">
        <a:tint val="40000"/>
        <a:alpha val="90000"/>
      </a:schemeClr>
      <a:schemeClr val="accent6">
        <a:tint val="40000"/>
        <a:alpha val="90000"/>
      </a:schemeClr>
    </dgm:fillClrLst>
    <dgm:linClrLst meth="repeat">
      <a:schemeClr val="accent2">
        <a:tint val="40000"/>
        <a:alpha val="90000"/>
      </a:schemeClr>
      <a:schemeClr val="accent3">
        <a:tint val="40000"/>
        <a:alpha val="90000"/>
      </a:schemeClr>
      <a:schemeClr val="accent4">
        <a:tint val="40000"/>
        <a:alpha val="90000"/>
      </a:schemeClr>
      <a:schemeClr val="accent5">
        <a:tint val="40000"/>
        <a:alpha val="90000"/>
      </a:schemeClr>
      <a:schemeClr val="accent6">
        <a:tint val="40000"/>
        <a:alpha val="90000"/>
      </a:schemeClr>
    </dgm:linClrLst>
    <dgm:effectClrLst/>
    <dgm:txLinClrLst/>
    <dgm:txFillClrLst meth="repeat">
      <a:schemeClr val="dk1"/>
    </dgm:txFillClrLst>
    <dgm:txEffectClrLst/>
  </dgm:styleLbl>
  <dgm:styleLbl name="alignAccFollowNode1">
    <dgm:fillClrLst meth="repeat">
      <a:schemeClr val="accent2">
        <a:tint val="40000"/>
        <a:alpha val="90000"/>
      </a:schemeClr>
      <a:schemeClr val="accent3">
        <a:tint val="40000"/>
        <a:alpha val="90000"/>
      </a:schemeClr>
      <a:schemeClr val="accent4">
        <a:tint val="40000"/>
        <a:alpha val="90000"/>
      </a:schemeClr>
      <a:schemeClr val="accent5">
        <a:tint val="40000"/>
        <a:alpha val="90000"/>
      </a:schemeClr>
      <a:schemeClr val="accent6">
        <a:tint val="40000"/>
        <a:alpha val="90000"/>
      </a:schemeClr>
    </dgm:fillClrLst>
    <dgm:linClrLst meth="repeat">
      <a:schemeClr val="accent2">
        <a:tint val="40000"/>
        <a:alpha val="90000"/>
      </a:schemeClr>
      <a:schemeClr val="accent3">
        <a:tint val="40000"/>
        <a:alpha val="90000"/>
      </a:schemeClr>
      <a:schemeClr val="accent4">
        <a:tint val="40000"/>
        <a:alpha val="90000"/>
      </a:schemeClr>
      <a:schemeClr val="accent5">
        <a:tint val="40000"/>
        <a:alpha val="90000"/>
      </a:schemeClr>
      <a:schemeClr val="accent6">
        <a:tint val="40000"/>
        <a:alpha val="90000"/>
      </a:schemeClr>
    </dgm:linClrLst>
    <dgm:effectClrLst/>
    <dgm:txLinClrLst/>
    <dgm:txFillClrLst meth="repeat">
      <a:schemeClr val="dk1"/>
    </dgm:txFillClrLst>
    <dgm:txEffectClrLst/>
  </dgm:styleLbl>
  <dgm:styleLbl name="bgAccFollowNode1">
    <dgm:fillClrLst meth="repeat">
      <a:schemeClr val="accent2">
        <a:tint val="40000"/>
        <a:alpha val="90000"/>
      </a:schemeClr>
      <a:schemeClr val="accent3">
        <a:tint val="40000"/>
        <a:alpha val="90000"/>
      </a:schemeClr>
      <a:schemeClr val="accent4">
        <a:tint val="40000"/>
        <a:alpha val="90000"/>
      </a:schemeClr>
      <a:schemeClr val="accent5">
        <a:tint val="40000"/>
        <a:alpha val="90000"/>
      </a:schemeClr>
      <a:schemeClr val="accent6">
        <a:tint val="40000"/>
        <a:alpha val="90000"/>
      </a:schemeClr>
    </dgm:fillClrLst>
    <dgm:linClrLst meth="repeat">
      <a:schemeClr val="accent2">
        <a:tint val="40000"/>
        <a:alpha val="90000"/>
      </a:schemeClr>
      <a:schemeClr val="accent3">
        <a:tint val="40000"/>
        <a:alpha val="90000"/>
      </a:schemeClr>
      <a:schemeClr val="accent4">
        <a:tint val="40000"/>
        <a:alpha val="90000"/>
      </a:schemeClr>
      <a:schemeClr val="accent5">
        <a:tint val="40000"/>
        <a:alpha val="90000"/>
      </a:schemeClr>
      <a:schemeClr val="accent6">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1"/>
    </dgm:linClrLst>
    <dgm:effectClrLst/>
    <dgm:txLinClrLst/>
    <dgm:txFillClrLst meth="repeat">
      <a:schemeClr val="dk1"/>
    </dgm:txFillClrLst>
    <dgm:txEffectClrLst/>
  </dgm:styleLbl>
  <dgm:styleLbl name="fgAcc2">
    <dgm:fillClrLst meth="repeat">
      <a:schemeClr val="lt1">
        <a:alpha val="90000"/>
      </a:schemeClr>
    </dgm:fillClrLst>
    <dgm:linClrLst>
      <a:schemeClr val="accent2"/>
    </dgm:linClrLst>
    <dgm:effectClrLst/>
    <dgm:txLinClrLst/>
    <dgm:txFillClrLst meth="repeat">
      <a:schemeClr val="dk1"/>
    </dgm:txFillClrLst>
    <dgm:txEffectClrLst/>
  </dgm:styleLbl>
  <dgm:styleLbl name="fgAcc3">
    <dgm:fillClrLst meth="repeat">
      <a:schemeClr val="lt1">
        <a:alpha val="90000"/>
      </a:schemeClr>
    </dgm:fillClrLst>
    <dgm:linClrLst>
      <a:schemeClr val="accent3"/>
    </dgm:linClrLst>
    <dgm:effectClrLst/>
    <dgm:txLinClrLst/>
    <dgm:txFillClrLst meth="repeat">
      <a:schemeClr val="dk1"/>
    </dgm:txFillClrLst>
    <dgm:txEffectClrLst/>
  </dgm:styleLbl>
  <dgm:styleLbl name="fgAcc4">
    <dgm:fillClrLst meth="repeat">
      <a:schemeClr val="lt1">
        <a:alpha val="90000"/>
      </a:schemeClr>
    </dgm:fillClrLst>
    <dgm:linClrLst>
      <a:schemeClr val="accent4"/>
    </dgm:linClrLst>
    <dgm:effectClrLst/>
    <dgm:txLinClrLst/>
    <dgm:txFillClrLst meth="repeat">
      <a:schemeClr val="dk1"/>
    </dgm:txFillClrLst>
    <dgm:txEffectClrLst/>
  </dgm:styleLbl>
  <dgm:styleLbl name="bgShp">
    <dgm:fillClrLst meth="repeat">
      <a:schemeClr val="accent2">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2">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2"/>
    </dgm:linClrLst>
    <dgm:effectClrLst/>
    <dgm:txLinClrLst/>
    <dgm:txFillClrLst meth="repeat">
      <a:schemeClr val="lt1"/>
    </dgm:txFillClrLst>
    <dgm:txEffectClrLst/>
  </dgm:styleLbl>
  <dgm:styleLbl name="fgShp">
    <dgm:fillClrLst meth="repeat">
      <a:schemeClr val="accent2">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D350F051-8B74-4B9E-8C7A-19C615E752F2}" type="doc">
      <dgm:prSet loTypeId="urn:microsoft.com/office/officeart/2005/8/layout/hList1" loCatId="list" qsTypeId="urn:microsoft.com/office/officeart/2005/8/quickstyle/simple1" qsCatId="simple" csTypeId="urn:microsoft.com/office/officeart/2005/8/colors/colorful3" csCatId="colorful" phldr="1"/>
      <dgm:spPr/>
      <dgm:t>
        <a:bodyPr/>
        <a:lstStyle/>
        <a:p>
          <a:endParaRPr lang="en-AU"/>
        </a:p>
      </dgm:t>
    </dgm:pt>
    <dgm:pt modelId="{19D8A515-3C6A-40C3-8B80-4FA1B1E366B2}">
      <dgm:prSet phldrT="[Text]"/>
      <dgm:spPr/>
      <dgm:t>
        <a:bodyPr/>
        <a:lstStyle/>
        <a:p>
          <a:r>
            <a:rPr lang="en-AU"/>
            <a:t>BuildTest</a:t>
          </a:r>
        </a:p>
      </dgm:t>
    </dgm:pt>
    <dgm:pt modelId="{0DE2A785-ED47-44EA-8B51-762BF65D592B}" type="parTrans" cxnId="{2E6B7F65-6B80-4C47-B0D2-C155AA54088C}">
      <dgm:prSet/>
      <dgm:spPr/>
      <dgm:t>
        <a:bodyPr/>
        <a:lstStyle/>
        <a:p>
          <a:endParaRPr lang="en-AU"/>
        </a:p>
      </dgm:t>
    </dgm:pt>
    <dgm:pt modelId="{3557C215-F045-40ED-981C-7B9C214B780D}" type="sibTrans" cxnId="{2E6B7F65-6B80-4C47-B0D2-C155AA54088C}">
      <dgm:prSet/>
      <dgm:spPr/>
      <dgm:t>
        <a:bodyPr/>
        <a:lstStyle/>
        <a:p>
          <a:endParaRPr lang="en-AU"/>
        </a:p>
      </dgm:t>
    </dgm:pt>
    <dgm:pt modelId="{45D2B1F6-3373-4AD4-8F49-7404BE0BD811}">
      <dgm:prSet phldrT="[Text]"/>
      <dgm:spPr/>
      <dgm:t>
        <a:bodyPr/>
        <a:lstStyle/>
        <a:p>
          <a:r>
            <a:rPr lang="en-AU"/>
            <a:t>Captures the test scenarios that includes Test conditions, Expected Output and Test Data. Test cases are generated using formula</a:t>
          </a:r>
        </a:p>
      </dgm:t>
    </dgm:pt>
    <dgm:pt modelId="{EFFAC184-FCCF-446E-9593-2E6279870BBC}" type="parTrans" cxnId="{B9B3C293-6D67-4EB2-81C5-4DFC375DABB9}">
      <dgm:prSet/>
      <dgm:spPr/>
      <dgm:t>
        <a:bodyPr/>
        <a:lstStyle/>
        <a:p>
          <a:endParaRPr lang="en-AU"/>
        </a:p>
      </dgm:t>
    </dgm:pt>
    <dgm:pt modelId="{7695F3EA-6B83-49F6-9E0C-229301C3CFA6}" type="sibTrans" cxnId="{B9B3C293-6D67-4EB2-81C5-4DFC375DABB9}">
      <dgm:prSet/>
      <dgm:spPr/>
      <dgm:t>
        <a:bodyPr/>
        <a:lstStyle/>
        <a:p>
          <a:endParaRPr lang="en-AU"/>
        </a:p>
      </dgm:t>
    </dgm:pt>
    <dgm:pt modelId="{4DAEF544-0151-4B46-A08A-8E703011B092}">
      <dgm:prSet phldrT="[Text]"/>
      <dgm:spPr/>
      <dgm:t>
        <a:bodyPr/>
        <a:lstStyle/>
        <a:p>
          <a:r>
            <a:rPr lang="en-AU"/>
            <a:t>Test Matrix</a:t>
          </a:r>
        </a:p>
      </dgm:t>
    </dgm:pt>
    <dgm:pt modelId="{67FBAF14-AA70-4198-8D61-B377A11680BB}" type="parTrans" cxnId="{3BDD3203-4837-4BBC-AC8A-1974B7C0C453}">
      <dgm:prSet/>
      <dgm:spPr/>
      <dgm:t>
        <a:bodyPr/>
        <a:lstStyle/>
        <a:p>
          <a:endParaRPr lang="en-AU"/>
        </a:p>
      </dgm:t>
    </dgm:pt>
    <dgm:pt modelId="{C5363C09-9AE5-4435-B73E-19C06E7393AB}" type="sibTrans" cxnId="{3BDD3203-4837-4BBC-AC8A-1974B7C0C453}">
      <dgm:prSet/>
      <dgm:spPr/>
      <dgm:t>
        <a:bodyPr/>
        <a:lstStyle/>
        <a:p>
          <a:endParaRPr lang="en-AU"/>
        </a:p>
      </dgm:t>
    </dgm:pt>
    <dgm:pt modelId="{9B747D5B-9D22-4854-AF3E-47777D7549B5}">
      <dgm:prSet phldrT="[Text]"/>
      <dgm:spPr/>
      <dgm:t>
        <a:bodyPr/>
        <a:lstStyle/>
        <a:p>
          <a:r>
            <a:rPr lang="en-AU"/>
            <a:t>Test Matrix sheet provides summary of test scenarios that lists the pre-requisites, priority, purpose of the test and expected result</a:t>
          </a:r>
        </a:p>
      </dgm:t>
    </dgm:pt>
    <dgm:pt modelId="{4B31E3AF-F247-44E2-9DEA-0A668741F62C}" type="parTrans" cxnId="{7A4C8972-A551-4E05-B924-D2477C22CA65}">
      <dgm:prSet/>
      <dgm:spPr/>
      <dgm:t>
        <a:bodyPr/>
        <a:lstStyle/>
        <a:p>
          <a:endParaRPr lang="en-AU"/>
        </a:p>
      </dgm:t>
    </dgm:pt>
    <dgm:pt modelId="{14F2EFBE-1F7E-4AF6-83E8-BBD9A96C9D7F}" type="sibTrans" cxnId="{7A4C8972-A551-4E05-B924-D2477C22CA65}">
      <dgm:prSet/>
      <dgm:spPr/>
      <dgm:t>
        <a:bodyPr/>
        <a:lstStyle/>
        <a:p>
          <a:endParaRPr lang="en-AU"/>
        </a:p>
      </dgm:t>
    </dgm:pt>
    <dgm:pt modelId="{80636A17-7512-4D09-8D4D-05F5B016324C}">
      <dgm:prSet phldrT="[Text]"/>
      <dgm:spPr/>
      <dgm:t>
        <a:bodyPr/>
        <a:lstStyle/>
        <a:p>
          <a:r>
            <a:rPr lang="en-AU"/>
            <a:t>It is ideal if you choose to review test scenarios in textual format scenarios</a:t>
          </a:r>
        </a:p>
      </dgm:t>
    </dgm:pt>
    <dgm:pt modelId="{97B8B050-2313-4C64-934F-F6673C5F66BA}" type="parTrans" cxnId="{7BC9FADE-9242-4490-8D7B-573051EC5DFD}">
      <dgm:prSet/>
      <dgm:spPr/>
      <dgm:t>
        <a:bodyPr/>
        <a:lstStyle/>
        <a:p>
          <a:endParaRPr lang="en-AU"/>
        </a:p>
      </dgm:t>
    </dgm:pt>
    <dgm:pt modelId="{0F364D9A-8816-482D-8E9E-BD575C6DA6FB}" type="sibTrans" cxnId="{7BC9FADE-9242-4490-8D7B-573051EC5DFD}">
      <dgm:prSet/>
      <dgm:spPr/>
      <dgm:t>
        <a:bodyPr/>
        <a:lstStyle/>
        <a:p>
          <a:endParaRPr lang="en-AU"/>
        </a:p>
      </dgm:t>
    </dgm:pt>
    <dgm:pt modelId="{08B20D1B-C074-4026-B248-D153454DEF19}">
      <dgm:prSet phldrT="[Text]"/>
      <dgm:spPr/>
      <dgm:t>
        <a:bodyPr/>
        <a:lstStyle/>
        <a:p>
          <a:r>
            <a:rPr lang="en-AU"/>
            <a:t>Column G has option to add your comments about the test scenario</a:t>
          </a:r>
        </a:p>
      </dgm:t>
    </dgm:pt>
    <dgm:pt modelId="{E04F2198-F4FA-4545-BC22-C8B8DF54F822}" type="parTrans" cxnId="{90A12AD8-96F8-4CD1-BF73-9E37ABA72833}">
      <dgm:prSet/>
      <dgm:spPr/>
      <dgm:t>
        <a:bodyPr/>
        <a:lstStyle/>
        <a:p>
          <a:endParaRPr lang="en-AU"/>
        </a:p>
      </dgm:t>
    </dgm:pt>
    <dgm:pt modelId="{3CA35419-74BA-48C8-8C8F-C230E6029BFD}" type="sibTrans" cxnId="{90A12AD8-96F8-4CD1-BF73-9E37ABA72833}">
      <dgm:prSet/>
      <dgm:spPr/>
      <dgm:t>
        <a:bodyPr/>
        <a:lstStyle/>
        <a:p>
          <a:endParaRPr lang="en-AU"/>
        </a:p>
      </dgm:t>
    </dgm:pt>
    <dgm:pt modelId="{4B57FE0A-F354-43D3-8588-E9AF89F8D7D6}">
      <dgm:prSet phldrT="[Text]"/>
      <dgm:spPr/>
      <dgm:t>
        <a:bodyPr/>
        <a:lstStyle/>
        <a:p>
          <a:r>
            <a:rPr lang="en-AU"/>
            <a:t>It captures the thought process of a test designer in achieving the test scenarios and test cases. If you decide to review the business conditions, scenarios and expected result of each scenario, BuildTest sheet is one to choose for review</a:t>
          </a:r>
        </a:p>
      </dgm:t>
    </dgm:pt>
    <dgm:pt modelId="{C88C71C9-6A6C-4C59-9818-55C554ABF5BD}" type="parTrans" cxnId="{349846E8-C550-4D16-A71F-C01786B49447}">
      <dgm:prSet/>
      <dgm:spPr/>
      <dgm:t>
        <a:bodyPr/>
        <a:lstStyle/>
        <a:p>
          <a:endParaRPr lang="en-AU"/>
        </a:p>
      </dgm:t>
    </dgm:pt>
    <dgm:pt modelId="{9157ECE2-4406-4D85-84D2-C795FAA29433}" type="sibTrans" cxnId="{349846E8-C550-4D16-A71F-C01786B49447}">
      <dgm:prSet/>
      <dgm:spPr/>
      <dgm:t>
        <a:bodyPr/>
        <a:lstStyle/>
        <a:p>
          <a:endParaRPr lang="en-AU"/>
        </a:p>
      </dgm:t>
    </dgm:pt>
    <dgm:pt modelId="{EFEC0B76-FF95-4FD3-8529-1C7130519FC2}">
      <dgm:prSet phldrT="[Text]"/>
      <dgm:spPr>
        <a:solidFill>
          <a:srgbClr val="608CAB"/>
        </a:solidFill>
        <a:ln>
          <a:solidFill>
            <a:srgbClr val="608CAB"/>
          </a:solidFill>
        </a:ln>
      </dgm:spPr>
      <dgm:t>
        <a:bodyPr/>
        <a:lstStyle/>
        <a:p>
          <a:r>
            <a:rPr lang="en-AU"/>
            <a:t>TestCases</a:t>
          </a:r>
        </a:p>
      </dgm:t>
    </dgm:pt>
    <dgm:pt modelId="{A6B116EA-FCBD-40AF-9ED8-0F1C5846AFA1}" type="sibTrans" cxnId="{FEEC36FE-DB89-4E85-8FF5-BCD70050F00B}">
      <dgm:prSet/>
      <dgm:spPr/>
      <dgm:t>
        <a:bodyPr/>
        <a:lstStyle/>
        <a:p>
          <a:endParaRPr lang="en-AU"/>
        </a:p>
      </dgm:t>
    </dgm:pt>
    <dgm:pt modelId="{EBC34341-0592-4552-A532-7C1F5CE617CD}" type="parTrans" cxnId="{FEEC36FE-DB89-4E85-8FF5-BCD70050F00B}">
      <dgm:prSet/>
      <dgm:spPr/>
      <dgm:t>
        <a:bodyPr/>
        <a:lstStyle/>
        <a:p>
          <a:endParaRPr lang="en-AU"/>
        </a:p>
      </dgm:t>
    </dgm:pt>
    <dgm:pt modelId="{7BAAFF56-2706-4F80-9BD8-4BCB7221CEDC}">
      <dgm:prSet phldrT="[Text]"/>
      <dgm:spPr/>
      <dgm:t>
        <a:bodyPr/>
        <a:lstStyle/>
        <a:p>
          <a:r>
            <a:rPr lang="en-AU"/>
            <a:t>A row in BuildTest marked as SA comments is meant to provide feedback about the scenario</a:t>
          </a:r>
        </a:p>
      </dgm:t>
    </dgm:pt>
    <dgm:pt modelId="{9A51C6ED-40EC-4A2D-88E9-F3A6751B245D}" type="parTrans" cxnId="{77D748A3-B91D-43B9-B3D2-6F46F7AB2D23}">
      <dgm:prSet/>
      <dgm:spPr/>
      <dgm:t>
        <a:bodyPr/>
        <a:lstStyle/>
        <a:p>
          <a:endParaRPr lang="en-AU"/>
        </a:p>
      </dgm:t>
    </dgm:pt>
    <dgm:pt modelId="{BC0868AD-E139-4892-8AAC-3423F88BBF1F}" type="sibTrans" cxnId="{77D748A3-B91D-43B9-B3D2-6F46F7AB2D23}">
      <dgm:prSet/>
      <dgm:spPr/>
      <dgm:t>
        <a:bodyPr/>
        <a:lstStyle/>
        <a:p>
          <a:endParaRPr lang="en-AU"/>
        </a:p>
      </dgm:t>
    </dgm:pt>
    <dgm:pt modelId="{BCEE3BE6-DE97-4B22-81F2-FD0E78F34BD7}">
      <dgm:prSet phldrT="[Text]"/>
      <dgm:spPr>
        <a:solidFill>
          <a:srgbClr val="C0D2DE">
            <a:alpha val="89804"/>
          </a:srgbClr>
        </a:solidFill>
        <a:ln>
          <a:solidFill>
            <a:srgbClr val="C0D2DE">
              <a:alpha val="90000"/>
            </a:srgbClr>
          </a:solidFill>
        </a:ln>
      </dgm:spPr>
      <dgm:t>
        <a:bodyPr/>
        <a:lstStyle/>
        <a:p>
          <a:r>
            <a:rPr lang="en-AU"/>
            <a:t>Test cases sheet has detailed test steps along with the summary information of test scenario</a:t>
          </a:r>
        </a:p>
      </dgm:t>
    </dgm:pt>
    <dgm:pt modelId="{3EE407A3-F1F0-4E37-8AD6-0987E9389D89}" type="parTrans" cxnId="{AB5AD407-A322-46D2-8B99-4DF40DFCCBAE}">
      <dgm:prSet/>
      <dgm:spPr/>
      <dgm:t>
        <a:bodyPr/>
        <a:lstStyle/>
        <a:p>
          <a:endParaRPr lang="en-AU"/>
        </a:p>
      </dgm:t>
    </dgm:pt>
    <dgm:pt modelId="{56D23638-98D8-40BD-8583-5CEBCD08C8A8}" type="sibTrans" cxnId="{AB5AD407-A322-46D2-8B99-4DF40DFCCBAE}">
      <dgm:prSet/>
      <dgm:spPr/>
      <dgm:t>
        <a:bodyPr/>
        <a:lstStyle/>
        <a:p>
          <a:endParaRPr lang="en-AU"/>
        </a:p>
      </dgm:t>
    </dgm:pt>
    <dgm:pt modelId="{10C7BC6A-3A21-47C1-BE63-2896190AA4B4}">
      <dgm:prSet phldrT="[Text]"/>
      <dgm:spPr>
        <a:solidFill>
          <a:srgbClr val="C0D2DE">
            <a:alpha val="89804"/>
          </a:srgbClr>
        </a:solidFill>
        <a:ln>
          <a:solidFill>
            <a:srgbClr val="C0D2DE">
              <a:alpha val="90000"/>
            </a:srgbClr>
          </a:solidFill>
        </a:ln>
      </dgm:spPr>
      <dgm:t>
        <a:bodyPr/>
        <a:lstStyle/>
        <a:p>
          <a:r>
            <a:rPr lang="en-AU"/>
            <a:t>If the preference is to review test steps in addition to test scenario, please choose this list for review</a:t>
          </a:r>
        </a:p>
      </dgm:t>
    </dgm:pt>
    <dgm:pt modelId="{E34F921F-00B2-44B4-BFD1-D0CA34A0138B}" type="parTrans" cxnId="{5EB9D3D7-BEF7-4ABF-8D5B-FB3CB0E24123}">
      <dgm:prSet/>
      <dgm:spPr/>
      <dgm:t>
        <a:bodyPr/>
        <a:lstStyle/>
        <a:p>
          <a:endParaRPr lang="en-AU"/>
        </a:p>
      </dgm:t>
    </dgm:pt>
    <dgm:pt modelId="{A7E2279C-64CA-4681-9372-0AB497200908}" type="sibTrans" cxnId="{5EB9D3D7-BEF7-4ABF-8D5B-FB3CB0E24123}">
      <dgm:prSet/>
      <dgm:spPr/>
      <dgm:t>
        <a:bodyPr/>
        <a:lstStyle/>
        <a:p>
          <a:endParaRPr lang="en-AU"/>
        </a:p>
      </dgm:t>
    </dgm:pt>
    <dgm:pt modelId="{C534155C-C5A0-49B1-9A1D-9D336D56A380}">
      <dgm:prSet phldrT="[Text]"/>
      <dgm:spPr>
        <a:solidFill>
          <a:srgbClr val="C0D2DE">
            <a:alpha val="89804"/>
          </a:srgbClr>
        </a:solidFill>
        <a:ln>
          <a:solidFill>
            <a:srgbClr val="C0D2DE">
              <a:alpha val="90000"/>
            </a:srgbClr>
          </a:solidFill>
        </a:ln>
      </dgm:spPr>
      <dgm:t>
        <a:bodyPr/>
        <a:lstStyle/>
        <a:p>
          <a:r>
            <a:rPr lang="en-AU"/>
            <a:t>Column G has option to add your comments about the test scenario</a:t>
          </a:r>
        </a:p>
      </dgm:t>
    </dgm:pt>
    <dgm:pt modelId="{966F8226-94D9-4CC5-8B62-9BDA75B89D36}" type="parTrans" cxnId="{18A2D77F-0CFE-489E-A3AC-D0AD63D23592}">
      <dgm:prSet/>
      <dgm:spPr/>
      <dgm:t>
        <a:bodyPr/>
        <a:lstStyle/>
        <a:p>
          <a:endParaRPr lang="en-AU"/>
        </a:p>
      </dgm:t>
    </dgm:pt>
    <dgm:pt modelId="{5A1220CC-8AEF-48A5-9D02-96BF9EB8101F}" type="sibTrans" cxnId="{18A2D77F-0CFE-489E-A3AC-D0AD63D23592}">
      <dgm:prSet/>
      <dgm:spPr/>
      <dgm:t>
        <a:bodyPr/>
        <a:lstStyle/>
        <a:p>
          <a:endParaRPr lang="en-AU"/>
        </a:p>
      </dgm:t>
    </dgm:pt>
    <dgm:pt modelId="{A3957CE0-1762-4133-AD35-FEB3DF609B81}" type="pres">
      <dgm:prSet presAssocID="{D350F051-8B74-4B9E-8C7A-19C615E752F2}" presName="Name0" presStyleCnt="0">
        <dgm:presLayoutVars>
          <dgm:dir/>
          <dgm:animLvl val="lvl"/>
          <dgm:resizeHandles val="exact"/>
        </dgm:presLayoutVars>
      </dgm:prSet>
      <dgm:spPr/>
      <dgm:t>
        <a:bodyPr/>
        <a:lstStyle/>
        <a:p>
          <a:endParaRPr lang="en-AU"/>
        </a:p>
      </dgm:t>
    </dgm:pt>
    <dgm:pt modelId="{00E9F7F0-22D6-49F7-8CE5-C66B65C89797}" type="pres">
      <dgm:prSet presAssocID="{19D8A515-3C6A-40C3-8B80-4FA1B1E366B2}" presName="composite" presStyleCnt="0"/>
      <dgm:spPr/>
    </dgm:pt>
    <dgm:pt modelId="{31574FBD-42EB-4921-BBB5-6432535F1D93}" type="pres">
      <dgm:prSet presAssocID="{19D8A515-3C6A-40C3-8B80-4FA1B1E366B2}" presName="parTx" presStyleLbl="alignNode1" presStyleIdx="0" presStyleCnt="3">
        <dgm:presLayoutVars>
          <dgm:chMax val="0"/>
          <dgm:chPref val="0"/>
          <dgm:bulletEnabled val="1"/>
        </dgm:presLayoutVars>
      </dgm:prSet>
      <dgm:spPr/>
      <dgm:t>
        <a:bodyPr/>
        <a:lstStyle/>
        <a:p>
          <a:endParaRPr lang="en-AU"/>
        </a:p>
      </dgm:t>
    </dgm:pt>
    <dgm:pt modelId="{349606C4-9423-4E8D-93C3-195BFF9FF123}" type="pres">
      <dgm:prSet presAssocID="{19D8A515-3C6A-40C3-8B80-4FA1B1E366B2}" presName="desTx" presStyleLbl="alignAccFollowNode1" presStyleIdx="0" presStyleCnt="3">
        <dgm:presLayoutVars>
          <dgm:bulletEnabled val="1"/>
        </dgm:presLayoutVars>
      </dgm:prSet>
      <dgm:spPr/>
      <dgm:t>
        <a:bodyPr/>
        <a:lstStyle/>
        <a:p>
          <a:endParaRPr lang="en-AU"/>
        </a:p>
      </dgm:t>
    </dgm:pt>
    <dgm:pt modelId="{78054F76-24D4-4C27-A70A-EC5940AF7314}" type="pres">
      <dgm:prSet presAssocID="{3557C215-F045-40ED-981C-7B9C214B780D}" presName="space" presStyleCnt="0"/>
      <dgm:spPr/>
    </dgm:pt>
    <dgm:pt modelId="{25655B13-809E-45F2-BF59-8FB0B857E264}" type="pres">
      <dgm:prSet presAssocID="{EFEC0B76-FF95-4FD3-8529-1C7130519FC2}" presName="composite" presStyleCnt="0"/>
      <dgm:spPr/>
    </dgm:pt>
    <dgm:pt modelId="{F6890FAC-34AD-407F-9DBE-4976A28247F0}" type="pres">
      <dgm:prSet presAssocID="{EFEC0B76-FF95-4FD3-8529-1C7130519FC2}" presName="parTx" presStyleLbl="alignNode1" presStyleIdx="1" presStyleCnt="3">
        <dgm:presLayoutVars>
          <dgm:chMax val="0"/>
          <dgm:chPref val="0"/>
          <dgm:bulletEnabled val="1"/>
        </dgm:presLayoutVars>
      </dgm:prSet>
      <dgm:spPr/>
      <dgm:t>
        <a:bodyPr/>
        <a:lstStyle/>
        <a:p>
          <a:endParaRPr lang="en-AU"/>
        </a:p>
      </dgm:t>
    </dgm:pt>
    <dgm:pt modelId="{207BA96B-D8C8-4E31-8358-9CA1C8830B49}" type="pres">
      <dgm:prSet presAssocID="{EFEC0B76-FF95-4FD3-8529-1C7130519FC2}" presName="desTx" presStyleLbl="alignAccFollowNode1" presStyleIdx="1" presStyleCnt="3">
        <dgm:presLayoutVars>
          <dgm:bulletEnabled val="1"/>
        </dgm:presLayoutVars>
      </dgm:prSet>
      <dgm:spPr/>
      <dgm:t>
        <a:bodyPr/>
        <a:lstStyle/>
        <a:p>
          <a:endParaRPr lang="en-AU"/>
        </a:p>
      </dgm:t>
    </dgm:pt>
    <dgm:pt modelId="{992A4EF6-E752-437F-A5EC-4605145B5154}" type="pres">
      <dgm:prSet presAssocID="{A6B116EA-FCBD-40AF-9ED8-0F1C5846AFA1}" presName="space" presStyleCnt="0"/>
      <dgm:spPr/>
    </dgm:pt>
    <dgm:pt modelId="{790E53E6-C45C-4C08-A040-81C419264281}" type="pres">
      <dgm:prSet presAssocID="{4DAEF544-0151-4B46-A08A-8E703011B092}" presName="composite" presStyleCnt="0"/>
      <dgm:spPr/>
    </dgm:pt>
    <dgm:pt modelId="{0D3770BF-8256-4B80-9343-7884219981AA}" type="pres">
      <dgm:prSet presAssocID="{4DAEF544-0151-4B46-A08A-8E703011B092}" presName="parTx" presStyleLbl="alignNode1" presStyleIdx="2" presStyleCnt="3">
        <dgm:presLayoutVars>
          <dgm:chMax val="0"/>
          <dgm:chPref val="0"/>
          <dgm:bulletEnabled val="1"/>
        </dgm:presLayoutVars>
      </dgm:prSet>
      <dgm:spPr/>
      <dgm:t>
        <a:bodyPr/>
        <a:lstStyle/>
        <a:p>
          <a:endParaRPr lang="en-AU"/>
        </a:p>
      </dgm:t>
    </dgm:pt>
    <dgm:pt modelId="{BDB5A4FB-D49E-4A85-8683-4E11BA6C0304}" type="pres">
      <dgm:prSet presAssocID="{4DAEF544-0151-4B46-A08A-8E703011B092}" presName="desTx" presStyleLbl="alignAccFollowNode1" presStyleIdx="2" presStyleCnt="3">
        <dgm:presLayoutVars>
          <dgm:bulletEnabled val="1"/>
        </dgm:presLayoutVars>
      </dgm:prSet>
      <dgm:spPr/>
      <dgm:t>
        <a:bodyPr/>
        <a:lstStyle/>
        <a:p>
          <a:endParaRPr lang="en-AU"/>
        </a:p>
      </dgm:t>
    </dgm:pt>
  </dgm:ptLst>
  <dgm:cxnLst>
    <dgm:cxn modelId="{0EF3ACAC-5490-4CCC-A543-C8D7C72CEEEF}" type="presOf" srcId="{10C7BC6A-3A21-47C1-BE63-2896190AA4B4}" destId="{207BA96B-D8C8-4E31-8358-9CA1C8830B49}" srcOrd="0" destOrd="1" presId="urn:microsoft.com/office/officeart/2005/8/layout/hList1"/>
    <dgm:cxn modelId="{FEEC36FE-DB89-4E85-8FF5-BCD70050F00B}" srcId="{D350F051-8B74-4B9E-8C7A-19C615E752F2}" destId="{EFEC0B76-FF95-4FD3-8529-1C7130519FC2}" srcOrd="1" destOrd="0" parTransId="{EBC34341-0592-4552-A532-7C1F5CE617CD}" sibTransId="{A6B116EA-FCBD-40AF-9ED8-0F1C5846AFA1}"/>
    <dgm:cxn modelId="{0DFE6775-8759-4DA9-8EA9-28A9D0EEDFDC}" type="presOf" srcId="{45D2B1F6-3373-4AD4-8F49-7404BE0BD811}" destId="{349606C4-9423-4E8D-93C3-195BFF9FF123}" srcOrd="0" destOrd="0" presId="urn:microsoft.com/office/officeart/2005/8/layout/hList1"/>
    <dgm:cxn modelId="{6F032969-AB43-4A02-B31F-66D5FB3E843F}" type="presOf" srcId="{4DAEF544-0151-4B46-A08A-8E703011B092}" destId="{0D3770BF-8256-4B80-9343-7884219981AA}" srcOrd="0" destOrd="0" presId="urn:microsoft.com/office/officeart/2005/8/layout/hList1"/>
    <dgm:cxn modelId="{90A12AD8-96F8-4CD1-BF73-9E37ABA72833}" srcId="{4DAEF544-0151-4B46-A08A-8E703011B092}" destId="{08B20D1B-C074-4026-B248-D153454DEF19}" srcOrd="2" destOrd="0" parTransId="{E04F2198-F4FA-4545-BC22-C8B8DF54F822}" sibTransId="{3CA35419-74BA-48C8-8C8F-C230E6029BFD}"/>
    <dgm:cxn modelId="{BDCE95E1-C1B2-488E-A3D2-7CB08237D932}" type="presOf" srcId="{4B57FE0A-F354-43D3-8588-E9AF89F8D7D6}" destId="{349606C4-9423-4E8D-93C3-195BFF9FF123}" srcOrd="0" destOrd="1" presId="urn:microsoft.com/office/officeart/2005/8/layout/hList1"/>
    <dgm:cxn modelId="{77D748A3-B91D-43B9-B3D2-6F46F7AB2D23}" srcId="{19D8A515-3C6A-40C3-8B80-4FA1B1E366B2}" destId="{7BAAFF56-2706-4F80-9BD8-4BCB7221CEDC}" srcOrd="2" destOrd="0" parTransId="{9A51C6ED-40EC-4A2D-88E9-F3A6751B245D}" sibTransId="{BC0868AD-E139-4892-8AAC-3423F88BBF1F}"/>
    <dgm:cxn modelId="{3BDD3203-4837-4BBC-AC8A-1974B7C0C453}" srcId="{D350F051-8B74-4B9E-8C7A-19C615E752F2}" destId="{4DAEF544-0151-4B46-A08A-8E703011B092}" srcOrd="2" destOrd="0" parTransId="{67FBAF14-AA70-4198-8D61-B377A11680BB}" sibTransId="{C5363C09-9AE5-4435-B73E-19C06E7393AB}"/>
    <dgm:cxn modelId="{7BC9FADE-9242-4490-8D7B-573051EC5DFD}" srcId="{4DAEF544-0151-4B46-A08A-8E703011B092}" destId="{80636A17-7512-4D09-8D4D-05F5B016324C}" srcOrd="1" destOrd="0" parTransId="{97B8B050-2313-4C64-934F-F6673C5F66BA}" sibTransId="{0F364D9A-8816-482D-8E9E-BD575C6DA6FB}"/>
    <dgm:cxn modelId="{1BF11F3D-032B-4A73-B390-49934DFAC17D}" type="presOf" srcId="{9B747D5B-9D22-4854-AF3E-47777D7549B5}" destId="{BDB5A4FB-D49E-4A85-8683-4E11BA6C0304}" srcOrd="0" destOrd="0" presId="urn:microsoft.com/office/officeart/2005/8/layout/hList1"/>
    <dgm:cxn modelId="{6519A140-7254-41FC-B8E9-A23A85E64898}" type="presOf" srcId="{D350F051-8B74-4B9E-8C7A-19C615E752F2}" destId="{A3957CE0-1762-4133-AD35-FEB3DF609B81}" srcOrd="0" destOrd="0" presId="urn:microsoft.com/office/officeart/2005/8/layout/hList1"/>
    <dgm:cxn modelId="{E4A88F00-9CF6-45D1-945D-509F37538FBC}" type="presOf" srcId="{C534155C-C5A0-49B1-9A1D-9D336D56A380}" destId="{207BA96B-D8C8-4E31-8358-9CA1C8830B49}" srcOrd="0" destOrd="2" presId="urn:microsoft.com/office/officeart/2005/8/layout/hList1"/>
    <dgm:cxn modelId="{18A2D77F-0CFE-489E-A3AC-D0AD63D23592}" srcId="{EFEC0B76-FF95-4FD3-8529-1C7130519FC2}" destId="{C534155C-C5A0-49B1-9A1D-9D336D56A380}" srcOrd="2" destOrd="0" parTransId="{966F8226-94D9-4CC5-8B62-9BDA75B89D36}" sibTransId="{5A1220CC-8AEF-48A5-9D02-96BF9EB8101F}"/>
    <dgm:cxn modelId="{DFE02178-5184-40AF-8B97-37B877975DEA}" type="presOf" srcId="{08B20D1B-C074-4026-B248-D153454DEF19}" destId="{BDB5A4FB-D49E-4A85-8683-4E11BA6C0304}" srcOrd="0" destOrd="2" presId="urn:microsoft.com/office/officeart/2005/8/layout/hList1"/>
    <dgm:cxn modelId="{349846E8-C550-4D16-A71F-C01786B49447}" srcId="{19D8A515-3C6A-40C3-8B80-4FA1B1E366B2}" destId="{4B57FE0A-F354-43D3-8588-E9AF89F8D7D6}" srcOrd="1" destOrd="0" parTransId="{C88C71C9-6A6C-4C59-9818-55C554ABF5BD}" sibTransId="{9157ECE2-4406-4D85-84D2-C795FAA29433}"/>
    <dgm:cxn modelId="{B9B3C293-6D67-4EB2-81C5-4DFC375DABB9}" srcId="{19D8A515-3C6A-40C3-8B80-4FA1B1E366B2}" destId="{45D2B1F6-3373-4AD4-8F49-7404BE0BD811}" srcOrd="0" destOrd="0" parTransId="{EFFAC184-FCCF-446E-9593-2E6279870BBC}" sibTransId="{7695F3EA-6B83-49F6-9E0C-229301C3CFA6}"/>
    <dgm:cxn modelId="{8ABB2AA7-EA04-48F4-BC9D-F8F80C031B13}" type="presOf" srcId="{80636A17-7512-4D09-8D4D-05F5B016324C}" destId="{BDB5A4FB-D49E-4A85-8683-4E11BA6C0304}" srcOrd="0" destOrd="1" presId="urn:microsoft.com/office/officeart/2005/8/layout/hList1"/>
    <dgm:cxn modelId="{7A4C8972-A551-4E05-B924-D2477C22CA65}" srcId="{4DAEF544-0151-4B46-A08A-8E703011B092}" destId="{9B747D5B-9D22-4854-AF3E-47777D7549B5}" srcOrd="0" destOrd="0" parTransId="{4B31E3AF-F247-44E2-9DEA-0A668741F62C}" sibTransId="{14F2EFBE-1F7E-4AF6-83E8-BBD9A96C9D7F}"/>
    <dgm:cxn modelId="{4229E476-2699-41D5-B8F8-7837E17ABBF9}" type="presOf" srcId="{19D8A515-3C6A-40C3-8B80-4FA1B1E366B2}" destId="{31574FBD-42EB-4921-BBB5-6432535F1D93}" srcOrd="0" destOrd="0" presId="urn:microsoft.com/office/officeart/2005/8/layout/hList1"/>
    <dgm:cxn modelId="{5EFAC483-3C34-4F95-86F4-EE836FC77BF8}" type="presOf" srcId="{EFEC0B76-FF95-4FD3-8529-1C7130519FC2}" destId="{F6890FAC-34AD-407F-9DBE-4976A28247F0}" srcOrd="0" destOrd="0" presId="urn:microsoft.com/office/officeart/2005/8/layout/hList1"/>
    <dgm:cxn modelId="{A335ACE1-463E-4A38-A955-C4D6653ED219}" type="presOf" srcId="{BCEE3BE6-DE97-4B22-81F2-FD0E78F34BD7}" destId="{207BA96B-D8C8-4E31-8358-9CA1C8830B49}" srcOrd="0" destOrd="0" presId="urn:microsoft.com/office/officeart/2005/8/layout/hList1"/>
    <dgm:cxn modelId="{2E6B7F65-6B80-4C47-B0D2-C155AA54088C}" srcId="{D350F051-8B74-4B9E-8C7A-19C615E752F2}" destId="{19D8A515-3C6A-40C3-8B80-4FA1B1E366B2}" srcOrd="0" destOrd="0" parTransId="{0DE2A785-ED47-44EA-8B51-762BF65D592B}" sibTransId="{3557C215-F045-40ED-981C-7B9C214B780D}"/>
    <dgm:cxn modelId="{AB5AD407-A322-46D2-8B99-4DF40DFCCBAE}" srcId="{EFEC0B76-FF95-4FD3-8529-1C7130519FC2}" destId="{BCEE3BE6-DE97-4B22-81F2-FD0E78F34BD7}" srcOrd="0" destOrd="0" parTransId="{3EE407A3-F1F0-4E37-8AD6-0987E9389D89}" sibTransId="{56D23638-98D8-40BD-8583-5CEBCD08C8A8}"/>
    <dgm:cxn modelId="{654429E1-B044-4562-9E51-9B049AE975C5}" type="presOf" srcId="{7BAAFF56-2706-4F80-9BD8-4BCB7221CEDC}" destId="{349606C4-9423-4E8D-93C3-195BFF9FF123}" srcOrd="0" destOrd="2" presId="urn:microsoft.com/office/officeart/2005/8/layout/hList1"/>
    <dgm:cxn modelId="{5EB9D3D7-BEF7-4ABF-8D5B-FB3CB0E24123}" srcId="{EFEC0B76-FF95-4FD3-8529-1C7130519FC2}" destId="{10C7BC6A-3A21-47C1-BE63-2896190AA4B4}" srcOrd="1" destOrd="0" parTransId="{E34F921F-00B2-44B4-BFD1-D0CA34A0138B}" sibTransId="{A7E2279C-64CA-4681-9372-0AB497200908}"/>
    <dgm:cxn modelId="{A7412295-AA90-484E-9BCF-0F021DF4B48A}" type="presParOf" srcId="{A3957CE0-1762-4133-AD35-FEB3DF609B81}" destId="{00E9F7F0-22D6-49F7-8CE5-C66B65C89797}" srcOrd="0" destOrd="0" presId="urn:microsoft.com/office/officeart/2005/8/layout/hList1"/>
    <dgm:cxn modelId="{2B2A2853-4BB3-4FD6-9CC9-659EEEF28BF2}" type="presParOf" srcId="{00E9F7F0-22D6-49F7-8CE5-C66B65C89797}" destId="{31574FBD-42EB-4921-BBB5-6432535F1D93}" srcOrd="0" destOrd="0" presId="urn:microsoft.com/office/officeart/2005/8/layout/hList1"/>
    <dgm:cxn modelId="{D8A3878B-D51B-4112-8911-912981741A87}" type="presParOf" srcId="{00E9F7F0-22D6-49F7-8CE5-C66B65C89797}" destId="{349606C4-9423-4E8D-93C3-195BFF9FF123}" srcOrd="1" destOrd="0" presId="urn:microsoft.com/office/officeart/2005/8/layout/hList1"/>
    <dgm:cxn modelId="{9AB158C1-7F58-47A9-BA35-900CE74A80B1}" type="presParOf" srcId="{A3957CE0-1762-4133-AD35-FEB3DF609B81}" destId="{78054F76-24D4-4C27-A70A-EC5940AF7314}" srcOrd="1" destOrd="0" presId="urn:microsoft.com/office/officeart/2005/8/layout/hList1"/>
    <dgm:cxn modelId="{E03D1627-5D84-4006-B4F2-D566BD647412}" type="presParOf" srcId="{A3957CE0-1762-4133-AD35-FEB3DF609B81}" destId="{25655B13-809E-45F2-BF59-8FB0B857E264}" srcOrd="2" destOrd="0" presId="urn:microsoft.com/office/officeart/2005/8/layout/hList1"/>
    <dgm:cxn modelId="{723E9864-5B23-4A27-AD7C-17C0254BFDDB}" type="presParOf" srcId="{25655B13-809E-45F2-BF59-8FB0B857E264}" destId="{F6890FAC-34AD-407F-9DBE-4976A28247F0}" srcOrd="0" destOrd="0" presId="urn:microsoft.com/office/officeart/2005/8/layout/hList1"/>
    <dgm:cxn modelId="{ABF1FC46-01AC-4F06-A741-AF17D9855DDB}" type="presParOf" srcId="{25655B13-809E-45F2-BF59-8FB0B857E264}" destId="{207BA96B-D8C8-4E31-8358-9CA1C8830B49}" srcOrd="1" destOrd="0" presId="urn:microsoft.com/office/officeart/2005/8/layout/hList1"/>
    <dgm:cxn modelId="{5031EE07-C700-446F-A968-47F08366E9CF}" type="presParOf" srcId="{A3957CE0-1762-4133-AD35-FEB3DF609B81}" destId="{992A4EF6-E752-437F-A5EC-4605145B5154}" srcOrd="3" destOrd="0" presId="urn:microsoft.com/office/officeart/2005/8/layout/hList1"/>
    <dgm:cxn modelId="{C5449A19-16A8-4AF1-82AD-0E2592AC4B49}" type="presParOf" srcId="{A3957CE0-1762-4133-AD35-FEB3DF609B81}" destId="{790E53E6-C45C-4C08-A040-81C419264281}" srcOrd="4" destOrd="0" presId="urn:microsoft.com/office/officeart/2005/8/layout/hList1"/>
    <dgm:cxn modelId="{6C8D88B3-9F0E-4180-B1F2-5F65F52F66A2}" type="presParOf" srcId="{790E53E6-C45C-4C08-A040-81C419264281}" destId="{0D3770BF-8256-4B80-9343-7884219981AA}" srcOrd="0" destOrd="0" presId="urn:microsoft.com/office/officeart/2005/8/layout/hList1"/>
    <dgm:cxn modelId="{C720AD00-3771-4195-A976-59249EA6991C}" type="presParOf" srcId="{790E53E6-C45C-4C08-A040-81C419264281}" destId="{BDB5A4FB-D49E-4A85-8683-4E11BA6C0304}" srcOrd="1" destOrd="0" presId="urn:microsoft.com/office/officeart/2005/8/layout/hList1"/>
  </dgm:cxnLst>
  <dgm:bg/>
  <dgm:whole/>
  <dgm:extLst>
    <a:ext uri="http://schemas.microsoft.com/office/drawing/2008/diagram">
      <dsp:dataModelExt xmlns:dsp="http://schemas.microsoft.com/office/drawing/2008/diagram" relId="rId7" minVer="http://schemas.openxmlformats.org/drawingml/2006/diagram"/>
    </a:ext>
    <a:ext uri="{C62137D5-CB1D-491B-B009-E17868A290BF}">
      <dgm14:recolorImg xmlns:dgm14="http://schemas.microsoft.com/office/drawing/2010/diagram" val="1"/>
    </a:ext>
  </dgm:extLst>
</dgm:dataModel>
</file>

<file path=xl/diagrams/data2.xml><?xml version="1.0" encoding="utf-8"?>
<dgm:dataModel xmlns:dgm="http://schemas.openxmlformats.org/drawingml/2006/diagram" xmlns:a="http://schemas.openxmlformats.org/drawingml/2006/main">
  <dgm:ptLst>
    <dgm:pt modelId="{8380F650-F520-46D3-A6E1-FBF422EB8768}" type="doc">
      <dgm:prSet loTypeId="urn:microsoft.com/office/officeart/2005/8/layout/process3" loCatId="process" qsTypeId="urn:microsoft.com/office/officeart/2005/8/quickstyle/simple1" qsCatId="simple" csTypeId="urn:microsoft.com/office/officeart/2005/8/colors/colorful3" csCatId="colorful" phldr="1"/>
      <dgm:spPr/>
      <dgm:t>
        <a:bodyPr/>
        <a:lstStyle/>
        <a:p>
          <a:endParaRPr lang="en-AU"/>
        </a:p>
      </dgm:t>
    </dgm:pt>
    <dgm:pt modelId="{826DF30A-0F5E-4C2C-94C3-D5C7EFDC691B}">
      <dgm:prSet phldrT="[Text]"/>
      <dgm:spPr/>
      <dgm:t>
        <a:bodyPr/>
        <a:lstStyle/>
        <a:p>
          <a:r>
            <a:rPr lang="en-AU"/>
            <a:t>Step 1: BuildTest</a:t>
          </a:r>
        </a:p>
      </dgm:t>
    </dgm:pt>
    <dgm:pt modelId="{339E9763-E21F-4946-882D-68F682E4C3E2}" type="parTrans" cxnId="{82A215E8-EE3A-4E4F-BD9A-6CC30C1EE66F}">
      <dgm:prSet/>
      <dgm:spPr/>
      <dgm:t>
        <a:bodyPr/>
        <a:lstStyle/>
        <a:p>
          <a:endParaRPr lang="en-AU"/>
        </a:p>
      </dgm:t>
    </dgm:pt>
    <dgm:pt modelId="{ADCB3408-4FC2-47D1-9E21-333C57C58E0C}" type="sibTrans" cxnId="{82A215E8-EE3A-4E4F-BD9A-6CC30C1EE66F}">
      <dgm:prSet/>
      <dgm:spPr/>
      <dgm:t>
        <a:bodyPr/>
        <a:lstStyle/>
        <a:p>
          <a:endParaRPr lang="en-AU"/>
        </a:p>
      </dgm:t>
    </dgm:pt>
    <dgm:pt modelId="{D2118845-EEA2-4232-9038-9767AEC13B44}">
      <dgm:prSet phldrT="[Text]"/>
      <dgm:spPr/>
      <dgm:t>
        <a:bodyPr/>
        <a:lstStyle/>
        <a:p>
          <a:r>
            <a:rPr lang="en-AU"/>
            <a:t>Identify conditions, Output actions to verify, Test Parameters</a:t>
          </a:r>
        </a:p>
      </dgm:t>
    </dgm:pt>
    <dgm:pt modelId="{A675561A-88FF-43FE-8914-48A1E8E0AF20}" type="parTrans" cxnId="{F5AC315C-3C3B-45E6-B8C7-9276A956CFE9}">
      <dgm:prSet/>
      <dgm:spPr/>
      <dgm:t>
        <a:bodyPr/>
        <a:lstStyle/>
        <a:p>
          <a:endParaRPr lang="en-AU"/>
        </a:p>
      </dgm:t>
    </dgm:pt>
    <dgm:pt modelId="{7361F208-A81B-445D-836E-8D4733212461}" type="sibTrans" cxnId="{F5AC315C-3C3B-45E6-B8C7-9276A956CFE9}">
      <dgm:prSet/>
      <dgm:spPr/>
      <dgm:t>
        <a:bodyPr/>
        <a:lstStyle/>
        <a:p>
          <a:endParaRPr lang="en-AU"/>
        </a:p>
      </dgm:t>
    </dgm:pt>
    <dgm:pt modelId="{52ED8076-DAC2-4B45-91B4-90AAC91421E4}">
      <dgm:prSet phldrT="[Text]"/>
      <dgm:spPr/>
      <dgm:t>
        <a:bodyPr/>
        <a:lstStyle/>
        <a:p>
          <a:r>
            <a:rPr lang="en-AU"/>
            <a:t>Build the test scenarios (Decision Table)</a:t>
          </a:r>
        </a:p>
      </dgm:t>
    </dgm:pt>
    <dgm:pt modelId="{43A6E80F-05ED-44D9-8E28-8624CC71E36A}" type="parTrans" cxnId="{746312BD-927A-408B-A2EE-49FCB434B5A0}">
      <dgm:prSet/>
      <dgm:spPr/>
      <dgm:t>
        <a:bodyPr/>
        <a:lstStyle/>
        <a:p>
          <a:endParaRPr lang="en-AU"/>
        </a:p>
      </dgm:t>
    </dgm:pt>
    <dgm:pt modelId="{4FF652E8-5503-48F0-B48D-03A75744095C}" type="sibTrans" cxnId="{746312BD-927A-408B-A2EE-49FCB434B5A0}">
      <dgm:prSet/>
      <dgm:spPr/>
      <dgm:t>
        <a:bodyPr/>
        <a:lstStyle/>
        <a:p>
          <a:endParaRPr lang="en-AU"/>
        </a:p>
      </dgm:t>
    </dgm:pt>
    <dgm:pt modelId="{01473FB4-8966-4AC8-A992-C8FB0D8C9D3C}">
      <dgm:prSet phldrT="[Text]"/>
      <dgm:spPr/>
      <dgm:t>
        <a:bodyPr/>
        <a:lstStyle/>
        <a:p>
          <a:r>
            <a:rPr lang="en-AU"/>
            <a:t>Step 2: FormatTest</a:t>
          </a:r>
        </a:p>
      </dgm:t>
    </dgm:pt>
    <dgm:pt modelId="{11298C0E-42C4-434A-8FE7-9AA539490579}" type="parTrans" cxnId="{9C9C861B-AA04-4408-90EE-256E81433374}">
      <dgm:prSet/>
      <dgm:spPr/>
      <dgm:t>
        <a:bodyPr/>
        <a:lstStyle/>
        <a:p>
          <a:endParaRPr lang="en-AU"/>
        </a:p>
      </dgm:t>
    </dgm:pt>
    <dgm:pt modelId="{2A362F68-D591-46DF-B47F-9066E3AC0D91}" type="sibTrans" cxnId="{9C9C861B-AA04-4408-90EE-256E81433374}">
      <dgm:prSet/>
      <dgm:spPr/>
      <dgm:t>
        <a:bodyPr/>
        <a:lstStyle/>
        <a:p>
          <a:endParaRPr lang="en-AU"/>
        </a:p>
      </dgm:t>
    </dgm:pt>
    <dgm:pt modelId="{D1A06662-8ADA-4B6C-98C6-C48CC7D220A2}">
      <dgm:prSet phldrT="[Text]"/>
      <dgm:spPr/>
      <dgm:t>
        <a:bodyPr/>
        <a:lstStyle/>
        <a:p>
          <a:r>
            <a:rPr lang="en-AU"/>
            <a:t>Edit the formula in formatTest sheet to match the columns of test features in BuildTest worksheet</a:t>
          </a:r>
        </a:p>
      </dgm:t>
    </dgm:pt>
    <dgm:pt modelId="{99BE6AE7-DC9A-4960-A6A7-ABF44247E626}" type="parTrans" cxnId="{3B9C7FA9-0629-48BC-91DC-FC7943538896}">
      <dgm:prSet/>
      <dgm:spPr/>
      <dgm:t>
        <a:bodyPr/>
        <a:lstStyle/>
        <a:p>
          <a:endParaRPr lang="en-AU"/>
        </a:p>
      </dgm:t>
    </dgm:pt>
    <dgm:pt modelId="{B56E022B-AED5-434D-B6A5-E0D58D36478A}" type="sibTrans" cxnId="{3B9C7FA9-0629-48BC-91DC-FC7943538896}">
      <dgm:prSet/>
      <dgm:spPr/>
      <dgm:t>
        <a:bodyPr/>
        <a:lstStyle/>
        <a:p>
          <a:endParaRPr lang="en-AU"/>
        </a:p>
      </dgm:t>
    </dgm:pt>
    <dgm:pt modelId="{FBA9A89B-ED18-4D09-9F7E-359BB4837D68}">
      <dgm:prSet phldrT="[Text]"/>
      <dgm:spPr/>
      <dgm:t>
        <a:bodyPr/>
        <a:lstStyle/>
        <a:p>
          <a:r>
            <a:rPr lang="en-AU"/>
            <a:t>Drag to format all tests to a list of vertical table</a:t>
          </a:r>
        </a:p>
      </dgm:t>
    </dgm:pt>
    <dgm:pt modelId="{CCE0CB15-78B2-4DF1-A814-60C4CE8CCE5C}" type="parTrans" cxnId="{9CE24BBB-766B-49D6-ACE3-73692958BFB0}">
      <dgm:prSet/>
      <dgm:spPr/>
      <dgm:t>
        <a:bodyPr/>
        <a:lstStyle/>
        <a:p>
          <a:endParaRPr lang="en-AU"/>
        </a:p>
      </dgm:t>
    </dgm:pt>
    <dgm:pt modelId="{907A11D2-1A7A-4BF8-8437-9B97FAF2AEED}" type="sibTrans" cxnId="{9CE24BBB-766B-49D6-ACE3-73692958BFB0}">
      <dgm:prSet/>
      <dgm:spPr/>
      <dgm:t>
        <a:bodyPr/>
        <a:lstStyle/>
        <a:p>
          <a:endParaRPr lang="en-AU"/>
        </a:p>
      </dgm:t>
    </dgm:pt>
    <dgm:pt modelId="{3252046B-1E8B-4BFE-86E8-9D9EBC1D8219}">
      <dgm:prSet phldrT="[Text]"/>
      <dgm:spPr/>
      <dgm:t>
        <a:bodyPr/>
        <a:lstStyle/>
        <a:p>
          <a:r>
            <a:rPr lang="en-AU"/>
            <a:t>Step 3: TestCases</a:t>
          </a:r>
        </a:p>
      </dgm:t>
    </dgm:pt>
    <dgm:pt modelId="{B3A3BE64-55B1-42C7-8F09-E53C10E5D954}" type="parTrans" cxnId="{C89CFFD1-CC9C-4C79-852A-87B99EBFD7FA}">
      <dgm:prSet/>
      <dgm:spPr/>
      <dgm:t>
        <a:bodyPr/>
        <a:lstStyle/>
        <a:p>
          <a:endParaRPr lang="en-AU"/>
        </a:p>
      </dgm:t>
    </dgm:pt>
    <dgm:pt modelId="{5A44F450-5367-4DBE-92F5-3E43710D723C}" type="sibTrans" cxnId="{C89CFFD1-CC9C-4C79-852A-87B99EBFD7FA}">
      <dgm:prSet/>
      <dgm:spPr/>
      <dgm:t>
        <a:bodyPr/>
        <a:lstStyle/>
        <a:p>
          <a:endParaRPr lang="en-AU"/>
        </a:p>
      </dgm:t>
    </dgm:pt>
    <dgm:pt modelId="{F683879C-FCD5-4E42-A7F0-F0C98173FE09}">
      <dgm:prSet phldrT="[Text]"/>
      <dgm:spPr/>
      <dgm:t>
        <a:bodyPr/>
        <a:lstStyle/>
        <a:p>
          <a:r>
            <a:rPr lang="en-AU"/>
            <a:t>Copy the formatted tests to TestCases worksheet</a:t>
          </a:r>
        </a:p>
      </dgm:t>
    </dgm:pt>
    <dgm:pt modelId="{677B6FEE-9FC6-46B7-A245-61AB27001751}" type="parTrans" cxnId="{6E463A42-6E05-4401-8A93-620CD9A94F81}">
      <dgm:prSet/>
      <dgm:spPr/>
      <dgm:t>
        <a:bodyPr/>
        <a:lstStyle/>
        <a:p>
          <a:endParaRPr lang="en-AU"/>
        </a:p>
      </dgm:t>
    </dgm:pt>
    <dgm:pt modelId="{8219432C-F3C3-4C83-9351-43CFD6234671}" type="sibTrans" cxnId="{6E463A42-6E05-4401-8A93-620CD9A94F81}">
      <dgm:prSet/>
      <dgm:spPr/>
      <dgm:t>
        <a:bodyPr/>
        <a:lstStyle/>
        <a:p>
          <a:endParaRPr lang="en-AU"/>
        </a:p>
      </dgm:t>
    </dgm:pt>
    <dgm:pt modelId="{8DD593A4-03B2-487B-9CFB-BD3F0426F17D}">
      <dgm:prSet phldrT="[Text]"/>
      <dgm:spPr/>
      <dgm:t>
        <a:bodyPr/>
        <a:lstStyle/>
        <a:p>
          <a:r>
            <a:rPr lang="en-AU"/>
            <a:t>The test cases are ready to upload to ALM</a:t>
          </a:r>
        </a:p>
      </dgm:t>
    </dgm:pt>
    <dgm:pt modelId="{A220BF68-2A09-4228-8092-4DE44BFA81BF}" type="parTrans" cxnId="{B7A1C3E9-5EF6-48E9-AB68-402E0B380296}">
      <dgm:prSet/>
      <dgm:spPr/>
      <dgm:t>
        <a:bodyPr/>
        <a:lstStyle/>
        <a:p>
          <a:endParaRPr lang="en-AU"/>
        </a:p>
      </dgm:t>
    </dgm:pt>
    <dgm:pt modelId="{7E9CEBF0-2008-4058-A92C-46A9B8E6A1B5}" type="sibTrans" cxnId="{B7A1C3E9-5EF6-48E9-AB68-402E0B380296}">
      <dgm:prSet/>
      <dgm:spPr/>
      <dgm:t>
        <a:bodyPr/>
        <a:lstStyle/>
        <a:p>
          <a:endParaRPr lang="en-AU"/>
        </a:p>
      </dgm:t>
    </dgm:pt>
    <dgm:pt modelId="{58D42A91-7617-42C2-AAAB-AC96B7B48941}">
      <dgm:prSet phldrT="[Text]"/>
      <dgm:spPr/>
      <dgm:t>
        <a:bodyPr/>
        <a:lstStyle/>
        <a:p>
          <a:r>
            <a:rPr lang="en-AU"/>
            <a:t>Using formula drive test case Name, purpose, pre-requisite, expected output and test steps</a:t>
          </a:r>
        </a:p>
      </dgm:t>
    </dgm:pt>
    <dgm:pt modelId="{EFFA3402-A9D5-46A1-A91C-95B6C965B0A5}" type="parTrans" cxnId="{E7CD3480-6496-477B-9F9F-0C308B45DBAF}">
      <dgm:prSet/>
      <dgm:spPr/>
      <dgm:t>
        <a:bodyPr/>
        <a:lstStyle/>
        <a:p>
          <a:endParaRPr lang="en-AU"/>
        </a:p>
      </dgm:t>
    </dgm:pt>
    <dgm:pt modelId="{F19F7612-F34B-4D9D-BA4D-EAB0EE8AB65C}" type="sibTrans" cxnId="{E7CD3480-6496-477B-9F9F-0C308B45DBAF}">
      <dgm:prSet/>
      <dgm:spPr/>
      <dgm:t>
        <a:bodyPr/>
        <a:lstStyle/>
        <a:p>
          <a:endParaRPr lang="en-AU"/>
        </a:p>
      </dgm:t>
    </dgm:pt>
    <dgm:pt modelId="{1652E09E-E063-4628-AE96-05BDC3519E32}">
      <dgm:prSet phldrT="[Text]"/>
      <dgm:spPr/>
      <dgm:t>
        <a:bodyPr/>
        <a:lstStyle/>
        <a:p>
          <a:r>
            <a:rPr lang="en-AU"/>
            <a:t>If you decide not to Build Test rather write tests manually, start here..</a:t>
          </a:r>
        </a:p>
      </dgm:t>
    </dgm:pt>
    <dgm:pt modelId="{DABDD331-ACB6-4DF6-9CE0-76A8892E20B4}" type="parTrans" cxnId="{2BB5C5C5-BAC4-4F4D-8734-6D6AB9CEDAB8}">
      <dgm:prSet/>
      <dgm:spPr/>
      <dgm:t>
        <a:bodyPr/>
        <a:lstStyle/>
        <a:p>
          <a:endParaRPr lang="en-AU"/>
        </a:p>
      </dgm:t>
    </dgm:pt>
    <dgm:pt modelId="{25A0DF6C-5762-4964-AEA4-524D17D007B4}" type="sibTrans" cxnId="{2BB5C5C5-BAC4-4F4D-8734-6D6AB9CEDAB8}">
      <dgm:prSet/>
      <dgm:spPr/>
      <dgm:t>
        <a:bodyPr/>
        <a:lstStyle/>
        <a:p>
          <a:endParaRPr lang="en-AU"/>
        </a:p>
      </dgm:t>
    </dgm:pt>
    <dgm:pt modelId="{C2FFE33C-2B2D-4A56-BA39-903FA8107476}">
      <dgm:prSet phldrT="[Text]"/>
      <dgm:spPr/>
      <dgm:t>
        <a:bodyPr/>
        <a:lstStyle/>
        <a:p>
          <a:r>
            <a:rPr lang="en-AU"/>
            <a:t>Step 4: TestMatrix </a:t>
          </a:r>
        </a:p>
      </dgm:t>
    </dgm:pt>
    <dgm:pt modelId="{9D5E9679-C7E9-4864-ABC3-2D33A8E76C81}" type="parTrans" cxnId="{C0FECE62-928B-406A-9925-086178580E28}">
      <dgm:prSet/>
      <dgm:spPr/>
      <dgm:t>
        <a:bodyPr/>
        <a:lstStyle/>
        <a:p>
          <a:endParaRPr lang="en-AU"/>
        </a:p>
      </dgm:t>
    </dgm:pt>
    <dgm:pt modelId="{6F6030BD-C230-49B7-ADD8-3BAC108199EA}" type="sibTrans" cxnId="{C0FECE62-928B-406A-9925-086178580E28}">
      <dgm:prSet/>
      <dgm:spPr/>
      <dgm:t>
        <a:bodyPr/>
        <a:lstStyle/>
        <a:p>
          <a:endParaRPr lang="en-AU"/>
        </a:p>
      </dgm:t>
    </dgm:pt>
    <dgm:pt modelId="{EE383B8B-37FE-43CE-ACB6-1A22964517CB}">
      <dgm:prSet phldrT="[Text]"/>
      <dgm:spPr/>
      <dgm:t>
        <a:bodyPr/>
        <a:lstStyle/>
        <a:p>
          <a:r>
            <a:rPr lang="en-AU"/>
            <a:t>Select Test Matrix Sheet</a:t>
          </a:r>
        </a:p>
      </dgm:t>
    </dgm:pt>
    <dgm:pt modelId="{5BA2EEA8-EACB-41FF-A78D-348E1EED71D0}" type="parTrans" cxnId="{CF405A7D-0B3C-424D-AFE2-98DF14F75BCE}">
      <dgm:prSet/>
      <dgm:spPr/>
      <dgm:t>
        <a:bodyPr/>
        <a:lstStyle/>
        <a:p>
          <a:endParaRPr lang="en-AU"/>
        </a:p>
      </dgm:t>
    </dgm:pt>
    <dgm:pt modelId="{F7F5D494-A2B0-4343-94D4-A2B160D4B631}" type="sibTrans" cxnId="{CF405A7D-0B3C-424D-AFE2-98DF14F75BCE}">
      <dgm:prSet/>
      <dgm:spPr/>
      <dgm:t>
        <a:bodyPr/>
        <a:lstStyle/>
        <a:p>
          <a:endParaRPr lang="en-AU"/>
        </a:p>
      </dgm:t>
    </dgm:pt>
    <dgm:pt modelId="{24CC626F-D6B0-4142-B8DD-3D1E120808AB}">
      <dgm:prSet phldrT="[Text]"/>
      <dgm:spPr/>
      <dgm:t>
        <a:bodyPr/>
        <a:lstStyle/>
        <a:p>
          <a:r>
            <a:rPr lang="en-AU"/>
            <a:t>Test purpose, pre-requisite and expected output per test will be copied automatically using macro behind (Note:- This works only in VDI machine as macros are disabled in CDE)</a:t>
          </a:r>
        </a:p>
      </dgm:t>
    </dgm:pt>
    <dgm:pt modelId="{814E2CE4-E51B-4521-9FE8-5F1500416981}" type="parTrans" cxnId="{A1F7AA40-DB2E-40DA-86A9-DB480AF8CCD2}">
      <dgm:prSet/>
      <dgm:spPr/>
      <dgm:t>
        <a:bodyPr/>
        <a:lstStyle/>
        <a:p>
          <a:endParaRPr lang="en-AU"/>
        </a:p>
      </dgm:t>
    </dgm:pt>
    <dgm:pt modelId="{F5AC8C2B-272D-4ABA-8523-0BAA839FDF41}" type="sibTrans" cxnId="{A1F7AA40-DB2E-40DA-86A9-DB480AF8CCD2}">
      <dgm:prSet/>
      <dgm:spPr/>
      <dgm:t>
        <a:bodyPr/>
        <a:lstStyle/>
        <a:p>
          <a:endParaRPr lang="en-AU"/>
        </a:p>
      </dgm:t>
    </dgm:pt>
    <dgm:pt modelId="{AD3549CF-27E8-4F90-B7A8-31A99E4B82D0}" type="pres">
      <dgm:prSet presAssocID="{8380F650-F520-46D3-A6E1-FBF422EB8768}" presName="linearFlow" presStyleCnt="0">
        <dgm:presLayoutVars>
          <dgm:dir/>
          <dgm:animLvl val="lvl"/>
          <dgm:resizeHandles val="exact"/>
        </dgm:presLayoutVars>
      </dgm:prSet>
      <dgm:spPr/>
      <dgm:t>
        <a:bodyPr/>
        <a:lstStyle/>
        <a:p>
          <a:endParaRPr lang="en-AU"/>
        </a:p>
      </dgm:t>
    </dgm:pt>
    <dgm:pt modelId="{A9E4EA27-A760-4E6D-B63A-2966F6E10685}" type="pres">
      <dgm:prSet presAssocID="{826DF30A-0F5E-4C2C-94C3-D5C7EFDC691B}" presName="composite" presStyleCnt="0"/>
      <dgm:spPr/>
      <dgm:t>
        <a:bodyPr/>
        <a:lstStyle/>
        <a:p>
          <a:endParaRPr lang="en-AU"/>
        </a:p>
      </dgm:t>
    </dgm:pt>
    <dgm:pt modelId="{C5F9D1D4-1D4E-43EA-85B8-8DDD051EF253}" type="pres">
      <dgm:prSet presAssocID="{826DF30A-0F5E-4C2C-94C3-D5C7EFDC691B}" presName="parTx" presStyleLbl="node1" presStyleIdx="0" presStyleCnt="4">
        <dgm:presLayoutVars>
          <dgm:chMax val="0"/>
          <dgm:chPref val="0"/>
          <dgm:bulletEnabled val="1"/>
        </dgm:presLayoutVars>
      </dgm:prSet>
      <dgm:spPr/>
      <dgm:t>
        <a:bodyPr/>
        <a:lstStyle/>
        <a:p>
          <a:endParaRPr lang="en-AU"/>
        </a:p>
      </dgm:t>
    </dgm:pt>
    <dgm:pt modelId="{5CAB327B-12A3-4408-8791-EF1755D62442}" type="pres">
      <dgm:prSet presAssocID="{826DF30A-0F5E-4C2C-94C3-D5C7EFDC691B}" presName="parSh" presStyleLbl="node1" presStyleIdx="0" presStyleCnt="4"/>
      <dgm:spPr/>
      <dgm:t>
        <a:bodyPr/>
        <a:lstStyle/>
        <a:p>
          <a:endParaRPr lang="en-AU"/>
        </a:p>
      </dgm:t>
    </dgm:pt>
    <dgm:pt modelId="{BC930835-A301-4233-BAA1-F9AAB69FE006}" type="pres">
      <dgm:prSet presAssocID="{826DF30A-0F5E-4C2C-94C3-D5C7EFDC691B}" presName="desTx" presStyleLbl="fgAcc1" presStyleIdx="0" presStyleCnt="4">
        <dgm:presLayoutVars>
          <dgm:bulletEnabled val="1"/>
        </dgm:presLayoutVars>
      </dgm:prSet>
      <dgm:spPr/>
      <dgm:t>
        <a:bodyPr/>
        <a:lstStyle/>
        <a:p>
          <a:endParaRPr lang="en-AU"/>
        </a:p>
      </dgm:t>
    </dgm:pt>
    <dgm:pt modelId="{1444A8A5-4661-43C3-85D5-C282245ADAF8}" type="pres">
      <dgm:prSet presAssocID="{ADCB3408-4FC2-47D1-9E21-333C57C58E0C}" presName="sibTrans" presStyleLbl="sibTrans2D1" presStyleIdx="0" presStyleCnt="3"/>
      <dgm:spPr/>
      <dgm:t>
        <a:bodyPr/>
        <a:lstStyle/>
        <a:p>
          <a:endParaRPr lang="en-AU"/>
        </a:p>
      </dgm:t>
    </dgm:pt>
    <dgm:pt modelId="{D024DDFA-4416-41B0-A938-3DA0B74E4454}" type="pres">
      <dgm:prSet presAssocID="{ADCB3408-4FC2-47D1-9E21-333C57C58E0C}" presName="connTx" presStyleLbl="sibTrans2D1" presStyleIdx="0" presStyleCnt="3"/>
      <dgm:spPr/>
      <dgm:t>
        <a:bodyPr/>
        <a:lstStyle/>
        <a:p>
          <a:endParaRPr lang="en-AU"/>
        </a:p>
      </dgm:t>
    </dgm:pt>
    <dgm:pt modelId="{96FF47CD-4A2A-4420-9FA2-36AC724D92DD}" type="pres">
      <dgm:prSet presAssocID="{01473FB4-8966-4AC8-A992-C8FB0D8C9D3C}" presName="composite" presStyleCnt="0"/>
      <dgm:spPr/>
      <dgm:t>
        <a:bodyPr/>
        <a:lstStyle/>
        <a:p>
          <a:endParaRPr lang="en-AU"/>
        </a:p>
      </dgm:t>
    </dgm:pt>
    <dgm:pt modelId="{B3740E4C-BCD1-4B6A-9E5F-B82626AA02CF}" type="pres">
      <dgm:prSet presAssocID="{01473FB4-8966-4AC8-A992-C8FB0D8C9D3C}" presName="parTx" presStyleLbl="node1" presStyleIdx="0" presStyleCnt="4">
        <dgm:presLayoutVars>
          <dgm:chMax val="0"/>
          <dgm:chPref val="0"/>
          <dgm:bulletEnabled val="1"/>
        </dgm:presLayoutVars>
      </dgm:prSet>
      <dgm:spPr/>
      <dgm:t>
        <a:bodyPr/>
        <a:lstStyle/>
        <a:p>
          <a:endParaRPr lang="en-AU"/>
        </a:p>
      </dgm:t>
    </dgm:pt>
    <dgm:pt modelId="{3D33E046-DB09-4B6C-872B-9F24ED45E325}" type="pres">
      <dgm:prSet presAssocID="{01473FB4-8966-4AC8-A992-C8FB0D8C9D3C}" presName="parSh" presStyleLbl="node1" presStyleIdx="1" presStyleCnt="4"/>
      <dgm:spPr/>
      <dgm:t>
        <a:bodyPr/>
        <a:lstStyle/>
        <a:p>
          <a:endParaRPr lang="en-AU"/>
        </a:p>
      </dgm:t>
    </dgm:pt>
    <dgm:pt modelId="{5093E3D1-6C1C-4F87-B27D-16CC65798EF5}" type="pres">
      <dgm:prSet presAssocID="{01473FB4-8966-4AC8-A992-C8FB0D8C9D3C}" presName="desTx" presStyleLbl="fgAcc1" presStyleIdx="1" presStyleCnt="4">
        <dgm:presLayoutVars>
          <dgm:bulletEnabled val="1"/>
        </dgm:presLayoutVars>
      </dgm:prSet>
      <dgm:spPr/>
      <dgm:t>
        <a:bodyPr/>
        <a:lstStyle/>
        <a:p>
          <a:endParaRPr lang="en-AU"/>
        </a:p>
      </dgm:t>
    </dgm:pt>
    <dgm:pt modelId="{81738248-2406-4F39-8C0E-0EF32954A63A}" type="pres">
      <dgm:prSet presAssocID="{2A362F68-D591-46DF-B47F-9066E3AC0D91}" presName="sibTrans" presStyleLbl="sibTrans2D1" presStyleIdx="1" presStyleCnt="3"/>
      <dgm:spPr/>
      <dgm:t>
        <a:bodyPr/>
        <a:lstStyle/>
        <a:p>
          <a:endParaRPr lang="en-AU"/>
        </a:p>
      </dgm:t>
    </dgm:pt>
    <dgm:pt modelId="{4830E77B-2791-4676-A4F9-FFCDC6D8215C}" type="pres">
      <dgm:prSet presAssocID="{2A362F68-D591-46DF-B47F-9066E3AC0D91}" presName="connTx" presStyleLbl="sibTrans2D1" presStyleIdx="1" presStyleCnt="3"/>
      <dgm:spPr/>
      <dgm:t>
        <a:bodyPr/>
        <a:lstStyle/>
        <a:p>
          <a:endParaRPr lang="en-AU"/>
        </a:p>
      </dgm:t>
    </dgm:pt>
    <dgm:pt modelId="{75AF3C12-1776-40AB-92D1-12F031F08F9D}" type="pres">
      <dgm:prSet presAssocID="{3252046B-1E8B-4BFE-86E8-9D9EBC1D8219}" presName="composite" presStyleCnt="0"/>
      <dgm:spPr/>
      <dgm:t>
        <a:bodyPr/>
        <a:lstStyle/>
        <a:p>
          <a:endParaRPr lang="en-AU"/>
        </a:p>
      </dgm:t>
    </dgm:pt>
    <dgm:pt modelId="{9E712813-1C88-4F80-BE97-0D5D6A3D6960}" type="pres">
      <dgm:prSet presAssocID="{3252046B-1E8B-4BFE-86E8-9D9EBC1D8219}" presName="parTx" presStyleLbl="node1" presStyleIdx="1" presStyleCnt="4">
        <dgm:presLayoutVars>
          <dgm:chMax val="0"/>
          <dgm:chPref val="0"/>
          <dgm:bulletEnabled val="1"/>
        </dgm:presLayoutVars>
      </dgm:prSet>
      <dgm:spPr/>
      <dgm:t>
        <a:bodyPr/>
        <a:lstStyle/>
        <a:p>
          <a:endParaRPr lang="en-AU"/>
        </a:p>
      </dgm:t>
    </dgm:pt>
    <dgm:pt modelId="{8228D412-A6C4-42E9-AE63-4BBEA2C32F43}" type="pres">
      <dgm:prSet presAssocID="{3252046B-1E8B-4BFE-86E8-9D9EBC1D8219}" presName="parSh" presStyleLbl="node1" presStyleIdx="2" presStyleCnt="4"/>
      <dgm:spPr/>
      <dgm:t>
        <a:bodyPr/>
        <a:lstStyle/>
        <a:p>
          <a:endParaRPr lang="en-AU"/>
        </a:p>
      </dgm:t>
    </dgm:pt>
    <dgm:pt modelId="{3624EEF1-C4F7-49B3-BE98-DC018FB66EC7}" type="pres">
      <dgm:prSet presAssocID="{3252046B-1E8B-4BFE-86E8-9D9EBC1D8219}" presName="desTx" presStyleLbl="fgAcc1" presStyleIdx="2" presStyleCnt="4">
        <dgm:presLayoutVars>
          <dgm:bulletEnabled val="1"/>
        </dgm:presLayoutVars>
      </dgm:prSet>
      <dgm:spPr/>
      <dgm:t>
        <a:bodyPr/>
        <a:lstStyle/>
        <a:p>
          <a:endParaRPr lang="en-AU"/>
        </a:p>
      </dgm:t>
    </dgm:pt>
    <dgm:pt modelId="{6FCCC810-E950-4350-B1D6-894784DF9DDB}" type="pres">
      <dgm:prSet presAssocID="{5A44F450-5367-4DBE-92F5-3E43710D723C}" presName="sibTrans" presStyleLbl="sibTrans2D1" presStyleIdx="2" presStyleCnt="3"/>
      <dgm:spPr/>
      <dgm:t>
        <a:bodyPr/>
        <a:lstStyle/>
        <a:p>
          <a:endParaRPr lang="en-AU"/>
        </a:p>
      </dgm:t>
    </dgm:pt>
    <dgm:pt modelId="{697548E5-A57F-468A-B591-2AE98551BA7B}" type="pres">
      <dgm:prSet presAssocID="{5A44F450-5367-4DBE-92F5-3E43710D723C}" presName="connTx" presStyleLbl="sibTrans2D1" presStyleIdx="2" presStyleCnt="3"/>
      <dgm:spPr/>
      <dgm:t>
        <a:bodyPr/>
        <a:lstStyle/>
        <a:p>
          <a:endParaRPr lang="en-AU"/>
        </a:p>
      </dgm:t>
    </dgm:pt>
    <dgm:pt modelId="{07CE1199-B4C5-46EE-A16C-DE74295EA7C3}" type="pres">
      <dgm:prSet presAssocID="{C2FFE33C-2B2D-4A56-BA39-903FA8107476}" presName="composite" presStyleCnt="0"/>
      <dgm:spPr/>
      <dgm:t>
        <a:bodyPr/>
        <a:lstStyle/>
        <a:p>
          <a:endParaRPr lang="en-AU"/>
        </a:p>
      </dgm:t>
    </dgm:pt>
    <dgm:pt modelId="{F5DF9226-8914-41B9-97BD-461B3222DB14}" type="pres">
      <dgm:prSet presAssocID="{C2FFE33C-2B2D-4A56-BA39-903FA8107476}" presName="parTx" presStyleLbl="node1" presStyleIdx="2" presStyleCnt="4">
        <dgm:presLayoutVars>
          <dgm:chMax val="0"/>
          <dgm:chPref val="0"/>
          <dgm:bulletEnabled val="1"/>
        </dgm:presLayoutVars>
      </dgm:prSet>
      <dgm:spPr/>
      <dgm:t>
        <a:bodyPr/>
        <a:lstStyle/>
        <a:p>
          <a:endParaRPr lang="en-AU"/>
        </a:p>
      </dgm:t>
    </dgm:pt>
    <dgm:pt modelId="{7A9D9284-B71A-45A2-91C9-9B12649EED9F}" type="pres">
      <dgm:prSet presAssocID="{C2FFE33C-2B2D-4A56-BA39-903FA8107476}" presName="parSh" presStyleLbl="node1" presStyleIdx="3" presStyleCnt="4"/>
      <dgm:spPr/>
      <dgm:t>
        <a:bodyPr/>
        <a:lstStyle/>
        <a:p>
          <a:endParaRPr lang="en-AU"/>
        </a:p>
      </dgm:t>
    </dgm:pt>
    <dgm:pt modelId="{BAE9D6F2-42A9-4925-94B0-62D2364C9048}" type="pres">
      <dgm:prSet presAssocID="{C2FFE33C-2B2D-4A56-BA39-903FA8107476}" presName="desTx" presStyleLbl="fgAcc1" presStyleIdx="3" presStyleCnt="4">
        <dgm:presLayoutVars>
          <dgm:bulletEnabled val="1"/>
        </dgm:presLayoutVars>
      </dgm:prSet>
      <dgm:spPr/>
      <dgm:t>
        <a:bodyPr/>
        <a:lstStyle/>
        <a:p>
          <a:endParaRPr lang="en-AU"/>
        </a:p>
      </dgm:t>
    </dgm:pt>
  </dgm:ptLst>
  <dgm:cxnLst>
    <dgm:cxn modelId="{82A215E8-EE3A-4E4F-BD9A-6CC30C1EE66F}" srcId="{8380F650-F520-46D3-A6E1-FBF422EB8768}" destId="{826DF30A-0F5E-4C2C-94C3-D5C7EFDC691B}" srcOrd="0" destOrd="0" parTransId="{339E9763-E21F-4946-882D-68F682E4C3E2}" sibTransId="{ADCB3408-4FC2-47D1-9E21-333C57C58E0C}"/>
    <dgm:cxn modelId="{9CE24BBB-766B-49D6-ACE3-73692958BFB0}" srcId="{01473FB4-8966-4AC8-A992-C8FB0D8C9D3C}" destId="{FBA9A89B-ED18-4D09-9F7E-359BB4837D68}" srcOrd="1" destOrd="0" parTransId="{CCE0CB15-78B2-4DF1-A814-60C4CE8CCE5C}" sibTransId="{907A11D2-1A7A-4BF8-8437-9B97FAF2AEED}"/>
    <dgm:cxn modelId="{CF405A7D-0B3C-424D-AFE2-98DF14F75BCE}" srcId="{C2FFE33C-2B2D-4A56-BA39-903FA8107476}" destId="{EE383B8B-37FE-43CE-ACB6-1A22964517CB}" srcOrd="0" destOrd="0" parTransId="{5BA2EEA8-EACB-41FF-A78D-348E1EED71D0}" sibTransId="{F7F5D494-A2B0-4343-94D4-A2B160D4B631}"/>
    <dgm:cxn modelId="{35057608-D7E9-4669-A3EC-13AA756D33B9}" type="presOf" srcId="{58D42A91-7617-42C2-AAAB-AC96B7B48941}" destId="{BC930835-A301-4233-BAA1-F9AAB69FE006}" srcOrd="0" destOrd="2" presId="urn:microsoft.com/office/officeart/2005/8/layout/process3"/>
    <dgm:cxn modelId="{3B9C7FA9-0629-48BC-91DC-FC7943538896}" srcId="{01473FB4-8966-4AC8-A992-C8FB0D8C9D3C}" destId="{D1A06662-8ADA-4B6C-98C6-C48CC7D220A2}" srcOrd="0" destOrd="0" parTransId="{99BE6AE7-DC9A-4960-A6A7-ABF44247E626}" sibTransId="{B56E022B-AED5-434D-B6A5-E0D58D36478A}"/>
    <dgm:cxn modelId="{BA2FA8F8-0AD8-4BEA-ACE9-0C95CE75012B}" type="presOf" srcId="{C2FFE33C-2B2D-4A56-BA39-903FA8107476}" destId="{7A9D9284-B71A-45A2-91C9-9B12649EED9F}" srcOrd="1" destOrd="0" presId="urn:microsoft.com/office/officeart/2005/8/layout/process3"/>
    <dgm:cxn modelId="{E6194495-C311-4B8F-8020-8B1ED2493E91}" type="presOf" srcId="{5A44F450-5367-4DBE-92F5-3E43710D723C}" destId="{6FCCC810-E950-4350-B1D6-894784DF9DDB}" srcOrd="0" destOrd="0" presId="urn:microsoft.com/office/officeart/2005/8/layout/process3"/>
    <dgm:cxn modelId="{C7F6FF41-D9D4-422C-AABE-7F8649B3E430}" type="presOf" srcId="{01473FB4-8966-4AC8-A992-C8FB0D8C9D3C}" destId="{B3740E4C-BCD1-4B6A-9E5F-B82626AA02CF}" srcOrd="0" destOrd="0" presId="urn:microsoft.com/office/officeart/2005/8/layout/process3"/>
    <dgm:cxn modelId="{C89CFFD1-CC9C-4C79-852A-87B99EBFD7FA}" srcId="{8380F650-F520-46D3-A6E1-FBF422EB8768}" destId="{3252046B-1E8B-4BFE-86E8-9D9EBC1D8219}" srcOrd="2" destOrd="0" parTransId="{B3A3BE64-55B1-42C7-8F09-E53C10E5D954}" sibTransId="{5A44F450-5367-4DBE-92F5-3E43710D723C}"/>
    <dgm:cxn modelId="{F5AC315C-3C3B-45E6-B8C7-9276A956CFE9}" srcId="{826DF30A-0F5E-4C2C-94C3-D5C7EFDC691B}" destId="{D2118845-EEA2-4232-9038-9767AEC13B44}" srcOrd="0" destOrd="0" parTransId="{A675561A-88FF-43FE-8914-48A1E8E0AF20}" sibTransId="{7361F208-A81B-445D-836E-8D4733212461}"/>
    <dgm:cxn modelId="{46CF16DE-A625-4131-986F-4C941E6F4A0A}" type="presOf" srcId="{2A362F68-D591-46DF-B47F-9066E3AC0D91}" destId="{81738248-2406-4F39-8C0E-0EF32954A63A}" srcOrd="0" destOrd="0" presId="urn:microsoft.com/office/officeart/2005/8/layout/process3"/>
    <dgm:cxn modelId="{3B3795BE-F9A7-46ED-8193-EF2FBC3222D8}" type="presOf" srcId="{826DF30A-0F5E-4C2C-94C3-D5C7EFDC691B}" destId="{5CAB327B-12A3-4408-8791-EF1755D62442}" srcOrd="1" destOrd="0" presId="urn:microsoft.com/office/officeart/2005/8/layout/process3"/>
    <dgm:cxn modelId="{746312BD-927A-408B-A2EE-49FCB434B5A0}" srcId="{826DF30A-0F5E-4C2C-94C3-D5C7EFDC691B}" destId="{52ED8076-DAC2-4B45-91B4-90AAC91421E4}" srcOrd="1" destOrd="0" parTransId="{43A6E80F-05ED-44D9-8E28-8624CC71E36A}" sibTransId="{4FF652E8-5503-48F0-B48D-03A75744095C}"/>
    <dgm:cxn modelId="{11B6A091-70E9-4228-81A9-84B98DF9E898}" type="presOf" srcId="{52ED8076-DAC2-4B45-91B4-90AAC91421E4}" destId="{BC930835-A301-4233-BAA1-F9AAB69FE006}" srcOrd="0" destOrd="1" presId="urn:microsoft.com/office/officeart/2005/8/layout/process3"/>
    <dgm:cxn modelId="{6BD69A80-4F47-490A-9A1D-1D11E67D4F19}" type="presOf" srcId="{24CC626F-D6B0-4142-B8DD-3D1E120808AB}" destId="{BAE9D6F2-42A9-4925-94B0-62D2364C9048}" srcOrd="0" destOrd="1" presId="urn:microsoft.com/office/officeart/2005/8/layout/process3"/>
    <dgm:cxn modelId="{9C9C861B-AA04-4408-90EE-256E81433374}" srcId="{8380F650-F520-46D3-A6E1-FBF422EB8768}" destId="{01473FB4-8966-4AC8-A992-C8FB0D8C9D3C}" srcOrd="1" destOrd="0" parTransId="{11298C0E-42C4-434A-8FE7-9AA539490579}" sibTransId="{2A362F68-D591-46DF-B47F-9066E3AC0D91}"/>
    <dgm:cxn modelId="{340512D6-D72A-4341-B68E-80A99BF913B5}" type="presOf" srcId="{8DD593A4-03B2-487B-9CFB-BD3F0426F17D}" destId="{3624EEF1-C4F7-49B3-BE98-DC018FB66EC7}" srcOrd="0" destOrd="2" presId="urn:microsoft.com/office/officeart/2005/8/layout/process3"/>
    <dgm:cxn modelId="{CDCE54B7-EE07-432D-AEB3-83B2CBAAAA55}" type="presOf" srcId="{D1A06662-8ADA-4B6C-98C6-C48CC7D220A2}" destId="{5093E3D1-6C1C-4F87-B27D-16CC65798EF5}" srcOrd="0" destOrd="0" presId="urn:microsoft.com/office/officeart/2005/8/layout/process3"/>
    <dgm:cxn modelId="{8C68CAB4-5F98-49EE-B19E-61F3E494E650}" type="presOf" srcId="{2A362F68-D591-46DF-B47F-9066E3AC0D91}" destId="{4830E77B-2791-4676-A4F9-FFCDC6D8215C}" srcOrd="1" destOrd="0" presId="urn:microsoft.com/office/officeart/2005/8/layout/process3"/>
    <dgm:cxn modelId="{AE97BE92-B7E9-486E-AA2E-737EA64FCFC6}" type="presOf" srcId="{F683879C-FCD5-4E42-A7F0-F0C98173FE09}" destId="{3624EEF1-C4F7-49B3-BE98-DC018FB66EC7}" srcOrd="0" destOrd="0" presId="urn:microsoft.com/office/officeart/2005/8/layout/process3"/>
    <dgm:cxn modelId="{AF40DF8A-683F-43B8-AF4E-C2A97C8D2E3F}" type="presOf" srcId="{826DF30A-0F5E-4C2C-94C3-D5C7EFDC691B}" destId="{C5F9D1D4-1D4E-43EA-85B8-8DDD051EF253}" srcOrd="0" destOrd="0" presId="urn:microsoft.com/office/officeart/2005/8/layout/process3"/>
    <dgm:cxn modelId="{E7CD3480-6496-477B-9F9F-0C308B45DBAF}" srcId="{826DF30A-0F5E-4C2C-94C3-D5C7EFDC691B}" destId="{58D42A91-7617-42C2-AAAB-AC96B7B48941}" srcOrd="2" destOrd="0" parTransId="{EFFA3402-A9D5-46A1-A91C-95B6C965B0A5}" sibTransId="{F19F7612-F34B-4D9D-BA4D-EAB0EE8AB65C}"/>
    <dgm:cxn modelId="{AF857A56-E6DD-4C6E-A120-76743B40CC72}" type="presOf" srcId="{3252046B-1E8B-4BFE-86E8-9D9EBC1D8219}" destId="{9E712813-1C88-4F80-BE97-0D5D6A3D6960}" srcOrd="0" destOrd="0" presId="urn:microsoft.com/office/officeart/2005/8/layout/process3"/>
    <dgm:cxn modelId="{B7A1C3E9-5EF6-48E9-AB68-402E0B380296}" srcId="{3252046B-1E8B-4BFE-86E8-9D9EBC1D8219}" destId="{8DD593A4-03B2-487B-9CFB-BD3F0426F17D}" srcOrd="2" destOrd="0" parTransId="{A220BF68-2A09-4228-8092-4DE44BFA81BF}" sibTransId="{7E9CEBF0-2008-4058-A92C-46A9B8E6A1B5}"/>
    <dgm:cxn modelId="{831072D2-590F-4ACC-99D4-AB7F91D5338C}" type="presOf" srcId="{3252046B-1E8B-4BFE-86E8-9D9EBC1D8219}" destId="{8228D412-A6C4-42E9-AE63-4BBEA2C32F43}" srcOrd="1" destOrd="0" presId="urn:microsoft.com/office/officeart/2005/8/layout/process3"/>
    <dgm:cxn modelId="{C0FECE62-928B-406A-9925-086178580E28}" srcId="{8380F650-F520-46D3-A6E1-FBF422EB8768}" destId="{C2FFE33C-2B2D-4A56-BA39-903FA8107476}" srcOrd="3" destOrd="0" parTransId="{9D5E9679-C7E9-4864-ABC3-2D33A8E76C81}" sibTransId="{6F6030BD-C230-49B7-ADD8-3BAC108199EA}"/>
    <dgm:cxn modelId="{678B4732-E4DA-4903-83EE-5E00BF28295A}" type="presOf" srcId="{C2FFE33C-2B2D-4A56-BA39-903FA8107476}" destId="{F5DF9226-8914-41B9-97BD-461B3222DB14}" srcOrd="0" destOrd="0" presId="urn:microsoft.com/office/officeart/2005/8/layout/process3"/>
    <dgm:cxn modelId="{7F5B53CC-5480-41DF-8DC7-2A23F13EEDF4}" type="presOf" srcId="{ADCB3408-4FC2-47D1-9E21-333C57C58E0C}" destId="{1444A8A5-4661-43C3-85D5-C282245ADAF8}" srcOrd="0" destOrd="0" presId="urn:microsoft.com/office/officeart/2005/8/layout/process3"/>
    <dgm:cxn modelId="{29A5E8C6-E6B5-43CD-8795-082A745E687E}" type="presOf" srcId="{1652E09E-E063-4628-AE96-05BDC3519E32}" destId="{3624EEF1-C4F7-49B3-BE98-DC018FB66EC7}" srcOrd="0" destOrd="1" presId="urn:microsoft.com/office/officeart/2005/8/layout/process3"/>
    <dgm:cxn modelId="{0292976D-E457-418B-8152-0AB8B5F42B19}" type="presOf" srcId="{D2118845-EEA2-4232-9038-9767AEC13B44}" destId="{BC930835-A301-4233-BAA1-F9AAB69FE006}" srcOrd="0" destOrd="0" presId="urn:microsoft.com/office/officeart/2005/8/layout/process3"/>
    <dgm:cxn modelId="{2F5E48CA-73FC-49C7-A03A-553F13BBD02B}" type="presOf" srcId="{8380F650-F520-46D3-A6E1-FBF422EB8768}" destId="{AD3549CF-27E8-4F90-B7A8-31A99E4B82D0}" srcOrd="0" destOrd="0" presId="urn:microsoft.com/office/officeart/2005/8/layout/process3"/>
    <dgm:cxn modelId="{A1F7AA40-DB2E-40DA-86A9-DB480AF8CCD2}" srcId="{C2FFE33C-2B2D-4A56-BA39-903FA8107476}" destId="{24CC626F-D6B0-4142-B8DD-3D1E120808AB}" srcOrd="1" destOrd="0" parTransId="{814E2CE4-E51B-4521-9FE8-5F1500416981}" sibTransId="{F5AC8C2B-272D-4ABA-8523-0BAA839FDF41}"/>
    <dgm:cxn modelId="{2BB5C5C5-BAC4-4F4D-8734-6D6AB9CEDAB8}" srcId="{3252046B-1E8B-4BFE-86E8-9D9EBC1D8219}" destId="{1652E09E-E063-4628-AE96-05BDC3519E32}" srcOrd="1" destOrd="0" parTransId="{DABDD331-ACB6-4DF6-9CE0-76A8892E20B4}" sibTransId="{25A0DF6C-5762-4964-AEA4-524D17D007B4}"/>
    <dgm:cxn modelId="{5EBAD174-C6F4-43F2-AF00-3CE808BFB2BF}" type="presOf" srcId="{ADCB3408-4FC2-47D1-9E21-333C57C58E0C}" destId="{D024DDFA-4416-41B0-A938-3DA0B74E4454}" srcOrd="1" destOrd="0" presId="urn:microsoft.com/office/officeart/2005/8/layout/process3"/>
    <dgm:cxn modelId="{6E463A42-6E05-4401-8A93-620CD9A94F81}" srcId="{3252046B-1E8B-4BFE-86E8-9D9EBC1D8219}" destId="{F683879C-FCD5-4E42-A7F0-F0C98173FE09}" srcOrd="0" destOrd="0" parTransId="{677B6FEE-9FC6-46B7-A245-61AB27001751}" sibTransId="{8219432C-F3C3-4C83-9351-43CFD6234671}"/>
    <dgm:cxn modelId="{376AA5FD-11AC-4B81-B3A6-F3C3904B972D}" type="presOf" srcId="{01473FB4-8966-4AC8-A992-C8FB0D8C9D3C}" destId="{3D33E046-DB09-4B6C-872B-9F24ED45E325}" srcOrd="1" destOrd="0" presId="urn:microsoft.com/office/officeart/2005/8/layout/process3"/>
    <dgm:cxn modelId="{A76258D8-C51E-4FC4-8FAF-E47D7BEF217B}" type="presOf" srcId="{EE383B8B-37FE-43CE-ACB6-1A22964517CB}" destId="{BAE9D6F2-42A9-4925-94B0-62D2364C9048}" srcOrd="0" destOrd="0" presId="urn:microsoft.com/office/officeart/2005/8/layout/process3"/>
    <dgm:cxn modelId="{4B6CAE35-0BF7-479F-AAC8-26172D47027E}" type="presOf" srcId="{FBA9A89B-ED18-4D09-9F7E-359BB4837D68}" destId="{5093E3D1-6C1C-4F87-B27D-16CC65798EF5}" srcOrd="0" destOrd="1" presId="urn:microsoft.com/office/officeart/2005/8/layout/process3"/>
    <dgm:cxn modelId="{7B2380B0-D314-4F92-943A-52EBB969707B}" type="presOf" srcId="{5A44F450-5367-4DBE-92F5-3E43710D723C}" destId="{697548E5-A57F-468A-B591-2AE98551BA7B}" srcOrd="1" destOrd="0" presId="urn:microsoft.com/office/officeart/2005/8/layout/process3"/>
    <dgm:cxn modelId="{2DDE2E98-0B80-49CB-B0E3-A652B423A1C9}" type="presParOf" srcId="{AD3549CF-27E8-4F90-B7A8-31A99E4B82D0}" destId="{A9E4EA27-A760-4E6D-B63A-2966F6E10685}" srcOrd="0" destOrd="0" presId="urn:microsoft.com/office/officeart/2005/8/layout/process3"/>
    <dgm:cxn modelId="{0A14AF5D-6C64-4AA5-BBEF-C5CCD7130432}" type="presParOf" srcId="{A9E4EA27-A760-4E6D-B63A-2966F6E10685}" destId="{C5F9D1D4-1D4E-43EA-85B8-8DDD051EF253}" srcOrd="0" destOrd="0" presId="urn:microsoft.com/office/officeart/2005/8/layout/process3"/>
    <dgm:cxn modelId="{87E3750B-5470-4680-891C-27D3F30B20D0}" type="presParOf" srcId="{A9E4EA27-A760-4E6D-B63A-2966F6E10685}" destId="{5CAB327B-12A3-4408-8791-EF1755D62442}" srcOrd="1" destOrd="0" presId="urn:microsoft.com/office/officeart/2005/8/layout/process3"/>
    <dgm:cxn modelId="{45F10E8D-531D-4D9A-81C7-FA4982796650}" type="presParOf" srcId="{A9E4EA27-A760-4E6D-B63A-2966F6E10685}" destId="{BC930835-A301-4233-BAA1-F9AAB69FE006}" srcOrd="2" destOrd="0" presId="urn:microsoft.com/office/officeart/2005/8/layout/process3"/>
    <dgm:cxn modelId="{E89E2737-0D20-440C-86DC-A75142DC9106}" type="presParOf" srcId="{AD3549CF-27E8-4F90-B7A8-31A99E4B82D0}" destId="{1444A8A5-4661-43C3-85D5-C282245ADAF8}" srcOrd="1" destOrd="0" presId="urn:microsoft.com/office/officeart/2005/8/layout/process3"/>
    <dgm:cxn modelId="{EAF6490E-DBE9-4989-9ED8-7EF89F852A1A}" type="presParOf" srcId="{1444A8A5-4661-43C3-85D5-C282245ADAF8}" destId="{D024DDFA-4416-41B0-A938-3DA0B74E4454}" srcOrd="0" destOrd="0" presId="urn:microsoft.com/office/officeart/2005/8/layout/process3"/>
    <dgm:cxn modelId="{C1D3C87A-0C3C-49C5-A2FD-4BA9BDF6661A}" type="presParOf" srcId="{AD3549CF-27E8-4F90-B7A8-31A99E4B82D0}" destId="{96FF47CD-4A2A-4420-9FA2-36AC724D92DD}" srcOrd="2" destOrd="0" presId="urn:microsoft.com/office/officeart/2005/8/layout/process3"/>
    <dgm:cxn modelId="{91B0C5B7-7BC6-4961-B695-F04FE1F99769}" type="presParOf" srcId="{96FF47CD-4A2A-4420-9FA2-36AC724D92DD}" destId="{B3740E4C-BCD1-4B6A-9E5F-B82626AA02CF}" srcOrd="0" destOrd="0" presId="urn:microsoft.com/office/officeart/2005/8/layout/process3"/>
    <dgm:cxn modelId="{32AD6D51-736C-405D-ACB2-4CF172DA7EEC}" type="presParOf" srcId="{96FF47CD-4A2A-4420-9FA2-36AC724D92DD}" destId="{3D33E046-DB09-4B6C-872B-9F24ED45E325}" srcOrd="1" destOrd="0" presId="urn:microsoft.com/office/officeart/2005/8/layout/process3"/>
    <dgm:cxn modelId="{3E441C05-3EA8-4AAC-A2D2-D5102F85634E}" type="presParOf" srcId="{96FF47CD-4A2A-4420-9FA2-36AC724D92DD}" destId="{5093E3D1-6C1C-4F87-B27D-16CC65798EF5}" srcOrd="2" destOrd="0" presId="urn:microsoft.com/office/officeart/2005/8/layout/process3"/>
    <dgm:cxn modelId="{CE3BB378-6856-4B5A-BD1D-2521188FF6DB}" type="presParOf" srcId="{AD3549CF-27E8-4F90-B7A8-31A99E4B82D0}" destId="{81738248-2406-4F39-8C0E-0EF32954A63A}" srcOrd="3" destOrd="0" presId="urn:microsoft.com/office/officeart/2005/8/layout/process3"/>
    <dgm:cxn modelId="{E0E704F7-83FA-4143-86CB-41F9EB50879F}" type="presParOf" srcId="{81738248-2406-4F39-8C0E-0EF32954A63A}" destId="{4830E77B-2791-4676-A4F9-FFCDC6D8215C}" srcOrd="0" destOrd="0" presId="urn:microsoft.com/office/officeart/2005/8/layout/process3"/>
    <dgm:cxn modelId="{4B394099-F91D-4457-9BC3-2CAC15304A8D}" type="presParOf" srcId="{AD3549CF-27E8-4F90-B7A8-31A99E4B82D0}" destId="{75AF3C12-1776-40AB-92D1-12F031F08F9D}" srcOrd="4" destOrd="0" presId="urn:microsoft.com/office/officeart/2005/8/layout/process3"/>
    <dgm:cxn modelId="{9C916672-A157-4AFF-A0EA-BE22482910DD}" type="presParOf" srcId="{75AF3C12-1776-40AB-92D1-12F031F08F9D}" destId="{9E712813-1C88-4F80-BE97-0D5D6A3D6960}" srcOrd="0" destOrd="0" presId="urn:microsoft.com/office/officeart/2005/8/layout/process3"/>
    <dgm:cxn modelId="{31438C23-AA3B-4442-B764-64A445E75E61}" type="presParOf" srcId="{75AF3C12-1776-40AB-92D1-12F031F08F9D}" destId="{8228D412-A6C4-42E9-AE63-4BBEA2C32F43}" srcOrd="1" destOrd="0" presId="urn:microsoft.com/office/officeart/2005/8/layout/process3"/>
    <dgm:cxn modelId="{D2FA6787-95F2-4478-8CBA-0C41071E59CC}" type="presParOf" srcId="{75AF3C12-1776-40AB-92D1-12F031F08F9D}" destId="{3624EEF1-C4F7-49B3-BE98-DC018FB66EC7}" srcOrd="2" destOrd="0" presId="urn:microsoft.com/office/officeart/2005/8/layout/process3"/>
    <dgm:cxn modelId="{D8753DC3-BB22-4A04-8F76-F7714FDA40A8}" type="presParOf" srcId="{AD3549CF-27E8-4F90-B7A8-31A99E4B82D0}" destId="{6FCCC810-E950-4350-B1D6-894784DF9DDB}" srcOrd="5" destOrd="0" presId="urn:microsoft.com/office/officeart/2005/8/layout/process3"/>
    <dgm:cxn modelId="{A16F548F-1AD6-4588-842D-B7194F200C81}" type="presParOf" srcId="{6FCCC810-E950-4350-B1D6-894784DF9DDB}" destId="{697548E5-A57F-468A-B591-2AE98551BA7B}" srcOrd="0" destOrd="0" presId="urn:microsoft.com/office/officeart/2005/8/layout/process3"/>
    <dgm:cxn modelId="{2D4FC691-A622-4014-84BF-9DC03FCC459D}" type="presParOf" srcId="{AD3549CF-27E8-4F90-B7A8-31A99E4B82D0}" destId="{07CE1199-B4C5-46EE-A16C-DE74295EA7C3}" srcOrd="6" destOrd="0" presId="urn:microsoft.com/office/officeart/2005/8/layout/process3"/>
    <dgm:cxn modelId="{2B1E0A8F-D7E5-4871-A12C-CCBA47AE7F2B}" type="presParOf" srcId="{07CE1199-B4C5-46EE-A16C-DE74295EA7C3}" destId="{F5DF9226-8914-41B9-97BD-461B3222DB14}" srcOrd="0" destOrd="0" presId="urn:microsoft.com/office/officeart/2005/8/layout/process3"/>
    <dgm:cxn modelId="{755FDCF8-2919-4908-A099-27154BF3AD96}" type="presParOf" srcId="{07CE1199-B4C5-46EE-A16C-DE74295EA7C3}" destId="{7A9D9284-B71A-45A2-91C9-9B12649EED9F}" srcOrd="1" destOrd="0" presId="urn:microsoft.com/office/officeart/2005/8/layout/process3"/>
    <dgm:cxn modelId="{F9FA7CA7-36A4-421F-A406-CD42E75C2B21}" type="presParOf" srcId="{07CE1199-B4C5-46EE-A16C-DE74295EA7C3}" destId="{BAE9D6F2-42A9-4925-94B0-62D2364C9048}" srcOrd="2" destOrd="0" presId="urn:microsoft.com/office/officeart/2005/8/layout/process3"/>
  </dgm:cxnLst>
  <dgm:bg/>
  <dgm:whole/>
  <dgm:extLst>
    <a:ext uri="http://schemas.microsoft.com/office/drawing/2008/diagram">
      <dsp:dataModelExt xmlns:dsp="http://schemas.microsoft.com/office/drawing/2008/diagram" relId="rId12" minVer="http://schemas.openxmlformats.org/drawingml/2006/diagram"/>
    </a:ext>
  </dgm:extLst>
</dgm:dataModel>
</file>

<file path=xl/diagrams/data3.xml><?xml version="1.0" encoding="utf-8"?>
<dgm:dataModel xmlns:dgm="http://schemas.openxmlformats.org/drawingml/2006/diagram" xmlns:a="http://schemas.openxmlformats.org/drawingml/2006/main">
  <dgm:ptLst>
    <dgm:pt modelId="{0C0FFD96-DFE6-4FC4-8126-C03012DB0EF0}" type="doc">
      <dgm:prSet loTypeId="urn:microsoft.com/office/officeart/2005/8/layout/radial3" loCatId="cycle" qsTypeId="urn:microsoft.com/office/officeart/2005/8/quickstyle/simple3" qsCatId="simple" csTypeId="urn:microsoft.com/office/officeart/2005/8/colors/colorful1" csCatId="colorful" phldr="1"/>
      <dgm:spPr/>
      <dgm:t>
        <a:bodyPr/>
        <a:lstStyle/>
        <a:p>
          <a:endParaRPr lang="en-AU"/>
        </a:p>
      </dgm:t>
    </dgm:pt>
    <dgm:pt modelId="{869BA6AE-CB36-4525-BCFE-A4D5D4104A05}">
      <dgm:prSet phldrT="[Text]" custT="1"/>
      <dgm:spPr/>
      <dgm:t>
        <a:bodyPr anchor="ctr"/>
        <a:lstStyle/>
        <a:p>
          <a:pPr algn="l"/>
          <a:r>
            <a:rPr lang="en-AU" sz="1000">
              <a:latin typeface="Segoe UI" panose="020B0502040204020203" pitchFamily="34" charset="0"/>
              <a:ea typeface="Segoe UI" panose="020B0502040204020203" pitchFamily="34" charset="0"/>
              <a:cs typeface="Segoe UI" panose="020B0502040204020203" pitchFamily="34" charset="0"/>
            </a:rPr>
            <a:t>Build Test, Test Cases &amp; Test Matrix - Different representations of the test scenarios. Each one is preferred in different circumstance. </a:t>
          </a:r>
        </a:p>
        <a:p>
          <a:pPr algn="ctr"/>
          <a:r>
            <a:rPr lang="en-AU" sz="1000">
              <a:latin typeface="Segoe UI" panose="020B0502040204020203" pitchFamily="34" charset="0"/>
              <a:ea typeface="Segoe UI" panose="020B0502040204020203" pitchFamily="34" charset="0"/>
              <a:cs typeface="Segoe UI" panose="020B0502040204020203" pitchFamily="34" charset="0"/>
            </a:rPr>
            <a:t>Choose yours</a:t>
          </a:r>
          <a:r>
            <a:rPr lang="en-AU">
              <a:latin typeface="Segoe UI" panose="020B0502040204020203" pitchFamily="34" charset="0"/>
              <a:ea typeface="Segoe UI" panose="020B0502040204020203" pitchFamily="34" charset="0"/>
              <a:cs typeface="Segoe UI" panose="020B0502040204020203" pitchFamily="34" charset="0"/>
            </a:rPr>
            <a:t> </a:t>
          </a:r>
          <a:r>
            <a:rPr lang="en-AU" sz="1000">
              <a:latin typeface="Bookman Old Style" panose="02050604050505020204" pitchFamily="18" charset="0"/>
              <a:sym typeface="Wingdings 2" panose="05020102010507070707" pitchFamily="18" charset="2"/>
            </a:rPr>
            <a:t></a:t>
          </a:r>
          <a:endParaRPr lang="en-AU" sz="1000">
            <a:latin typeface="Bookman Old Style" panose="02050604050505020204" pitchFamily="18" charset="0"/>
          </a:endParaRPr>
        </a:p>
      </dgm:t>
    </dgm:pt>
    <dgm:pt modelId="{2C26531D-0E09-49B5-8B14-4457881AABB3}" type="parTrans" cxnId="{9A113ADB-FFF3-48C9-8F13-B814B62A32D6}">
      <dgm:prSet/>
      <dgm:spPr/>
      <dgm:t>
        <a:bodyPr/>
        <a:lstStyle/>
        <a:p>
          <a:endParaRPr lang="en-AU">
            <a:latin typeface="Bookman Old Style" panose="02050604050505020204" pitchFamily="18" charset="0"/>
          </a:endParaRPr>
        </a:p>
      </dgm:t>
    </dgm:pt>
    <dgm:pt modelId="{1E7F0813-7C21-4C9A-89CC-8851C30FC7DD}" type="sibTrans" cxnId="{9A113ADB-FFF3-48C9-8F13-B814B62A32D6}">
      <dgm:prSet/>
      <dgm:spPr/>
      <dgm:t>
        <a:bodyPr/>
        <a:lstStyle/>
        <a:p>
          <a:endParaRPr lang="en-AU">
            <a:latin typeface="Bookman Old Style" panose="02050604050505020204" pitchFamily="18" charset="0"/>
          </a:endParaRPr>
        </a:p>
      </dgm:t>
    </dgm:pt>
    <dgm:pt modelId="{C1B11B3E-2E27-4DB7-B666-4B7B33C32A5B}">
      <dgm:prSet phldrT="[Text]"/>
      <dgm:spPr/>
      <dgm:t>
        <a:bodyPr/>
        <a:lstStyle/>
        <a:p>
          <a:endParaRPr lang="en-AU">
            <a:latin typeface="Bookman Old Style" panose="02050604050505020204" pitchFamily="18" charset="0"/>
          </a:endParaRPr>
        </a:p>
      </dgm:t>
    </dgm:pt>
    <dgm:pt modelId="{80D1720A-5068-4900-BAEC-D6D645E9D1CC}" type="parTrans" cxnId="{30F64598-0181-436B-9AFB-5A7DF22EA2D2}">
      <dgm:prSet/>
      <dgm:spPr/>
      <dgm:t>
        <a:bodyPr/>
        <a:lstStyle/>
        <a:p>
          <a:endParaRPr lang="en-AU">
            <a:latin typeface="Bookman Old Style" panose="02050604050505020204" pitchFamily="18" charset="0"/>
          </a:endParaRPr>
        </a:p>
      </dgm:t>
    </dgm:pt>
    <dgm:pt modelId="{2E9C183A-C944-4BA8-B1D7-668C85FF119C}" type="sibTrans" cxnId="{30F64598-0181-436B-9AFB-5A7DF22EA2D2}">
      <dgm:prSet/>
      <dgm:spPr/>
      <dgm:t>
        <a:bodyPr/>
        <a:lstStyle/>
        <a:p>
          <a:endParaRPr lang="en-AU">
            <a:latin typeface="Bookman Old Style" panose="02050604050505020204" pitchFamily="18" charset="0"/>
          </a:endParaRPr>
        </a:p>
      </dgm:t>
    </dgm:pt>
    <dgm:pt modelId="{E8DC41DC-F0B1-41F6-8BC2-0679CE91E863}" type="pres">
      <dgm:prSet presAssocID="{0C0FFD96-DFE6-4FC4-8126-C03012DB0EF0}" presName="composite" presStyleCnt="0">
        <dgm:presLayoutVars>
          <dgm:chMax val="1"/>
          <dgm:dir/>
          <dgm:resizeHandles val="exact"/>
        </dgm:presLayoutVars>
      </dgm:prSet>
      <dgm:spPr/>
      <dgm:t>
        <a:bodyPr/>
        <a:lstStyle/>
        <a:p>
          <a:endParaRPr lang="en-AU"/>
        </a:p>
      </dgm:t>
    </dgm:pt>
    <dgm:pt modelId="{FFC5D967-044D-40C7-970F-C1679F97C373}" type="pres">
      <dgm:prSet presAssocID="{0C0FFD96-DFE6-4FC4-8126-C03012DB0EF0}" presName="radial" presStyleCnt="0">
        <dgm:presLayoutVars>
          <dgm:animLvl val="ctr"/>
        </dgm:presLayoutVars>
      </dgm:prSet>
      <dgm:spPr/>
    </dgm:pt>
    <dgm:pt modelId="{78881D4A-BDD5-40E1-9150-5DBA202E92F5}" type="pres">
      <dgm:prSet presAssocID="{869BA6AE-CB36-4525-BCFE-A4D5D4104A05}" presName="centerShape" presStyleLbl="vennNode1" presStyleIdx="0" presStyleCnt="1"/>
      <dgm:spPr/>
      <dgm:t>
        <a:bodyPr/>
        <a:lstStyle/>
        <a:p>
          <a:endParaRPr lang="en-AU"/>
        </a:p>
      </dgm:t>
    </dgm:pt>
  </dgm:ptLst>
  <dgm:cxnLst>
    <dgm:cxn modelId="{EC3E2E43-A5ED-469D-94C4-B30EE6540947}" type="presOf" srcId="{0C0FFD96-DFE6-4FC4-8126-C03012DB0EF0}" destId="{E8DC41DC-F0B1-41F6-8BC2-0679CE91E863}" srcOrd="0" destOrd="0" presId="urn:microsoft.com/office/officeart/2005/8/layout/radial3"/>
    <dgm:cxn modelId="{30F64598-0181-436B-9AFB-5A7DF22EA2D2}" srcId="{0C0FFD96-DFE6-4FC4-8126-C03012DB0EF0}" destId="{C1B11B3E-2E27-4DB7-B666-4B7B33C32A5B}" srcOrd="1" destOrd="0" parTransId="{80D1720A-5068-4900-BAEC-D6D645E9D1CC}" sibTransId="{2E9C183A-C944-4BA8-B1D7-668C85FF119C}"/>
    <dgm:cxn modelId="{9A113ADB-FFF3-48C9-8F13-B814B62A32D6}" srcId="{0C0FFD96-DFE6-4FC4-8126-C03012DB0EF0}" destId="{869BA6AE-CB36-4525-BCFE-A4D5D4104A05}" srcOrd="0" destOrd="0" parTransId="{2C26531D-0E09-49B5-8B14-4457881AABB3}" sibTransId="{1E7F0813-7C21-4C9A-89CC-8851C30FC7DD}"/>
    <dgm:cxn modelId="{664A08EE-00F0-4EDF-8641-E43B70490A14}" type="presOf" srcId="{869BA6AE-CB36-4525-BCFE-A4D5D4104A05}" destId="{78881D4A-BDD5-40E1-9150-5DBA202E92F5}" srcOrd="0" destOrd="0" presId="urn:microsoft.com/office/officeart/2005/8/layout/radial3"/>
    <dgm:cxn modelId="{3F963607-0155-412E-8713-C1139F34BA00}" type="presParOf" srcId="{E8DC41DC-F0B1-41F6-8BC2-0679CE91E863}" destId="{FFC5D967-044D-40C7-970F-C1679F97C373}" srcOrd="0" destOrd="0" presId="urn:microsoft.com/office/officeart/2005/8/layout/radial3"/>
    <dgm:cxn modelId="{3188F978-0FDA-4D7B-A00A-A454B198E736}" type="presParOf" srcId="{FFC5D967-044D-40C7-970F-C1679F97C373}" destId="{78881D4A-BDD5-40E1-9150-5DBA202E92F5}" srcOrd="0" destOrd="0" presId="urn:microsoft.com/office/officeart/2005/8/layout/radial3"/>
  </dgm:cxnLst>
  <dgm:bg/>
  <dgm:whole/>
  <dgm:extLst>
    <a:ext uri="http://schemas.microsoft.com/office/drawing/2008/diagram">
      <dsp:dataModelExt xmlns:dsp="http://schemas.microsoft.com/office/drawing/2008/diagram" relId="rId17"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3.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microsoft.com/office/officeart/2005/8/layout/hList1">
  <dgm:title val=""/>
  <dgm:desc val=""/>
  <dgm:catLst>
    <dgm:cat type="list" pri="5000"/>
    <dgm:cat type="convert" pri="5000"/>
  </dgm:catLst>
  <dgm:sampData>
    <dgm:dataModel>
      <dgm:ptLst>
        <dgm:pt modelId="0" type="doc"/>
        <dgm:pt modelId="1">
          <dgm:prSet phldr="1"/>
        </dgm:pt>
        <dgm:pt modelId="11">
          <dgm:prSet phldr="1"/>
        </dgm:pt>
        <dgm:pt modelId="12">
          <dgm:prSet phldr="1"/>
        </dgm:pt>
        <dgm:pt modelId="2">
          <dgm:prSet phldr="1"/>
        </dgm:pt>
        <dgm:pt modelId="21">
          <dgm:prSet phldr="1"/>
        </dgm:pt>
        <dgm:pt modelId="22">
          <dgm:prSet phldr="1"/>
        </dgm:pt>
        <dgm:pt modelId="3">
          <dgm:prSet phldr="1"/>
        </dgm:pt>
        <dgm:pt modelId="31">
          <dgm:prSet phldr="1"/>
        </dgm:pt>
        <dgm:pt modelId="32">
          <dgm:prSet phldr="1"/>
        </dgm:pt>
      </dgm:ptLst>
      <dgm:cxnLst>
        <dgm:cxn modelId="4" srcId="0" destId="1" srcOrd="0" destOrd="0"/>
        <dgm:cxn modelId="5" srcId="0" destId="2" srcOrd="1" destOrd="0"/>
        <dgm:cxn modelId="6" srcId="0" destId="3" srcOrd="2" destOrd="0"/>
        <dgm:cxn modelId="13" srcId="1" destId="11" srcOrd="0" destOrd="0"/>
        <dgm:cxn modelId="14" srcId="1" destId="12" srcOrd="1" destOrd="0"/>
        <dgm:cxn modelId="23" srcId="2" destId="21" srcOrd="0" destOrd="0"/>
        <dgm:cxn modelId="24" srcId="2" destId="22" srcOrd="1" destOrd="0"/>
        <dgm:cxn modelId="33" srcId="3" destId="31" srcOrd="0" destOrd="0"/>
        <dgm:cxn modelId="34" srcId="3" destId="32" srcOrd="1" destOrd="0"/>
      </dgm:cxnLst>
      <dgm:bg/>
      <dgm:whole/>
    </dgm:dataModel>
  </dgm:sampData>
  <dgm:styleData>
    <dgm:dataModel>
      <dgm:ptLst>
        <dgm:pt modelId="0" type="doc"/>
        <dgm:pt modelId="1">
          <dgm:prSet phldr="1"/>
        </dgm:pt>
        <dgm:pt modelId="2">
          <dgm:prSet phldr="1"/>
        </dgm:pt>
      </dgm:ptLst>
      <dgm:cxnLst>
        <dgm:cxn modelId="3" srcId="0" destId="1" srcOrd="0" destOrd="0"/>
        <dgm:cxn modelId="4" srcId="0" destId="2" srcOrd="1" destOrd="0"/>
      </dgm:cxnLst>
      <dgm:bg/>
      <dgm:whole/>
    </dgm:dataModel>
  </dgm:styleData>
  <dgm:clrData>
    <dgm:dataModel>
      <dgm:ptLst>
        <dgm:pt modelId="0" type="doc"/>
        <dgm:pt modelId="1">
          <dgm:prSet phldr="1"/>
        </dgm:pt>
        <dgm:pt modelId="2">
          <dgm:prSet phldr="1"/>
        </dgm:pt>
        <dgm:pt modelId="3">
          <dgm:prSet phldr="1"/>
        </dgm:pt>
        <dgm:pt modelId="4">
          <dgm:prSet phldr="1"/>
        </dgm:pt>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lin"/>
      </dgm:if>
      <dgm:else name="Name3">
        <dgm:alg type="lin">
          <dgm:param type="linDir" val="fromR"/>
        </dgm:alg>
      </dgm:else>
    </dgm:choose>
    <dgm:shape xmlns:r="http://schemas.openxmlformats.org/officeDocument/2006/relationships" r:blip="">
      <dgm:adjLst/>
    </dgm:shape>
    <dgm:presOf/>
    <dgm:constrLst>
      <dgm:constr type="h" for="ch" forName="composite" refType="h"/>
      <dgm:constr type="w" for="ch" forName="composite" refType="w"/>
      <dgm:constr type="w" for="des" forName="parTx"/>
      <dgm:constr type="h" for="des" forName="parTx" op="equ"/>
      <dgm:constr type="w" for="des" forName="desTx"/>
      <dgm:constr type="h" for="des" forName="desTx" op="equ"/>
      <dgm:constr type="primFontSz" for="des" forName="parTx" val="65"/>
      <dgm:constr type="secFontSz" for="des" forName="desTx" refType="primFontSz" refFor="des" refForName="parTx" op="equ"/>
      <dgm:constr type="h" for="des" forName="parTx" refType="primFontSz" refFor="des" refForName="parTx" fact="0.8"/>
      <dgm:constr type="h" for="des" forName="desTx" refType="primFontSz" refFor="des" refForName="parTx" fact="1.22"/>
      <dgm:constr type="w" for="ch" forName="space" refType="w" refFor="ch" refForName="composite" op="equ" fact="0.14"/>
    </dgm:constrLst>
    <dgm:ruleLst>
      <dgm:rule type="w" for="ch" forName="composite" val="0" fact="NaN" max="NaN"/>
      <dgm:rule type="primFontSz" for="des" forName="parTx" val="5" fact="NaN" max="NaN"/>
    </dgm:ruleLst>
    <dgm:forEach name="Name4" axis="ch" ptType="node">
      <dgm:layoutNode name="composite">
        <dgm:alg type="composite"/>
        <dgm:shape xmlns:r="http://schemas.openxmlformats.org/officeDocument/2006/relationships" r:blip="">
          <dgm:adjLst/>
        </dgm:shape>
        <dgm:presOf/>
        <dgm:constrLst>
          <dgm:constr type="l" for="ch" forName="parTx"/>
          <dgm:constr type="w" for="ch" forName="parTx" refType="w"/>
          <dgm:constr type="t" for="ch" forName="parTx"/>
          <dgm:constr type="l" for="ch" forName="desTx"/>
          <dgm:constr type="w" for="ch" forName="desTx" refType="w" refFor="ch" refForName="parTx"/>
          <dgm:constr type="t" for="ch" forName="desTx" refType="h" refFor="ch" refForName="parTx"/>
        </dgm:constrLst>
        <dgm:ruleLst>
          <dgm:rule type="h" val="INF" fact="NaN" max="NaN"/>
        </dgm:ruleLst>
        <dgm:layoutNode name="parTx" styleLbl="alignNode1">
          <dgm:varLst>
            <dgm:chMax val="0"/>
            <dgm:chPref val="0"/>
            <dgm:bulletEnabled val="1"/>
          </dgm:varLst>
          <dgm:alg type="tx"/>
          <dgm:shape xmlns:r="http://schemas.openxmlformats.org/officeDocument/2006/relationships" type="rect" r:blip="">
            <dgm:adjLst/>
          </dgm:shape>
          <dgm:presOf axis="self" ptType="node"/>
          <dgm:constrLst>
            <dgm:constr type="h" refType="w" op="lte" fact="0.4"/>
            <dgm:constr type="h"/>
            <dgm:constr type="tMarg" refType="primFontSz" fact="0.32"/>
            <dgm:constr type="bMarg" refType="primFontSz" fact="0.32"/>
          </dgm:constrLst>
          <dgm:ruleLst>
            <dgm:rule type="h" val="INF" fact="NaN" max="NaN"/>
          </dgm:ruleLst>
        </dgm:layoutNode>
        <dgm:layoutNode name="desTx" styleLbl="alignAccFollowNode1">
          <dgm:varLst>
            <dgm:bulletEnabled val="1"/>
          </dgm:varLst>
          <dgm:alg type="tx">
            <dgm:param type="stBulletLvl" val="1"/>
          </dgm:alg>
          <dgm:shape xmlns:r="http://schemas.openxmlformats.org/officeDocument/2006/relationships" type="rect" r:blip="">
            <dgm:adjLst/>
          </dgm:shape>
          <dgm:presOf axis="des" ptType="node"/>
          <dgm:constrLst>
            <dgm:constr type="secFontSz" val="65"/>
            <dgm:constr type="primFontSz" refType="secFontSz"/>
            <dgm:constr type="h"/>
            <dgm:constr type="lMarg" refType="primFontSz" fact="0.42"/>
            <dgm:constr type="tMarg" refType="primFontSz" fact="0.42"/>
            <dgm:constr type="bMarg" refType="primFontSz" fact="0.63"/>
          </dgm:constrLst>
          <dgm:ruleLst>
            <dgm:rule type="h" val="INF" fact="NaN" max="NaN"/>
          </dgm:ruleLst>
        </dgm:layoutNode>
      </dgm:layoutNode>
      <dgm:forEach name="Name5" axis="followSib" ptType="sibTrans" cnt="1">
        <dgm:layoutNode name="space">
          <dgm:alg type="sp"/>
          <dgm:shape xmlns:r="http://schemas.openxmlformats.org/officeDocument/2006/relationships" r:blip="">
            <dgm:adjLst/>
          </dgm:shape>
          <dgm:presOf/>
          <dgm:constrLst/>
          <dgm:ruleLst/>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5/8/layout/process3">
  <dgm:title val=""/>
  <dgm:desc val=""/>
  <dgm:catLst>
    <dgm:cat type="process" pri="2000"/>
  </dgm:catLst>
  <dgm:sampData>
    <dgm:dataModel>
      <dgm:ptLst>
        <dgm:pt modelId="0" type="doc"/>
        <dgm:pt modelId="1">
          <dgm:prSet phldr="1"/>
        </dgm:pt>
        <dgm:pt modelId="11">
          <dgm:prSet phldr="1"/>
        </dgm:pt>
        <dgm:pt modelId="2">
          <dgm:prSet phldr="1"/>
        </dgm:pt>
        <dgm:pt modelId="21">
          <dgm:prSet phldr="1"/>
        </dgm:pt>
        <dgm:pt modelId="3">
          <dgm:prSet phldr="1"/>
        </dgm:pt>
        <dgm:pt modelId="31">
          <dgm:prSet phldr="1"/>
        </dgm:pt>
      </dgm:ptLst>
      <dgm:cxnLst>
        <dgm:cxn modelId="4" srcId="0" destId="1" srcOrd="0" destOrd="0"/>
        <dgm:cxn modelId="5" srcId="0" destId="2" srcOrd="1" destOrd="0"/>
        <dgm:cxn modelId="6" srcId="0" destId="3" srcOrd="3" destOrd="0"/>
        <dgm:cxn modelId="12" srcId="1" destId="11" srcOrd="0" destOrd="0"/>
        <dgm:cxn modelId="23" srcId="2" destId="21" srcOrd="0" destOrd="0"/>
        <dgm:cxn modelId="34" srcId="3" destId="31" srcOrd="0" destOrd="0"/>
      </dgm:cxnLst>
      <dgm:bg/>
      <dgm:whole/>
    </dgm:dataModel>
  </dgm:sampData>
  <dgm:styleData>
    <dgm:dataModel>
      <dgm:ptLst>
        <dgm:pt modelId="0" type="doc"/>
        <dgm:pt modelId="1">
          <dgm:prSet phldr="1"/>
        </dgm:pt>
        <dgm:pt modelId="11">
          <dgm:prSet phldr="1"/>
        </dgm:pt>
        <dgm:pt modelId="2">
          <dgm:prSet phldr="1"/>
        </dgm:pt>
        <dgm:pt modelId="21">
          <dgm:prSet phldr="1"/>
        </dgm:pt>
      </dgm:ptLst>
      <dgm:cxnLst>
        <dgm:cxn modelId="4" srcId="0" destId="1" srcOrd="0" destOrd="0"/>
        <dgm:cxn modelId="5" srcId="0" destId="2" srcOrd="1" destOrd="0"/>
        <dgm:cxn modelId="13" srcId="1" destId="11" srcOrd="0" destOrd="0"/>
        <dgm:cxn modelId="23" srcId="2" destId="21" srcOrd="0" destOrd="0"/>
      </dgm:cxnLst>
      <dgm:bg/>
      <dgm:whole/>
    </dgm:dataModel>
  </dgm:styleData>
  <dgm:clrData>
    <dgm:dataModel>
      <dgm:ptLst>
        <dgm:pt modelId="0" type="doc"/>
        <dgm:pt modelId="1">
          <dgm:prSet phldr="1"/>
        </dgm:pt>
        <dgm:pt modelId="11">
          <dgm:prSet phldr="1"/>
        </dgm:pt>
        <dgm:pt modelId="2">
          <dgm:prSet phldr="1"/>
        </dgm:pt>
        <dgm:pt modelId="21">
          <dgm:prSet phldr="1"/>
        </dgm:pt>
        <dgm:pt modelId="3">
          <dgm:prSet phldr="1"/>
        </dgm:pt>
        <dgm:pt modelId="31">
          <dgm:prSet phldr="1"/>
        </dgm:pt>
        <dgm:pt modelId="4">
          <dgm:prSet phldr="1"/>
        </dgm:pt>
        <dgm:pt modelId="41">
          <dgm:prSet phldr="1"/>
        </dgm:pt>
      </dgm:ptLst>
      <dgm:cxnLst>
        <dgm:cxn modelId="5" srcId="0" destId="1" srcOrd="0" destOrd="0"/>
        <dgm:cxn modelId="6" srcId="0" destId="2" srcOrd="1" destOrd="0"/>
        <dgm:cxn modelId="7" srcId="0" destId="3" srcOrd="2" destOrd="0"/>
        <dgm:cxn modelId="8" srcId="0" destId="4" srcOrd="3" destOrd="0"/>
        <dgm:cxn modelId="13" srcId="1" destId="11" srcOrd="0" destOrd="0"/>
        <dgm:cxn modelId="23" srcId="2" destId="21" srcOrd="0" destOrd="0"/>
        <dgm:cxn modelId="33" srcId="3" destId="31" srcOrd="0" destOrd="0"/>
        <dgm:cxn modelId="43" srcId="4" destId="41" srcOrd="0" destOrd="0"/>
      </dgm:cxnLst>
      <dgm:bg/>
      <dgm:whole/>
    </dgm:dataModel>
  </dgm:clrData>
  <dgm:layoutNode name="linearFlow">
    <dgm:varLst>
      <dgm:dir/>
      <dgm:animLvl val="lvl"/>
      <dgm:resizeHandles val="exact"/>
    </dgm:varLst>
    <dgm:choose name="Name0">
      <dgm:if name="Name1" func="var" arg="dir" op="equ" val="norm">
        <dgm:alg type="lin"/>
      </dgm:if>
      <dgm:else name="Name2">
        <dgm:alg type="lin">
          <dgm:param type="linDir" val="fromR"/>
        </dgm:alg>
      </dgm:else>
    </dgm:choose>
    <dgm:shape xmlns:r="http://schemas.openxmlformats.org/officeDocument/2006/relationships" r:blip="">
      <dgm:adjLst/>
    </dgm:shape>
    <dgm:presOf/>
    <dgm:constrLst>
      <dgm:constr type="w" for="ch" forName="composite" refType="w"/>
      <dgm:constr type="w" for="ch" ptType="sibTrans" refType="w" refFor="ch" refForName="composite" fact="0.3333"/>
      <dgm:constr type="w" for="des" forName="parTx"/>
      <dgm:constr type="h" for="des" forName="parTx" op="equ"/>
      <dgm:constr type="h" for="des" forName="parSh" op="equ"/>
      <dgm:constr type="w" for="des" forName="desTx"/>
      <dgm:constr type="h" for="des" forName="desTx" op="equ"/>
      <dgm:constr type="w" for="des" forName="parSh"/>
      <dgm:constr type="primFontSz" for="des" forName="parTx" val="65"/>
      <dgm:constr type="secFontSz" for="des" forName="desTx" refType="primFontSz" refFor="des" refForName="parTx" op="equ"/>
      <dgm:constr type="primFontSz" for="des" forName="connTx" refType="primFontSz" refFor="des" refForName="parTx" fact="0.8"/>
      <dgm:constr type="primFontSz" for="des" forName="connTx" refType="primFontSz" refFor="des" refForName="parTx" op="lte" fact="0.8"/>
      <dgm:constr type="h" for="des" forName="parTx" refType="primFontSz" refFor="des" refForName="parTx" fact="0.8"/>
      <dgm:constr type="h" for="des" forName="parSh" refType="primFontSz" refFor="des" refForName="parTx" fact="1.2"/>
      <dgm:constr type="h" for="des" forName="desTx" refType="primFontSz" refFor="des" refForName="parTx" fact="1.6"/>
      <dgm:constr type="h" for="des" forName="parSh" refType="h" refFor="des" refForName="parTx" op="lte" fact="1.5"/>
      <dgm:constr type="h" for="des" forName="parSh" refType="h" refFor="des" refForName="parTx" op="gte" fact="1.5"/>
    </dgm:constrLst>
    <dgm:ruleLst>
      <dgm:rule type="w" for="ch" forName="composite" val="0" fact="NaN" max="NaN"/>
      <dgm:rule type="primFontSz" for="des" forName="parTx" val="5" fact="NaN" max="NaN"/>
    </dgm:ruleLst>
    <dgm:forEach name="Name3" axis="ch" ptType="node">
      <dgm:layoutNode name="composite">
        <dgm:alg type="composite"/>
        <dgm:shape xmlns:r="http://schemas.openxmlformats.org/officeDocument/2006/relationships" r:blip="">
          <dgm:adjLst/>
        </dgm:shape>
        <dgm:presOf/>
        <dgm:choose name="Name4">
          <dgm:if name="Name5" func="var" arg="dir" op="equ" val="norm">
            <dgm:constrLst>
              <dgm:constr type="h" refType="w" fact="1000"/>
              <dgm:constr type="l" for="ch" forName="parTx"/>
              <dgm:constr type="w" for="ch" forName="parTx" refType="w" fact="0.83"/>
              <dgm:constr type="t" for="ch" forName="parTx"/>
              <dgm:constr type="l" for="ch" forName="parSh"/>
              <dgm:constr type="w" for="ch" forName="parSh" refType="w" refFor="ch" refForName="parTx"/>
              <dgm:constr type="t" for="ch" forName="parSh"/>
              <dgm:constr type="l" for="ch" forName="desTx" refType="w" fact="0.17"/>
              <dgm:constr type="w" for="ch" forName="desTx" refType="w" refFor="ch" refForName="parTx"/>
              <dgm:constr type="t" for="ch" forName="desTx" refType="h" refFor="ch" refForName="parTx"/>
            </dgm:constrLst>
          </dgm:if>
          <dgm:else name="Name6">
            <dgm:constrLst>
              <dgm:constr type="h" refType="w" fact="1000"/>
              <dgm:constr type="l" for="ch" forName="parTx" refType="w" fact="0.17"/>
              <dgm:constr type="w" for="ch" forName="parTx" refType="w" fact="0.83"/>
              <dgm:constr type="t" for="ch" forName="parTx"/>
              <dgm:constr type="l" for="ch" forName="parSh" refType="w" fact="0.15"/>
              <dgm:constr type="w" for="ch" forName="parSh" refType="w" refFor="ch" refForName="parTx"/>
              <dgm:constr type="t" for="ch" forName="parSh"/>
              <dgm:constr type="l" for="ch" forName="desTx"/>
              <dgm:constr type="w" for="ch" forName="desTx" refType="w" refFor="ch" refForName="parTx"/>
              <dgm:constr type="t" for="ch" forName="desTx" refType="h" refFor="ch" refForName="parTx"/>
            </dgm:constrLst>
          </dgm:else>
        </dgm:choose>
        <dgm:ruleLst>
          <dgm:rule type="h" val="INF" fact="NaN" max="NaN"/>
        </dgm:ruleLst>
        <dgm:layoutNode name="parTx">
          <dgm:varLst>
            <dgm:chMax val="0"/>
            <dgm:chPref val="0"/>
            <dgm:bulletEnabled val="1"/>
          </dgm:varLst>
          <dgm:alg type="tx">
            <dgm:param type="parTxLTRAlign" val="l"/>
            <dgm:param type="parTxRTLAlign" val="r"/>
            <dgm:param type="txAnchorVert" val="t"/>
          </dgm:alg>
          <dgm:shape xmlns:r="http://schemas.openxmlformats.org/officeDocument/2006/relationships" type="rect" r:blip="" zOrderOff="1" hideGeom="1">
            <dgm:adjLst>
              <dgm:adj idx="1" val="0.1"/>
            </dgm:adjLst>
          </dgm:shape>
          <dgm:presOf axis="self" ptType="node"/>
          <dgm:constrLst>
            <dgm:constr type="h" refType="w" op="lte" fact="0.4"/>
            <dgm:constr type="bMarg" refType="primFontSz" fact="0.3"/>
            <dgm:constr type="h"/>
          </dgm:constrLst>
          <dgm:ruleLst>
            <dgm:rule type="h" val="INF" fact="NaN" max="NaN"/>
          </dgm:ruleLst>
        </dgm:layoutNode>
        <dgm:layoutNode name="parSh">
          <dgm:alg type="sp"/>
          <dgm:shape xmlns:r="http://schemas.openxmlformats.org/officeDocument/2006/relationships" type="roundRect" r:blip="">
            <dgm:adjLst>
              <dgm:adj idx="1" val="0.1"/>
            </dgm:adjLst>
          </dgm:shape>
          <dgm:presOf axis="self" ptType="node"/>
          <dgm:constrLst>
            <dgm:constr type="h"/>
          </dgm:constrLst>
          <dgm:ruleLst/>
        </dgm:layoutNode>
        <dgm:layoutNode name="desTx" styleLbl="fgAcc1">
          <dgm:varLst>
            <dgm:bulletEnabled val="1"/>
          </dgm:varLst>
          <dgm:alg type="tx">
            <dgm:param type="stBulletLvl" val="1"/>
          </dgm:alg>
          <dgm:shape xmlns:r="http://schemas.openxmlformats.org/officeDocument/2006/relationships" type="roundRect" r:blip="">
            <dgm:adjLst>
              <dgm:adj idx="1" val="0.1"/>
            </dgm:adjLst>
          </dgm:shape>
          <dgm:presOf axis="des" ptType="node"/>
          <dgm:constrLst>
            <dgm:constr type="secFontSz" val="65"/>
            <dgm:constr type="primFontSz" refType="secFontSz"/>
            <dgm:constr type="h"/>
          </dgm:constrLst>
          <dgm:ruleLst>
            <dgm:rule type="h" val="INF" fact="NaN" max="NaN"/>
          </dgm:ruleLst>
        </dgm:layoutNode>
      </dgm:layoutNode>
      <dgm:forEach name="sibTransForEach" axis="followSib" ptType="sibTrans" cnt="1">
        <dgm:layoutNode name="sibTrans">
          <dgm:alg type="conn">
            <dgm:param type="begPts" val="auto"/>
            <dgm:param type="endPts" val="auto"/>
            <dgm:param type="srcNode" val="parTx"/>
            <dgm:param type="dstNode" val="parTx"/>
          </dgm:alg>
          <dgm:shape xmlns:r="http://schemas.openxmlformats.org/officeDocument/2006/relationships" type="conn" r:blip="">
            <dgm:adjLst/>
          </dgm:shape>
          <dgm:presOf axis="self"/>
          <dgm:constrLst>
            <dgm:constr type="h" refType="w" fact="0.62"/>
            <dgm:constr type="connDist"/>
            <dgm:constr type="begPad" refType="connDist" fact="0.25"/>
            <dgm:constr type="endPad" refType="connDist" fact="0.22"/>
          </dgm:constrLst>
          <dgm:ruleLst/>
          <dgm:layoutNode name="connTx">
            <dgm:alg type="tx">
              <dgm:param type="autoTxRot" val="grav"/>
            </dgm:alg>
            <dgm:shape xmlns:r="http://schemas.openxmlformats.org/officeDocument/2006/relationships" type="conn" r:blip="" hideGeom="1">
              <dgm:adjLst/>
            </dgm:shape>
            <dgm:presOf axis="self"/>
            <dgm:constrLst>
              <dgm:constr type="lMarg"/>
              <dgm:constr type="rMarg"/>
              <dgm:constr type="tMarg"/>
              <dgm:constr type="bMarg"/>
            </dgm:constrLst>
            <dgm:ruleLst>
              <dgm:rule type="primFontSz" val="5" fact="NaN" max="NaN"/>
            </dgm:ruleLst>
          </dgm:layoutNode>
        </dgm:layoutNode>
      </dgm:forEach>
    </dgm:forEach>
  </dgm:layoutNode>
</dgm:layoutDef>
</file>

<file path=xl/diagrams/layout3.xml><?xml version="1.0" encoding="utf-8"?>
<dgm:layoutDef xmlns:dgm="http://schemas.openxmlformats.org/drawingml/2006/diagram" xmlns:a="http://schemas.openxmlformats.org/drawingml/2006/main" uniqueId="urn:microsoft.com/office/officeart/2005/8/layout/radial3">
  <dgm:title val=""/>
  <dgm:desc val=""/>
  <dgm:catLst>
    <dgm:cat type="relationship" pri="31000"/>
    <dgm:cat type="cycle" pri="12000"/>
  </dgm:catLst>
  <dgm:sampData>
    <dgm:dataModel>
      <dgm:ptLst>
        <dgm:pt modelId="0" type="doc"/>
        <dgm:pt modelId="1">
          <dgm:prSet phldr="1"/>
        </dgm:pt>
        <dgm:pt modelId="11">
          <dgm:prSet phldr="1"/>
        </dgm:pt>
        <dgm:pt modelId="12">
          <dgm:prSet phldr="1"/>
        </dgm:pt>
        <dgm:pt modelId="13">
          <dgm:prSet phldr="1"/>
        </dgm:pt>
        <dgm:pt modelId="14">
          <dgm:prSet phldr="1"/>
        </dgm:pt>
      </dgm:ptLst>
      <dgm:cxnLst>
        <dgm:cxn modelId="2" srcId="0" destId="1" srcOrd="0" destOrd="0"/>
        <dgm:cxn modelId="3" srcId="1" destId="11" srcOrd="0" destOrd="0"/>
        <dgm:cxn modelId="4" srcId="1" destId="12" srcOrd="1" destOrd="0"/>
        <dgm:cxn modelId="5" srcId="1" destId="13" srcOrd="2" destOrd="0"/>
        <dgm:cxn modelId="6" srcId="1" destId="14" srcOrd="3" destOrd="0"/>
      </dgm:cxnLst>
      <dgm:bg/>
      <dgm:whole/>
    </dgm:dataModel>
  </dgm:sampData>
  <dgm:styleData>
    <dgm:dataModel>
      <dgm:ptLst>
        <dgm:pt modelId="0" type="doc"/>
        <dgm:pt modelId="1"/>
        <dgm:pt modelId="11"/>
        <dgm:pt modelId="12"/>
        <dgm:pt modelId="13"/>
      </dgm:ptLst>
      <dgm:cxnLst>
        <dgm:cxn modelId="2" srcId="0" destId="1" srcOrd="0" destOrd="0"/>
        <dgm:cxn modelId="15" srcId="1" destId="11" srcOrd="0" destOrd="0"/>
        <dgm:cxn modelId="16" srcId="1" destId="12" srcOrd="1" destOrd="0"/>
        <dgm:cxn modelId="17" srcId="1" destId="13" srcOrd="2" destOrd="0"/>
      </dgm:cxnLst>
      <dgm:bg/>
      <dgm:whole/>
    </dgm:dataModel>
  </dgm:styleData>
  <dgm:clrData>
    <dgm:dataModel>
      <dgm:ptLst>
        <dgm:pt modelId="0" type="doc"/>
        <dgm:pt modelId="1"/>
        <dgm:pt modelId="11"/>
        <dgm:pt modelId="12"/>
        <dgm:pt modelId="13"/>
        <dgm:pt modelId="14"/>
        <dgm:pt modelId="15"/>
        <dgm:pt modelId="16"/>
      </dgm:ptLst>
      <dgm:cxnLst>
        <dgm:cxn modelId="2" srcId="0" destId="1" srcOrd="0" destOrd="0"/>
        <dgm:cxn modelId="16" srcId="1" destId="11" srcOrd="0" destOrd="0"/>
        <dgm:cxn modelId="17" srcId="1" destId="12" srcOrd="1" destOrd="0"/>
        <dgm:cxn modelId="18" srcId="1" destId="13" srcOrd="2" destOrd="0"/>
        <dgm:cxn modelId="19" srcId="1" destId="14" srcOrd="3" destOrd="0"/>
        <dgm:cxn modelId="20" srcId="1" destId="15" srcOrd="4" destOrd="0"/>
        <dgm:cxn modelId="21" srcId="1" destId="16" srcOrd="5" destOrd="0"/>
      </dgm:cxnLst>
      <dgm:bg/>
      <dgm:whole/>
    </dgm:dataModel>
  </dgm:clrData>
  <dgm:layoutNode name="composite">
    <dgm:varLst>
      <dgm:chMax val="1"/>
      <dgm:dir/>
      <dgm:resizeHandles val="exact"/>
    </dgm:varLst>
    <dgm:alg type="composite">
      <dgm:param type="ar" val="1"/>
    </dgm:alg>
    <dgm:shape xmlns:r="http://schemas.openxmlformats.org/officeDocument/2006/relationships" r:blip="">
      <dgm:adjLst/>
    </dgm:shape>
    <dgm:presOf/>
    <dgm:constrLst/>
    <dgm:ruleLst/>
    <dgm:layoutNode name="radial">
      <dgm:varLst>
        <dgm:animLvl val="ctr"/>
      </dgm:varLst>
      <dgm:choose name="Name0">
        <dgm:if name="Name1" func="var" arg="dir" op="equ" val="norm">
          <dgm:choose name="Name2">
            <dgm:if name="Name3" axis="ch ch" ptType="node node" st="1 1" cnt="1 0" func="cnt" op="lte" val="1">
              <dgm:alg type="cycle">
                <dgm:param type="stAng" val="90"/>
                <dgm:param type="spanAng" val="360"/>
                <dgm:param type="ctrShpMap" val="fNode"/>
              </dgm:alg>
            </dgm:if>
            <dgm:else name="Name4">
              <dgm:alg type="cycle">
                <dgm:param type="stAng" val="0"/>
                <dgm:param type="spanAng" val="360"/>
                <dgm:param type="ctrShpMap" val="fNode"/>
              </dgm:alg>
            </dgm:else>
          </dgm:choose>
        </dgm:if>
        <dgm:else name="Name5">
          <dgm:alg type="cycle">
            <dgm:param type="stAng" val="0"/>
            <dgm:param type="spanAng" val="-360"/>
            <dgm:param type="ctrShpMap" val="fNode"/>
          </dgm:alg>
        </dgm:else>
      </dgm:choose>
      <dgm:shape xmlns:r="http://schemas.openxmlformats.org/officeDocument/2006/relationships" r:blip="">
        <dgm:adjLst/>
      </dgm:shape>
      <dgm:presOf/>
      <dgm:constrLst>
        <dgm:constr type="w" for="ch" forName="centerShape" refType="w"/>
        <dgm:constr type="h" for="ch" forName="centerShape" refType="h"/>
        <dgm:constr type="w" for="ch" forName="node" refType="w" fact="0.5"/>
        <dgm:constr type="h" for="ch" forName="node" refType="h" fact="0.5"/>
        <dgm:constr type="sp" refType="w" refFor="ch" refForName="node" fact="-0.2"/>
        <dgm:constr type="sibSp" refType="w" refFor="ch" refForName="node" fact="-0.2"/>
        <dgm:constr type="primFontSz" for="ch" forName="centerShape" val="65"/>
        <dgm:constr type="primFontSz" for="des" forName="node" val="65"/>
        <dgm:constr type="primFontSz" for="ch" forName="node" refType="primFontSz" refFor="ch" refForName="centerShape" op="lte"/>
      </dgm:constrLst>
      <dgm:ruleLst/>
      <dgm:forEach name="Name6" axis="ch" ptType="node" cnt="1">
        <dgm:layoutNode name="centerShape" styleLbl="vennNode1">
          <dgm:alg type="tx"/>
          <dgm:shape xmlns:r="http://schemas.openxmlformats.org/officeDocument/2006/relationships" type="ellipse" r:blip="">
            <dgm:adjLst/>
          </dgm:shape>
          <dgm:presOf axis="self"/>
          <dgm:constrLst>
            <dgm:constr type="tMarg" refType="primFontSz" fact="0.1"/>
            <dgm:constr type="bMarg" refType="primFontSz" fact="0.1"/>
            <dgm:constr type="lMarg" refType="primFontSz" fact="0.1"/>
            <dgm:constr type="rMarg" refType="primFontSz" fact="0.1"/>
          </dgm:constrLst>
          <dgm:ruleLst>
            <dgm:rule type="primFontSz" val="5" fact="NaN" max="NaN"/>
          </dgm:ruleLst>
        </dgm:layoutNode>
        <dgm:forEach name="Name7" axis="ch" ptType="node">
          <dgm:layoutNode name="node" styleLbl="vennNode1">
            <dgm:varLst>
              <dgm:bulletEnabled val="1"/>
            </dgm:varLst>
            <dgm:alg type="tx">
              <dgm:param type="txAnchorVertCh" val="mid"/>
            </dgm:alg>
            <dgm:shape xmlns:r="http://schemas.openxmlformats.org/officeDocument/2006/relationships" type="ellipse" r:blip="">
              <dgm:adjLst/>
            </dgm:shape>
            <dgm:presOf axis="desOrSelf" ptType="node"/>
            <dgm:constrLst>
              <dgm:constr type="tMarg" refType="primFontSz" fact="0.1"/>
              <dgm:constr type="bMarg" refType="primFontSz" fact="0.1"/>
              <dgm:constr type="lMarg" refType="primFontSz" fact="0.1"/>
              <dgm:constr type="rMarg" refType="primFontSz" fact="0.1"/>
            </dgm:constrLst>
            <dgm:ruleLst>
              <dgm:rule type="primFontSz" val="5" fact="NaN" max="NaN"/>
            </dgm:ruleLst>
          </dgm:layoutNode>
        </dgm:forEach>
      </dgm:forEach>
    </dgm:layoutNode>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3.xml><?xml version="1.0" encoding="utf-8"?>
<dgm:styleDef xmlns:dgm="http://schemas.openxmlformats.org/drawingml/2006/diagram" xmlns:a="http://schemas.openxmlformats.org/drawingml/2006/main" uniqueId="urn:microsoft.com/office/officeart/2005/8/quickstyle/simple3">
  <dgm:title val=""/>
  <dgm:desc val=""/>
  <dgm:catLst>
    <dgm:cat type="simple" pri="10300"/>
  </dgm:catLst>
  <dgm:scene3d>
    <a:camera prst="orthographicFront"/>
    <a:lightRig rig="threePt" dir="t"/>
  </dgm:scene3d>
  <dgm:styleLbl name="node0">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lnNode1">
    <dgm:scene3d>
      <a:camera prst="orthographicFront"/>
      <a:lightRig rig="flat" dir="t"/>
    </dgm:scene3d>
    <dgm:sp3d prstMaterial="dkEdge">
      <a:bevelT w="8200" h="38100"/>
    </dgm:sp3d>
    <dgm:txPr/>
    <dgm:style>
      <a:lnRef idx="1">
        <a:scrgbClr r="0" g="0" b="0"/>
      </a:lnRef>
      <a:fillRef idx="2">
        <a:scrgbClr r="0" g="0" b="0"/>
      </a:fillRef>
      <a:effectRef idx="0">
        <a:scrgbClr r="0" g="0" b="0"/>
      </a:effectRef>
      <a:fontRef idx="minor">
        <a:schemeClr val="dk1"/>
      </a:fontRef>
    </dgm:style>
  </dgm:styleLbl>
  <dgm:styleLbl name="vennNode1">
    <dgm:scene3d>
      <a:camera prst="orthographicFront"/>
      <a:lightRig rig="flat" dir="t"/>
    </dgm:scene3d>
    <dgm:sp3d prstMaterial="dkEdge">
      <a:bevelT w="8200" h="38100"/>
    </dgm:sp3d>
    <dgm:txPr/>
    <dgm:style>
      <a:lnRef idx="0">
        <a:scrgbClr r="0" g="0" b="0"/>
      </a:lnRef>
      <a:fillRef idx="2">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1">
        <a:scrgbClr r="0" g="0" b="0"/>
      </a:lnRef>
      <a:fillRef idx="2">
        <a:scrgbClr r="0" g="0" b="0"/>
      </a:fillRef>
      <a:effectRef idx="1">
        <a:scrgbClr r="0" g="0" b="0"/>
      </a:effectRef>
      <a:fontRef idx="minor">
        <a:schemeClr val="dk1"/>
      </a:fontRef>
    </dgm:style>
  </dgm:styleLbl>
  <dgm:styleLbl name="node1">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node2">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node3">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node4">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fgImgPlace1">
    <dgm:scene3d>
      <a:camera prst="orthographicFront"/>
      <a:lightRig rig="threePt" dir="t"/>
    </dgm:scene3d>
    <dgm:sp3d/>
    <dgm:txPr/>
    <dgm:style>
      <a:lnRef idx="1">
        <a:scrgbClr r="0" g="0" b="0"/>
      </a:lnRef>
      <a:fillRef idx="1">
        <a:scrgbClr r="0" g="0" b="0"/>
      </a:fillRef>
      <a:effectRef idx="1">
        <a:scrgbClr r="0" g="0" b="0"/>
      </a:effectRef>
      <a:fontRef idx="minor"/>
    </dgm:style>
  </dgm:styleLbl>
  <dgm:styleLbl name="alignImgPlace1">
    <dgm:scene3d>
      <a:camera prst="orthographicFront"/>
      <a:lightRig rig="threePt" dir="t"/>
    </dgm:scene3d>
    <dgm:sp3d/>
    <dgm:txPr/>
    <dgm:style>
      <a:lnRef idx="1">
        <a:scrgbClr r="0" g="0" b="0"/>
      </a:lnRef>
      <a:fillRef idx="1">
        <a:scrgbClr r="0" g="0" b="0"/>
      </a:fillRef>
      <a:effectRef idx="1">
        <a:scrgbClr r="0" g="0" b="0"/>
      </a:effectRef>
      <a:fontRef idx="minor"/>
    </dgm:style>
  </dgm:styleLbl>
  <dgm:styleLbl name="bgImgPlace1">
    <dgm:scene3d>
      <a:camera prst="orthographicFront"/>
      <a:lightRig rig="threePt" dir="t"/>
    </dgm:scene3d>
    <dgm:sp3d/>
    <dgm:txPr/>
    <dgm:style>
      <a:lnRef idx="1">
        <a:scrgbClr r="0" g="0" b="0"/>
      </a:lnRef>
      <a:fillRef idx="1">
        <a:scrgbClr r="0" g="0" b="0"/>
      </a:fillRef>
      <a:effectRef idx="1">
        <a:scrgbClr r="0" g="0" b="0"/>
      </a:effectRef>
      <a:fontRef idx="minor"/>
    </dgm:style>
  </dgm:styleLbl>
  <dgm:styleLbl name="sibTrans2D1">
    <dgm:scene3d>
      <a:camera prst="orthographicFront"/>
      <a:lightRig rig="threePt" dir="t"/>
    </dgm:scene3d>
    <dgm:sp3d/>
    <dgm:txPr/>
    <dgm:style>
      <a:lnRef idx="0">
        <a:scrgbClr r="0" g="0" b="0"/>
      </a:lnRef>
      <a:fillRef idx="2">
        <a:scrgbClr r="0" g="0" b="0"/>
      </a:fillRef>
      <a:effectRef idx="1">
        <a:scrgbClr r="0" g="0" b="0"/>
      </a:effectRef>
      <a:fontRef idx="minor">
        <a:schemeClr val="dk1"/>
      </a:fontRef>
    </dgm:style>
  </dgm:styleLbl>
  <dgm:styleLbl name="fgSibTrans2D1">
    <dgm:scene3d>
      <a:camera prst="orthographicFront"/>
      <a:lightRig rig="threePt" dir="t"/>
    </dgm:scene3d>
    <dgm:sp3d/>
    <dgm:txPr/>
    <dgm:style>
      <a:lnRef idx="0">
        <a:scrgbClr r="0" g="0" b="0"/>
      </a:lnRef>
      <a:fillRef idx="2">
        <a:scrgbClr r="0" g="0" b="0"/>
      </a:fillRef>
      <a:effectRef idx="1">
        <a:scrgbClr r="0" g="0" b="0"/>
      </a:effectRef>
      <a:fontRef idx="minor">
        <a:schemeClr val="dk1"/>
      </a:fontRef>
    </dgm:style>
  </dgm:styleLbl>
  <dgm:styleLbl name="bgSibTrans2D1">
    <dgm:scene3d>
      <a:camera prst="orthographicFront"/>
      <a:lightRig rig="threePt" dir="t"/>
    </dgm:scene3d>
    <dgm:sp3d/>
    <dgm:txPr/>
    <dgm:style>
      <a:lnRef idx="0">
        <a:scrgbClr r="0" g="0" b="0"/>
      </a:lnRef>
      <a:fillRef idx="2">
        <a:scrgbClr r="0" g="0" b="0"/>
      </a:fillRef>
      <a:effectRef idx="1">
        <a:scrgbClr r="0" g="0" b="0"/>
      </a:effectRef>
      <a:fontRef idx="minor">
        <a:schemeClr val="dk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2">
        <a:scrgbClr r="0" g="0" b="0"/>
      </a:fillRef>
      <a:effectRef idx="1">
        <a:scrgbClr r="0" g="0" b="0"/>
      </a:effectRef>
      <a:fontRef idx="minor"/>
    </dgm:style>
  </dgm:styleLbl>
  <dgm:styleLbl name="asst0">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asst1">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asst2">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asst3">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asst4">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parChTrans2D1">
    <dgm:scene3d>
      <a:camera prst="orthographicFront"/>
      <a:lightRig rig="threePt" dir="t"/>
    </dgm:scene3d>
    <dgm:sp3d/>
    <dgm:txPr/>
    <dgm:style>
      <a:lnRef idx="1">
        <a:scrgbClr r="0" g="0" b="0"/>
      </a:lnRef>
      <a:fillRef idx="2">
        <a:scrgbClr r="0" g="0" b="0"/>
      </a:fillRef>
      <a:effectRef idx="1">
        <a:scrgbClr r="0" g="0" b="0"/>
      </a:effectRef>
      <a:fontRef idx="minor">
        <a:schemeClr val="dk1"/>
      </a:fontRef>
    </dgm:style>
  </dgm:styleLbl>
  <dgm:styleLbl name="parChTrans2D2">
    <dgm:scene3d>
      <a:camera prst="orthographicFront"/>
      <a:lightRig rig="threePt" dir="t"/>
    </dgm:scene3d>
    <dgm:sp3d/>
    <dgm:txPr/>
    <dgm:style>
      <a:lnRef idx="1">
        <a:scrgbClr r="0" g="0" b="0"/>
      </a:lnRef>
      <a:fillRef idx="2">
        <a:scrgbClr r="0" g="0" b="0"/>
      </a:fillRef>
      <a:effectRef idx="1">
        <a:scrgbClr r="0" g="0" b="0"/>
      </a:effectRef>
      <a:fontRef idx="minor">
        <a:schemeClr val="dk1"/>
      </a:fontRef>
    </dgm:style>
  </dgm:styleLbl>
  <dgm:styleLbl name="parChTrans2D3">
    <dgm:scene3d>
      <a:camera prst="orthographicFront"/>
      <a:lightRig rig="threePt" dir="t"/>
    </dgm:scene3d>
    <dgm:sp3d/>
    <dgm:txPr/>
    <dgm:style>
      <a:lnRef idx="1">
        <a:scrgbClr r="0" g="0" b="0"/>
      </a:lnRef>
      <a:fillRef idx="2">
        <a:scrgbClr r="0" g="0" b="0"/>
      </a:fillRef>
      <a:effectRef idx="1">
        <a:scrgbClr r="0" g="0" b="0"/>
      </a:effectRef>
      <a:fontRef idx="minor">
        <a:schemeClr val="dk1"/>
      </a:fontRef>
    </dgm:style>
  </dgm:styleLbl>
  <dgm:styleLbl name="parChTrans2D4">
    <dgm:scene3d>
      <a:camera prst="orthographicFront"/>
      <a:lightRig rig="threePt" dir="t"/>
    </dgm:scene3d>
    <dgm:sp3d/>
    <dgm:txPr/>
    <dgm:style>
      <a:lnRef idx="1">
        <a:scrgbClr r="0" g="0" b="0"/>
      </a:lnRef>
      <a:fillRef idx="2">
        <a:scrgbClr r="0" g="0" b="0"/>
      </a:fillRef>
      <a:effectRef idx="1">
        <a:scrgbClr r="0" g="0" b="0"/>
      </a:effectRef>
      <a:fontRef idx="minor">
        <a:schemeClr val="dk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1">
        <a:scrgbClr r="0" g="0" b="0"/>
      </a:lnRef>
      <a:fillRef idx="2">
        <a:scrgbClr r="0" g="0" b="0"/>
      </a:fillRef>
      <a:effectRef idx="0">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1">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1">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flat" dir="t"/>
    </dgm:scene3d>
    <dgm:sp3d prstMaterial="dkEdge">
      <a:bevelT w="8200" h="38100"/>
    </dgm:sp3d>
    <dgm:txPr/>
    <dgm:style>
      <a:lnRef idx="1">
        <a:scrgbClr r="0" g="0" b="0"/>
      </a:lnRef>
      <a:fillRef idx="2">
        <a:scrgbClr r="0" g="0" b="0"/>
      </a:fillRef>
      <a:effectRef idx="1">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8" Type="http://schemas.openxmlformats.org/officeDocument/2006/relationships/diagramData" Target="../diagrams/data2.xml"/><Relationship Id="rId13" Type="http://schemas.openxmlformats.org/officeDocument/2006/relationships/diagramData" Target="../diagrams/data3.xml"/><Relationship Id="rId3" Type="http://schemas.openxmlformats.org/officeDocument/2006/relationships/diagramData" Target="../diagrams/data1.xml"/><Relationship Id="rId7" Type="http://schemas.microsoft.com/office/2007/relationships/diagramDrawing" Target="../diagrams/drawing1.xml"/><Relationship Id="rId12" Type="http://schemas.microsoft.com/office/2007/relationships/diagramDrawing" Target="../diagrams/drawing2.xml"/><Relationship Id="rId17" Type="http://schemas.microsoft.com/office/2007/relationships/diagramDrawing" Target="../diagrams/drawing3.xml"/><Relationship Id="rId2" Type="http://schemas.openxmlformats.org/officeDocument/2006/relationships/image" Target="../media/image2.png"/><Relationship Id="rId16" Type="http://schemas.openxmlformats.org/officeDocument/2006/relationships/diagramColors" Target="../diagrams/colors3.xml"/><Relationship Id="rId1" Type="http://schemas.openxmlformats.org/officeDocument/2006/relationships/image" Target="../media/image1.png"/><Relationship Id="rId6" Type="http://schemas.openxmlformats.org/officeDocument/2006/relationships/diagramColors" Target="../diagrams/colors1.xml"/><Relationship Id="rId11" Type="http://schemas.openxmlformats.org/officeDocument/2006/relationships/diagramColors" Target="../diagrams/colors2.xml"/><Relationship Id="rId5" Type="http://schemas.openxmlformats.org/officeDocument/2006/relationships/diagramQuickStyle" Target="../diagrams/quickStyle1.xml"/><Relationship Id="rId15" Type="http://schemas.openxmlformats.org/officeDocument/2006/relationships/diagramQuickStyle" Target="../diagrams/quickStyle3.xml"/><Relationship Id="rId10" Type="http://schemas.openxmlformats.org/officeDocument/2006/relationships/diagramQuickStyle" Target="../diagrams/quickStyle2.xml"/><Relationship Id="rId4" Type="http://schemas.openxmlformats.org/officeDocument/2006/relationships/diagramLayout" Target="../diagrams/layout1.xml"/><Relationship Id="rId9" Type="http://schemas.openxmlformats.org/officeDocument/2006/relationships/diagramLayout" Target="../diagrams/layout2.xml"/><Relationship Id="rId14" Type="http://schemas.openxmlformats.org/officeDocument/2006/relationships/diagramLayout" Target="../diagrams/layout3.xml"/></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1</xdr:col>
      <xdr:colOff>114301</xdr:colOff>
      <xdr:row>1</xdr:row>
      <xdr:rowOff>47625</xdr:rowOff>
    </xdr:from>
    <xdr:to>
      <xdr:col>2</xdr:col>
      <xdr:colOff>590550</xdr:colOff>
      <xdr:row>3</xdr:row>
      <xdr:rowOff>38100</xdr:rowOff>
    </xdr:to>
    <xdr:pic>
      <xdr:nvPicPr>
        <xdr:cNvPr id="2" name="Picture 1"/>
        <xdr:cNvPicPr>
          <a:picLocks noChangeAspect="1"/>
        </xdr:cNvPicPr>
      </xdr:nvPicPr>
      <xdr:blipFill>
        <a:blip xmlns:r="http://schemas.openxmlformats.org/officeDocument/2006/relationships" r:embed="rId1"/>
        <a:stretch>
          <a:fillRect/>
        </a:stretch>
      </xdr:blipFill>
      <xdr:spPr>
        <a:xfrm>
          <a:off x="190501" y="123825"/>
          <a:ext cx="1962149" cy="371475"/>
        </a:xfrm>
        <a:prstGeom prst="rect">
          <a:avLst/>
        </a:prstGeom>
      </xdr:spPr>
    </xdr:pic>
    <xdr:clientData/>
  </xdr:twoCellAnchor>
  <xdr:twoCellAnchor editAs="oneCell">
    <xdr:from>
      <xdr:col>6</xdr:col>
      <xdr:colOff>457200</xdr:colOff>
      <xdr:row>1</xdr:row>
      <xdr:rowOff>38102</xdr:rowOff>
    </xdr:from>
    <xdr:to>
      <xdr:col>6</xdr:col>
      <xdr:colOff>962025</xdr:colOff>
      <xdr:row>3</xdr:row>
      <xdr:rowOff>64612</xdr:rowOff>
    </xdr:to>
    <xdr:pic>
      <xdr:nvPicPr>
        <xdr:cNvPr id="6" name="Picture 5"/>
        <xdr:cNvPicPr>
          <a:picLocks noChangeAspect="1"/>
        </xdr:cNvPicPr>
      </xdr:nvPicPr>
      <xdr:blipFill>
        <a:blip xmlns:r="http://schemas.openxmlformats.org/officeDocument/2006/relationships" r:embed="rId2"/>
        <a:stretch>
          <a:fillRect/>
        </a:stretch>
      </xdr:blipFill>
      <xdr:spPr>
        <a:xfrm>
          <a:off x="7181850" y="114302"/>
          <a:ext cx="504825" cy="407510"/>
        </a:xfrm>
        <a:prstGeom prst="rect">
          <a:avLst/>
        </a:prstGeom>
      </xdr:spPr>
    </xdr:pic>
    <xdr:clientData/>
  </xdr:twoCellAnchor>
  <xdr:twoCellAnchor>
    <xdr:from>
      <xdr:col>6</xdr:col>
      <xdr:colOff>990600</xdr:colOff>
      <xdr:row>1</xdr:row>
      <xdr:rowOff>76200</xdr:rowOff>
    </xdr:from>
    <xdr:to>
      <xdr:col>6</xdr:col>
      <xdr:colOff>1638300</xdr:colOff>
      <xdr:row>3</xdr:row>
      <xdr:rowOff>114300</xdr:rowOff>
    </xdr:to>
    <xdr:sp macro="" textlink="">
      <xdr:nvSpPr>
        <xdr:cNvPr id="7" name="TextBox 6"/>
        <xdr:cNvSpPr txBox="1"/>
      </xdr:nvSpPr>
      <xdr:spPr>
        <a:xfrm>
          <a:off x="7715250" y="152400"/>
          <a:ext cx="647700" cy="4191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900" b="1"/>
            <a:t>Working As</a:t>
          </a:r>
          <a:r>
            <a:rPr lang="en-AU" sz="900" b="1" baseline="0"/>
            <a:t> One</a:t>
          </a:r>
          <a:endParaRPr lang="en-AU" sz="900" b="1"/>
        </a:p>
      </xdr:txBody>
    </xdr:sp>
    <xdr:clientData/>
  </xdr:twoCellAnchor>
  <xdr:twoCellAnchor>
    <xdr:from>
      <xdr:col>2</xdr:col>
      <xdr:colOff>981073</xdr:colOff>
      <xdr:row>8</xdr:row>
      <xdr:rowOff>47625</xdr:rowOff>
    </xdr:from>
    <xdr:to>
      <xdr:col>6</xdr:col>
      <xdr:colOff>1590675</xdr:colOff>
      <xdr:row>22</xdr:row>
      <xdr:rowOff>95251</xdr:rowOff>
    </xdr:to>
    <xdr:graphicFrame macro="">
      <xdr:nvGraphicFramePr>
        <xdr:cNvPr id="8" name="Diagram 7"/>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3" r:lo="rId4" r:qs="rId5" r:cs="rId6"/>
        </a:graphicData>
      </a:graphic>
    </xdr:graphicFrame>
    <xdr:clientData/>
  </xdr:twoCellAnchor>
  <xdr:twoCellAnchor>
    <xdr:from>
      <xdr:col>1</xdr:col>
      <xdr:colOff>38097</xdr:colOff>
      <xdr:row>21</xdr:row>
      <xdr:rowOff>161925</xdr:rowOff>
    </xdr:from>
    <xdr:to>
      <xdr:col>6</xdr:col>
      <xdr:colOff>1609724</xdr:colOff>
      <xdr:row>30</xdr:row>
      <xdr:rowOff>171450</xdr:rowOff>
    </xdr:to>
    <xdr:graphicFrame macro="">
      <xdr:nvGraphicFramePr>
        <xdr:cNvPr id="9" name="Diagram 8"/>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8" r:lo="rId9" r:qs="rId10" r:cs="rId11"/>
        </a:graphicData>
      </a:graphic>
    </xdr:graphicFrame>
    <xdr:clientData/>
  </xdr:twoCellAnchor>
  <xdr:twoCellAnchor>
    <xdr:from>
      <xdr:col>1</xdr:col>
      <xdr:colOff>47626</xdr:colOff>
      <xdr:row>9</xdr:row>
      <xdr:rowOff>152399</xdr:rowOff>
    </xdr:from>
    <xdr:to>
      <xdr:col>2</xdr:col>
      <xdr:colOff>714375</xdr:colOff>
      <xdr:row>20</xdr:row>
      <xdr:rowOff>33336</xdr:rowOff>
    </xdr:to>
    <xdr:graphicFrame macro="">
      <xdr:nvGraphicFramePr>
        <xdr:cNvPr id="10" name="Diagram 9"/>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3" r:lo="rId14" r:qs="rId15" r:cs="rId16"/>
        </a:graphicData>
      </a:graphic>
    </xdr:graphicFrame>
    <xdr:clientData/>
  </xdr:twoCellAnchor>
  <xdr:twoCellAnchor>
    <xdr:from>
      <xdr:col>0</xdr:col>
      <xdr:colOff>66674</xdr:colOff>
      <xdr:row>20</xdr:row>
      <xdr:rowOff>133350</xdr:rowOff>
    </xdr:from>
    <xdr:to>
      <xdr:col>1</xdr:col>
      <xdr:colOff>1476375</xdr:colOff>
      <xdr:row>22</xdr:row>
      <xdr:rowOff>28575</xdr:rowOff>
    </xdr:to>
    <xdr:sp macro="" textlink="">
      <xdr:nvSpPr>
        <xdr:cNvPr id="14" name="TextBox 13"/>
        <xdr:cNvSpPr txBox="1"/>
      </xdr:nvSpPr>
      <xdr:spPr>
        <a:xfrm>
          <a:off x="66674" y="3857625"/>
          <a:ext cx="1485901"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AU" sz="1100">
              <a:solidFill>
                <a:schemeClr val="dk1"/>
              </a:solidFill>
              <a:effectLst/>
              <a:latin typeface="+mn-lt"/>
              <a:ea typeface="+mn-ea"/>
              <a:cs typeface="+mn-cs"/>
            </a:rPr>
            <a:t>Test Designer's Guide</a:t>
          </a:r>
          <a:endParaRPr lang="en-AU">
            <a:effectLst/>
          </a:endParaRPr>
        </a:p>
        <a:p>
          <a:endParaRPr lang="en-AU" sz="1100"/>
        </a:p>
      </xdr:txBody>
    </xdr:sp>
    <xdr:clientData/>
  </xdr:twoCellAnchor>
  <xdr:twoCellAnchor>
    <xdr:from>
      <xdr:col>0</xdr:col>
      <xdr:colOff>47626</xdr:colOff>
      <xdr:row>8</xdr:row>
      <xdr:rowOff>76199</xdr:rowOff>
    </xdr:from>
    <xdr:to>
      <xdr:col>1</xdr:col>
      <xdr:colOff>1457327</xdr:colOff>
      <xdr:row>9</xdr:row>
      <xdr:rowOff>161924</xdr:rowOff>
    </xdr:to>
    <xdr:sp macro="" textlink="">
      <xdr:nvSpPr>
        <xdr:cNvPr id="15" name="TextBox 14"/>
        <xdr:cNvSpPr txBox="1"/>
      </xdr:nvSpPr>
      <xdr:spPr>
        <a:xfrm>
          <a:off x="47626" y="1514474"/>
          <a:ext cx="1485901"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AU" sz="1100">
              <a:solidFill>
                <a:schemeClr val="dk1"/>
              </a:solidFill>
              <a:effectLst/>
              <a:latin typeface="+mn-lt"/>
              <a:ea typeface="+mn-ea"/>
              <a:cs typeface="+mn-cs"/>
            </a:rPr>
            <a:t>Test Reviewer's Guide</a:t>
          </a:r>
          <a:endParaRPr lang="en-AU">
            <a:effectLst/>
          </a:endParaRPr>
        </a:p>
        <a:p>
          <a:endParaRPr lang="en-AU"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238125</xdr:colOff>
      <xdr:row>3</xdr:row>
      <xdr:rowOff>38100</xdr:rowOff>
    </xdr:from>
    <xdr:to>
      <xdr:col>8</xdr:col>
      <xdr:colOff>523230</xdr:colOff>
      <xdr:row>10</xdr:row>
      <xdr:rowOff>133171</xdr:rowOff>
    </xdr:to>
    <xdr:pic>
      <xdr:nvPicPr>
        <xdr:cNvPr id="2" name="Picture 1"/>
        <xdr:cNvPicPr>
          <a:picLocks noChangeAspect="1"/>
        </xdr:cNvPicPr>
      </xdr:nvPicPr>
      <xdr:blipFill>
        <a:blip xmlns:r="http://schemas.openxmlformats.org/officeDocument/2006/relationships" r:embed="rId1"/>
        <a:stretch>
          <a:fillRect/>
        </a:stretch>
      </xdr:blipFill>
      <xdr:spPr>
        <a:xfrm>
          <a:off x="238125" y="609600"/>
          <a:ext cx="5161905" cy="1428571"/>
        </a:xfrm>
        <a:prstGeom prst="rect">
          <a:avLst/>
        </a:prstGeom>
      </xdr:spPr>
    </xdr:pic>
    <xdr:clientData/>
  </xdr:twoCellAnchor>
  <xdr:twoCellAnchor editAs="oneCell">
    <xdr:from>
      <xdr:col>4</xdr:col>
      <xdr:colOff>590550</xdr:colOff>
      <xdr:row>12</xdr:row>
      <xdr:rowOff>38100</xdr:rowOff>
    </xdr:from>
    <xdr:to>
      <xdr:col>15</xdr:col>
      <xdr:colOff>351617</xdr:colOff>
      <xdr:row>17</xdr:row>
      <xdr:rowOff>161790</xdr:rowOff>
    </xdr:to>
    <xdr:pic>
      <xdr:nvPicPr>
        <xdr:cNvPr id="3" name="Picture 2"/>
        <xdr:cNvPicPr>
          <a:picLocks noChangeAspect="1"/>
        </xdr:cNvPicPr>
      </xdr:nvPicPr>
      <xdr:blipFill>
        <a:blip xmlns:r="http://schemas.openxmlformats.org/officeDocument/2006/relationships" r:embed="rId2"/>
        <a:stretch>
          <a:fillRect/>
        </a:stretch>
      </xdr:blipFill>
      <xdr:spPr>
        <a:xfrm>
          <a:off x="3028950" y="2324100"/>
          <a:ext cx="6466667" cy="1076190"/>
        </a:xfrm>
        <a:prstGeom prst="rect">
          <a:avLst/>
        </a:prstGeom>
      </xdr:spPr>
    </xdr:pic>
    <xdr:clientData/>
  </xdr:twoCellAnchor>
  <xdr:twoCellAnchor editAs="oneCell">
    <xdr:from>
      <xdr:col>9</xdr:col>
      <xdr:colOff>152400</xdr:colOff>
      <xdr:row>21</xdr:row>
      <xdr:rowOff>38100</xdr:rowOff>
    </xdr:from>
    <xdr:to>
      <xdr:col>18</xdr:col>
      <xdr:colOff>561238</xdr:colOff>
      <xdr:row>33</xdr:row>
      <xdr:rowOff>56862</xdr:rowOff>
    </xdr:to>
    <xdr:pic>
      <xdr:nvPicPr>
        <xdr:cNvPr id="4" name="Picture 3"/>
        <xdr:cNvPicPr>
          <a:picLocks noChangeAspect="1"/>
        </xdr:cNvPicPr>
      </xdr:nvPicPr>
      <xdr:blipFill>
        <a:blip xmlns:r="http://schemas.openxmlformats.org/officeDocument/2006/relationships" r:embed="rId3"/>
        <a:stretch>
          <a:fillRect/>
        </a:stretch>
      </xdr:blipFill>
      <xdr:spPr>
        <a:xfrm>
          <a:off x="5638800" y="4038600"/>
          <a:ext cx="5895238" cy="2304762"/>
        </a:xfrm>
        <a:prstGeom prst="rect">
          <a:avLst/>
        </a:prstGeom>
      </xdr:spPr>
    </xdr:pic>
    <xdr:clientData/>
  </xdr:twoCellAnchor>
  <xdr:twoCellAnchor editAs="oneCell">
    <xdr:from>
      <xdr:col>0</xdr:col>
      <xdr:colOff>85725</xdr:colOff>
      <xdr:row>21</xdr:row>
      <xdr:rowOff>28575</xdr:rowOff>
    </xdr:from>
    <xdr:to>
      <xdr:col>8</xdr:col>
      <xdr:colOff>408925</xdr:colOff>
      <xdr:row>25</xdr:row>
      <xdr:rowOff>95146</xdr:rowOff>
    </xdr:to>
    <xdr:pic>
      <xdr:nvPicPr>
        <xdr:cNvPr id="5" name="Picture 4"/>
        <xdr:cNvPicPr>
          <a:picLocks noChangeAspect="1"/>
        </xdr:cNvPicPr>
      </xdr:nvPicPr>
      <xdr:blipFill>
        <a:blip xmlns:r="http://schemas.openxmlformats.org/officeDocument/2006/relationships" r:embed="rId4"/>
        <a:stretch>
          <a:fillRect/>
        </a:stretch>
      </xdr:blipFill>
      <xdr:spPr>
        <a:xfrm>
          <a:off x="85725" y="4029075"/>
          <a:ext cx="5200000" cy="828571"/>
        </a:xfrm>
        <a:prstGeom prst="rect">
          <a:avLst/>
        </a:prstGeom>
      </xdr:spPr>
    </xdr:pic>
    <xdr:clientData/>
  </xdr:twoCellAnchor>
  <xdr:twoCellAnchor>
    <xdr:from>
      <xdr:col>7</xdr:col>
      <xdr:colOff>47625</xdr:colOff>
      <xdr:row>7</xdr:row>
      <xdr:rowOff>142875</xdr:rowOff>
    </xdr:from>
    <xdr:to>
      <xdr:col>8</xdr:col>
      <xdr:colOff>523875</xdr:colOff>
      <xdr:row>12</xdr:row>
      <xdr:rowOff>0</xdr:rowOff>
    </xdr:to>
    <xdr:cxnSp macro="">
      <xdr:nvCxnSpPr>
        <xdr:cNvPr id="7" name="Straight Arrow Connector 6"/>
        <xdr:cNvCxnSpPr/>
      </xdr:nvCxnSpPr>
      <xdr:spPr>
        <a:xfrm flipH="1">
          <a:off x="4314825" y="1476375"/>
          <a:ext cx="1085850" cy="8096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581025</xdr:colOff>
      <xdr:row>13</xdr:row>
      <xdr:rowOff>152400</xdr:rowOff>
    </xdr:from>
    <xdr:to>
      <xdr:col>10</xdr:col>
      <xdr:colOff>190500</xdr:colOff>
      <xdr:row>22</xdr:row>
      <xdr:rowOff>171450</xdr:rowOff>
    </xdr:to>
    <xdr:cxnSp macro="">
      <xdr:nvCxnSpPr>
        <xdr:cNvPr id="9" name="Elbow Connector 8"/>
        <xdr:cNvCxnSpPr/>
      </xdr:nvCxnSpPr>
      <xdr:spPr>
        <a:xfrm>
          <a:off x="3019425" y="2628900"/>
          <a:ext cx="3267075" cy="1733550"/>
        </a:xfrm>
        <a:prstGeom prst="bentConnector3">
          <a:avLst>
            <a:gd name="adj1" fmla="val 5991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352425</xdr:colOff>
      <xdr:row>14</xdr:row>
      <xdr:rowOff>57150</xdr:rowOff>
    </xdr:from>
    <xdr:to>
      <xdr:col>4</xdr:col>
      <xdr:colOff>485775</xdr:colOff>
      <xdr:row>22</xdr:row>
      <xdr:rowOff>104775</xdr:rowOff>
    </xdr:to>
    <xdr:cxnSp macro="">
      <xdr:nvCxnSpPr>
        <xdr:cNvPr id="8" name="Straight Arrow Connector 7"/>
        <xdr:cNvCxnSpPr/>
      </xdr:nvCxnSpPr>
      <xdr:spPr>
        <a:xfrm flipH="1">
          <a:off x="962025" y="2724150"/>
          <a:ext cx="1962150" cy="15716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CVSFS12\dcvsfs6-shared-61023466\Users\acr439\Desktop\Teaching%20Excel.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G:\FAMILIES_SYSTEMS_BRANCH_ADMIN_RESOURCES\PIT%20Testing\04%20Templates\01.%20Test%20Cases&amp;Scenarios%20Template\Archive\Test%20Cases&amp;Scenarios-Combined_Template_V12.0.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H:\HOB_IT\Releases\2013%20Releases\20130302%20March%20major%20release%20(W)\Testing\PIT%20Testing\Test%20Cases\Copy%20of%20TestCases_Letter%20Conversion_V0.1ARO%20comment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 Matrix"/>
      <sheetName val="FAETST Test Cases"/>
      <sheetName val="FTBEST DecisionTable"/>
      <sheetName val="Sheet1"/>
      <sheetName val="SA Comments"/>
      <sheetName val="Focus Points"/>
      <sheetName val="User Updates"/>
      <sheetName val="Version Control"/>
      <sheetName val="Control"/>
      <sheetName val="Instructions"/>
    </sheetNames>
    <sheetDataSet>
      <sheetData sheetId="0"/>
      <sheetData sheetId="1"/>
      <sheetData sheetId="2"/>
      <sheetData sheetId="3"/>
      <sheetData sheetId="4"/>
      <sheetData sheetId="5"/>
      <sheetData sheetId="6"/>
      <sheetData sheetId="7"/>
      <sheetData sheetId="8">
        <row r="2">
          <cell r="A2" t="str">
            <v>1-Critical</v>
          </cell>
          <cell r="B2" t="str">
            <v>Automating</v>
          </cell>
          <cell r="F2" t="str">
            <v>Y</v>
          </cell>
          <cell r="G2" t="str">
            <v>AAO388</v>
          </cell>
          <cell r="H2" t="str">
            <v>01</v>
          </cell>
        </row>
        <row r="3">
          <cell r="A3" t="str">
            <v>2-High</v>
          </cell>
          <cell r="B3" t="str">
            <v>Design</v>
          </cell>
          <cell r="F3" t="str">
            <v>N</v>
          </cell>
          <cell r="G3" t="str">
            <v>ACR439</v>
          </cell>
          <cell r="H3" t="str">
            <v>02</v>
          </cell>
        </row>
        <row r="4">
          <cell r="A4" t="str">
            <v>3-Medium</v>
          </cell>
          <cell r="B4" t="str">
            <v>Imported</v>
          </cell>
          <cell r="G4" t="str">
            <v>AGO333</v>
          </cell>
          <cell r="H4" t="str">
            <v>03</v>
          </cell>
        </row>
        <row r="5">
          <cell r="A5" t="str">
            <v>4-Low</v>
          </cell>
          <cell r="B5" t="str">
            <v>Ready</v>
          </cell>
          <cell r="G5" t="str">
            <v>ARM665</v>
          </cell>
          <cell r="H5" t="str">
            <v>04</v>
          </cell>
        </row>
        <row r="6">
          <cell r="A6" t="str">
            <v>5-Very Low</v>
          </cell>
          <cell r="B6" t="str">
            <v>Recorded</v>
          </cell>
          <cell r="G6" t="str">
            <v>BBO342</v>
          </cell>
          <cell r="H6" t="str">
            <v>05</v>
          </cell>
        </row>
        <row r="7">
          <cell r="B7" t="str">
            <v>Repair</v>
          </cell>
          <cell r="G7" t="str">
            <v>GKW268</v>
          </cell>
          <cell r="H7" t="str">
            <v>06</v>
          </cell>
        </row>
        <row r="8">
          <cell r="G8" t="str">
            <v>JGX395</v>
          </cell>
          <cell r="H8" t="str">
            <v>07</v>
          </cell>
        </row>
        <row r="9">
          <cell r="G9" t="str">
            <v>KBK903</v>
          </cell>
          <cell r="H9" t="str">
            <v>08</v>
          </cell>
        </row>
        <row r="10">
          <cell r="G10" t="str">
            <v>KGS422</v>
          </cell>
          <cell r="H10" t="str">
            <v>09</v>
          </cell>
        </row>
        <row r="11">
          <cell r="G11" t="str">
            <v>LMM338</v>
          </cell>
          <cell r="H11" t="str">
            <v>10</v>
          </cell>
        </row>
        <row r="12">
          <cell r="G12" t="str">
            <v>NJV439</v>
          </cell>
        </row>
        <row r="13">
          <cell r="G13" t="str">
            <v>OGH400</v>
          </cell>
        </row>
        <row r="14">
          <cell r="G14" t="str">
            <v>PBK432</v>
          </cell>
        </row>
        <row r="15">
          <cell r="G15" t="str">
            <v>PKO889</v>
          </cell>
        </row>
        <row r="16">
          <cell r="G16" t="str">
            <v>PLV214</v>
          </cell>
        </row>
        <row r="17">
          <cell r="G17" t="str">
            <v>PSM487</v>
          </cell>
        </row>
        <row r="18">
          <cell r="G18" t="str">
            <v>SCL283</v>
          </cell>
        </row>
        <row r="19">
          <cell r="G19" t="str">
            <v>SFK434</v>
          </cell>
        </row>
        <row r="20">
          <cell r="G20" t="str">
            <v>SGQ093</v>
          </cell>
        </row>
        <row r="21">
          <cell r="G21" t="str">
            <v>SHR875</v>
          </cell>
        </row>
        <row r="22">
          <cell r="G22" t="str">
            <v>SJP205</v>
          </cell>
        </row>
        <row r="23">
          <cell r="G23" t="str">
            <v>SMN624</v>
          </cell>
        </row>
        <row r="24">
          <cell r="G24" t="str">
            <v>SMO566</v>
          </cell>
        </row>
        <row r="25">
          <cell r="G25" t="str">
            <v>SMU369</v>
          </cell>
        </row>
        <row r="26">
          <cell r="G26" t="str">
            <v>SNC965</v>
          </cell>
        </row>
        <row r="27">
          <cell r="G27" t="str">
            <v>VFV338</v>
          </cell>
        </row>
        <row r="28">
          <cell r="G28" t="str">
            <v>VNW607</v>
          </cell>
        </row>
        <row r="29">
          <cell r="G29" t="str">
            <v>VPK544</v>
          </cell>
        </row>
        <row r="30">
          <cell r="G30" t="str">
            <v>Z_TBA</v>
          </cell>
        </row>
      </sheetData>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 Matrix"/>
      <sheetName val="Test Case"/>
      <sheetName val="Control"/>
      <sheetName val="Instructions"/>
      <sheetName val="Version Control"/>
      <sheetName val="User Updates"/>
    </sheetNames>
    <sheetDataSet>
      <sheetData sheetId="0"/>
      <sheetData sheetId="1">
        <row r="1">
          <cell r="A1" t="str">
            <v>DMR &amp; Task Description</v>
          </cell>
        </row>
      </sheetData>
      <sheetData sheetId="2">
        <row r="2">
          <cell r="A2" t="str">
            <v>1-Critical</v>
          </cell>
          <cell r="B2" t="str">
            <v>Automating</v>
          </cell>
          <cell r="E2" t="str">
            <v>01. Unit Test</v>
          </cell>
          <cell r="F2" t="str">
            <v>Y</v>
          </cell>
          <cell r="G2" t="str">
            <v>ACR439</v>
          </cell>
          <cell r="H2" t="str">
            <v>01</v>
          </cell>
        </row>
        <row r="3">
          <cell r="B3" t="str">
            <v>Design</v>
          </cell>
          <cell r="E3" t="str">
            <v>02. (PIT) Program Integration Test</v>
          </cell>
          <cell r="F3" t="str">
            <v>N</v>
          </cell>
          <cell r="G3" t="str">
            <v>ARM665</v>
          </cell>
          <cell r="H3" t="str">
            <v>02</v>
          </cell>
        </row>
        <row r="4">
          <cell r="B4" t="str">
            <v>Imported</v>
          </cell>
          <cell r="E4" t="str">
            <v>03. (SIT) System/System Integration Test</v>
          </cell>
          <cell r="G4" t="str">
            <v>JGX395</v>
          </cell>
          <cell r="H4" t="str">
            <v>03</v>
          </cell>
        </row>
        <row r="5">
          <cell r="B5" t="str">
            <v>Ready</v>
          </cell>
          <cell r="E5" t="str">
            <v>04. (PST) Performance and Stress Test</v>
          </cell>
          <cell r="G5" t="str">
            <v>KGS422</v>
          </cell>
          <cell r="H5" t="str">
            <v>04</v>
          </cell>
        </row>
        <row r="6">
          <cell r="B6" t="str">
            <v>Recorded</v>
          </cell>
          <cell r="E6" t="str">
            <v>05. (SAF) User/System Acceptance Test</v>
          </cell>
          <cell r="G6" t="str">
            <v>OGH400</v>
          </cell>
          <cell r="H6" t="str">
            <v>05</v>
          </cell>
        </row>
        <row r="7">
          <cell r="B7" t="str">
            <v>Repair</v>
          </cell>
          <cell r="E7" t="str">
            <v>06. (QATF) Infrastructure Testing</v>
          </cell>
          <cell r="G7" t="str">
            <v>PBK432</v>
          </cell>
          <cell r="H7" t="str">
            <v>06</v>
          </cell>
        </row>
        <row r="8">
          <cell r="G8" t="str">
            <v>PKO889</v>
          </cell>
          <cell r="H8" t="str">
            <v>07</v>
          </cell>
        </row>
        <row r="9">
          <cell r="G9" t="str">
            <v>PLV214</v>
          </cell>
          <cell r="H9" t="str">
            <v>08</v>
          </cell>
        </row>
        <row r="10">
          <cell r="G10" t="str">
            <v>PST376</v>
          </cell>
          <cell r="H10" t="str">
            <v>09</v>
          </cell>
        </row>
        <row r="11">
          <cell r="G11" t="str">
            <v>SCL283</v>
          </cell>
          <cell r="H11" t="str">
            <v>10</v>
          </cell>
        </row>
        <row r="12">
          <cell r="G12" t="str">
            <v>SFK434</v>
          </cell>
        </row>
        <row r="13">
          <cell r="G13" t="str">
            <v>sgq093</v>
          </cell>
        </row>
        <row r="14">
          <cell r="G14" t="str">
            <v>SHR875</v>
          </cell>
        </row>
        <row r="15">
          <cell r="G15" t="str">
            <v>smq390</v>
          </cell>
        </row>
        <row r="16">
          <cell r="G16" t="str">
            <v>VFV338</v>
          </cell>
        </row>
        <row r="17">
          <cell r="G17" t="str">
            <v>VNW607</v>
          </cell>
        </row>
        <row r="18">
          <cell r="G18" t="str">
            <v>Z_TBA1</v>
          </cell>
        </row>
        <row r="19">
          <cell r="G19" t="str">
            <v>Z_TBA2</v>
          </cell>
        </row>
        <row r="20">
          <cell r="G20" t="str">
            <v>Z_TBA3</v>
          </cell>
        </row>
        <row r="21">
          <cell r="G21" t="str">
            <v>Z_TBA4</v>
          </cell>
        </row>
        <row r="22">
          <cell r="G22" t="str">
            <v>Z_TBA5</v>
          </cell>
        </row>
        <row r="23">
          <cell r="G23" t="str">
            <v>Z_TBA6</v>
          </cell>
        </row>
        <row r="24">
          <cell r="G24" t="str">
            <v>Z_TBA7</v>
          </cell>
        </row>
        <row r="25">
          <cell r="G25" t="str">
            <v>Z_TBA8</v>
          </cell>
        </row>
        <row r="26">
          <cell r="G26" t="str">
            <v>Z_TBA9</v>
          </cell>
        </row>
        <row r="27">
          <cell r="G27" t="str">
            <v>Z_TBA10</v>
          </cell>
        </row>
        <row r="28">
          <cell r="G28" t="str">
            <v>Z_TBA11</v>
          </cell>
        </row>
        <row r="29">
          <cell r="G29" t="str">
            <v>Z_TBA12</v>
          </cell>
        </row>
        <row r="30">
          <cell r="G30" t="str">
            <v>Z_TBA13</v>
          </cell>
        </row>
        <row r="31">
          <cell r="G31" t="str">
            <v>Z_TBA14</v>
          </cell>
        </row>
      </sheetData>
      <sheetData sheetId="3"/>
      <sheetData sheetId="4"/>
      <sheetData sheetId="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
      <sheetName val="NFYA - FAO Letters conversion"/>
      <sheetName val="NLG - FAO Letters conversion"/>
      <sheetName val="NFYA - TargerRisk Grp Para"/>
      <sheetName val="Test Case"/>
    </sheetNames>
    <sheetDataSet>
      <sheetData sheetId="0"/>
      <sheetData sheetId="1"/>
      <sheetData sheetId="2"/>
      <sheetData sheetId="3"/>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32"/>
  <sheetViews>
    <sheetView zoomScaleNormal="100" workbookViewId="0">
      <selection activeCell="C8" sqref="C8:D8"/>
    </sheetView>
  </sheetViews>
  <sheetFormatPr defaultRowHeight="15"/>
  <cols>
    <col min="1" max="1" width="1.140625" style="48" customWidth="1"/>
    <col min="2" max="2" width="22.28515625" style="48" customWidth="1"/>
    <col min="3" max="3" width="22.42578125" style="48" customWidth="1"/>
    <col min="4" max="4" width="20" style="48" customWidth="1"/>
    <col min="5" max="5" width="22.140625" style="48" customWidth="1"/>
    <col min="6" max="6" width="15.140625" style="48" customWidth="1"/>
    <col min="7" max="7" width="26.42578125" style="48" customWidth="1"/>
    <col min="8" max="8" width="1.28515625" style="48" customWidth="1"/>
    <col min="9" max="16384" width="9.140625" style="48"/>
  </cols>
  <sheetData>
    <row r="1" spans="1:8" ht="6" customHeight="1">
      <c r="A1" s="227"/>
      <c r="B1" s="227"/>
      <c r="C1" s="227"/>
      <c r="D1" s="227"/>
      <c r="E1" s="227"/>
      <c r="F1" s="227"/>
      <c r="G1" s="227"/>
      <c r="H1" s="227"/>
    </row>
    <row r="2" spans="1:8">
      <c r="A2" s="227"/>
      <c r="H2" s="227"/>
    </row>
    <row r="3" spans="1:8">
      <c r="A3" s="227"/>
      <c r="H3" s="227"/>
    </row>
    <row r="4" spans="1:8" ht="5.25" customHeight="1">
      <c r="A4" s="227"/>
      <c r="H4" s="227"/>
    </row>
    <row r="5" spans="1:8" ht="18" customHeight="1">
      <c r="A5" s="227"/>
      <c r="B5" s="49" t="s">
        <v>491</v>
      </c>
      <c r="C5" s="228" t="s">
        <v>494</v>
      </c>
      <c r="D5" s="229"/>
      <c r="E5" s="229"/>
      <c r="F5" s="229"/>
      <c r="G5" s="230"/>
      <c r="H5" s="227"/>
    </row>
    <row r="6" spans="1:8" ht="18" customHeight="1">
      <c r="A6" s="227"/>
      <c r="B6" s="49" t="s">
        <v>488</v>
      </c>
      <c r="C6" s="33" t="s">
        <v>489</v>
      </c>
      <c r="D6" s="49" t="s">
        <v>490</v>
      </c>
      <c r="E6" s="34"/>
      <c r="F6" s="49" t="s">
        <v>492</v>
      </c>
      <c r="G6" s="34"/>
      <c r="H6" s="227"/>
    </row>
    <row r="7" spans="1:8" ht="18" customHeight="1">
      <c r="A7" s="227"/>
      <c r="B7" s="49" t="s">
        <v>7</v>
      </c>
      <c r="C7" s="33" t="s">
        <v>503</v>
      </c>
      <c r="D7" s="49" t="s">
        <v>487</v>
      </c>
      <c r="E7" s="34"/>
      <c r="F7" s="49" t="s">
        <v>493</v>
      </c>
      <c r="G7" s="34"/>
      <c r="H7" s="227"/>
    </row>
    <row r="8" spans="1:8" ht="18" customHeight="1">
      <c r="A8" s="227"/>
      <c r="B8" s="49" t="s">
        <v>495</v>
      </c>
      <c r="C8" s="228" t="s">
        <v>595</v>
      </c>
      <c r="D8" s="230"/>
      <c r="E8" s="49" t="s">
        <v>496</v>
      </c>
      <c r="F8" s="231"/>
      <c r="G8" s="232"/>
      <c r="H8" s="227"/>
    </row>
    <row r="9" spans="1:8">
      <c r="A9" s="227"/>
      <c r="H9" s="227"/>
    </row>
    <row r="10" spans="1:8">
      <c r="A10" s="227"/>
      <c r="H10" s="227"/>
    </row>
    <row r="11" spans="1:8">
      <c r="A11" s="227"/>
      <c r="H11" s="227"/>
    </row>
    <row r="12" spans="1:8">
      <c r="A12" s="227"/>
      <c r="H12" s="227"/>
    </row>
    <row r="13" spans="1:8">
      <c r="A13" s="227"/>
      <c r="H13" s="227"/>
    </row>
    <row r="14" spans="1:8">
      <c r="A14" s="227"/>
      <c r="H14" s="227"/>
    </row>
    <row r="15" spans="1:8">
      <c r="A15" s="227"/>
      <c r="H15" s="227"/>
    </row>
    <row r="16" spans="1:8">
      <c r="A16" s="227"/>
      <c r="H16" s="227"/>
    </row>
    <row r="17" spans="1:8">
      <c r="A17" s="227"/>
      <c r="H17" s="227"/>
    </row>
    <row r="18" spans="1:8">
      <c r="A18" s="227"/>
      <c r="H18" s="227"/>
    </row>
    <row r="19" spans="1:8">
      <c r="A19" s="227"/>
      <c r="H19" s="227"/>
    </row>
    <row r="20" spans="1:8">
      <c r="A20" s="227"/>
      <c r="H20" s="227"/>
    </row>
    <row r="21" spans="1:8">
      <c r="A21" s="227"/>
      <c r="H21" s="227"/>
    </row>
    <row r="22" spans="1:8">
      <c r="A22" s="227"/>
      <c r="H22" s="227"/>
    </row>
    <row r="23" spans="1:8" ht="20.100000000000001" customHeight="1">
      <c r="A23" s="227"/>
      <c r="E23" s="50"/>
      <c r="H23" s="227"/>
    </row>
    <row r="24" spans="1:8" ht="20.100000000000001" customHeight="1">
      <c r="A24" s="227"/>
      <c r="H24" s="227"/>
    </row>
    <row r="25" spans="1:8" ht="20.100000000000001" customHeight="1">
      <c r="A25" s="227"/>
      <c r="H25" s="227"/>
    </row>
    <row r="26" spans="1:8" ht="20.100000000000001" customHeight="1">
      <c r="A26" s="227"/>
      <c r="H26" s="227"/>
    </row>
    <row r="27" spans="1:8" ht="20.100000000000001" customHeight="1">
      <c r="A27" s="227"/>
      <c r="B27" s="50"/>
      <c r="C27" s="50"/>
      <c r="D27" s="50"/>
      <c r="E27" s="50"/>
      <c r="F27" s="50"/>
      <c r="G27" s="50"/>
      <c r="H27" s="227"/>
    </row>
    <row r="28" spans="1:8" ht="20.100000000000001" customHeight="1">
      <c r="A28" s="227"/>
      <c r="B28" s="50"/>
      <c r="C28" s="50"/>
      <c r="D28" s="50"/>
      <c r="E28" s="50"/>
      <c r="F28" s="50"/>
      <c r="G28" s="50"/>
      <c r="H28" s="227"/>
    </row>
    <row r="29" spans="1:8" ht="20.100000000000001" customHeight="1">
      <c r="A29" s="227"/>
      <c r="B29" s="50"/>
      <c r="C29" s="50"/>
      <c r="D29" s="50"/>
      <c r="E29" s="50"/>
      <c r="F29" s="50"/>
      <c r="G29" s="50"/>
      <c r="H29" s="227"/>
    </row>
    <row r="30" spans="1:8">
      <c r="A30" s="227"/>
      <c r="B30" s="50"/>
      <c r="C30" s="50"/>
      <c r="D30" s="50"/>
      <c r="E30" s="50"/>
      <c r="F30" s="50"/>
      <c r="G30" s="50"/>
      <c r="H30" s="227"/>
    </row>
    <row r="31" spans="1:8">
      <c r="A31" s="227"/>
      <c r="H31" s="227"/>
    </row>
    <row r="32" spans="1:8" ht="6" customHeight="1">
      <c r="A32" s="227"/>
      <c r="B32" s="227"/>
      <c r="C32" s="227"/>
      <c r="D32" s="227"/>
      <c r="E32" s="227"/>
      <c r="F32" s="227"/>
      <c r="G32" s="227"/>
      <c r="H32" s="227"/>
    </row>
  </sheetData>
  <customSheetViews>
    <customSheetView guid="{52AE7582-FD95-46D8-BA65-D10753F310CC}">
      <selection activeCell="L13" sqref="L13"/>
      <pageMargins left="0.7" right="0.7" top="0.75" bottom="0.75" header="0.3" footer="0.3"/>
      <pageSetup paperSize="9" orientation="landscape" r:id="rId1"/>
    </customSheetView>
    <customSheetView guid="{38D3F89A-32F8-4A57-A6F8-1BC1DD4CBDE7}" showPageBreaks="1" printArea="1">
      <selection activeCell="E7" sqref="E7"/>
      <pageMargins left="0.7" right="0.7" top="0.75" bottom="0.75" header="0.3" footer="0.3"/>
      <pageSetup paperSize="9" orientation="landscape" r:id="rId2"/>
    </customSheetView>
  </customSheetViews>
  <mergeCells count="7">
    <mergeCell ref="A32:H32"/>
    <mergeCell ref="A1:H1"/>
    <mergeCell ref="A2:A31"/>
    <mergeCell ref="H2:H31"/>
    <mergeCell ref="C5:G5"/>
    <mergeCell ref="C8:D8"/>
    <mergeCell ref="F8:G8"/>
  </mergeCells>
  <dataValidations count="1">
    <dataValidation type="list" allowBlank="1" showInputMessage="1" showErrorMessage="1" sqref="C7">
      <formula1>"PIT, SIT, UAT, PIT/SIT, E2E"</formula1>
    </dataValidation>
  </dataValidations>
  <pageMargins left="0.7" right="0.7" top="0.75" bottom="0.75" header="0.3" footer="0.3"/>
  <pageSetup paperSize="9" orientation="landscape"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8064A2"/>
    <pageSetUpPr fitToPage="1"/>
  </sheetPr>
  <dimension ref="A1:H1905"/>
  <sheetViews>
    <sheetView view="pageBreakPreview" topLeftCell="D1" zoomScaleNormal="91" zoomScaleSheetLayoutView="100" workbookViewId="0">
      <pane ySplit="1" topLeftCell="A2" activePane="bottomLeft" state="frozen"/>
      <selection pane="bottomLeft" activeCell="C2" sqref="C2"/>
    </sheetView>
  </sheetViews>
  <sheetFormatPr defaultRowHeight="15"/>
  <cols>
    <col min="1" max="1" width="8.28515625" style="32" bestFit="1" customWidth="1"/>
    <col min="2" max="2" width="19.42578125" style="32" customWidth="1"/>
    <col min="3" max="3" width="36.85546875" style="32" customWidth="1"/>
    <col min="4" max="4" width="34.140625" style="32" customWidth="1"/>
    <col min="5" max="5" width="33.28515625" style="32" customWidth="1"/>
    <col min="6" max="6" width="16.85546875" style="32" customWidth="1"/>
    <col min="7" max="8" width="35.42578125" style="32" customWidth="1"/>
    <col min="9" max="16384" width="9.140625" style="46"/>
  </cols>
  <sheetData>
    <row r="1" spans="1:8" ht="51.75" customHeight="1">
      <c r="A1" s="52" t="s">
        <v>0</v>
      </c>
      <c r="B1" s="52" t="s">
        <v>504</v>
      </c>
      <c r="C1" s="52" t="s">
        <v>309</v>
      </c>
      <c r="D1" s="52" t="s">
        <v>501</v>
      </c>
      <c r="E1" s="52" t="s">
        <v>459</v>
      </c>
      <c r="F1" s="52" t="s">
        <v>20</v>
      </c>
      <c r="G1" s="52" t="s">
        <v>502</v>
      </c>
      <c r="H1" s="52" t="s">
        <v>505</v>
      </c>
    </row>
    <row r="2" spans="1:8" ht="409.5">
      <c r="A2" s="31">
        <f>IF(B2="","",COUNTIF($B$2:B2,"&lt;&gt;"&amp;""))</f>
        <v>1</v>
      </c>
      <c r="B2" s="31" t="s">
        <v>594</v>
      </c>
      <c r="C2" s="31" t="str">
        <f ca="1">FormatTest!A2</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D2" s="31" t="s">
        <v>592</v>
      </c>
      <c r="E2" s="31" t="str">
        <f ca="1">FormatTest!C2</f>
        <v>&lt;BR&gt;&lt;BR&gt;Benefit Status=CUR&lt;BR&gt;Review created on FAL screen=No Review&lt;BR&gt;Customer FTB (A) Status=CUR&lt;BR&gt;Customer FTB (B) Status=CUR&lt;BR&gt;Customer RA Status=N-HOM&lt;BR&gt;Child Eligibility FTB(A)=Y&lt;BR&gt;Child Eligibility FTB(B)=Y</v>
      </c>
      <c r="F2" s="31" t="s">
        <v>13</v>
      </c>
      <c r="G2" s="31"/>
      <c r="H2" s="31"/>
    </row>
    <row r="3" spans="1:8" ht="409.5">
      <c r="A3" s="31">
        <f>IF(B3="","",COUNTIF($B$2:B3,"&lt;&gt;"&amp;""))</f>
        <v>2</v>
      </c>
      <c r="B3" s="31" t="s">
        <v>594</v>
      </c>
      <c r="C3" s="31" t="str">
        <f ca="1">FormatTest!A3</f>
        <v>The purpose of the test is to verify &lt;BR&gt;&lt;BR&gt;&lt;BR&gt;&lt;BR&gt;Benefit Status=CUR&lt;BR&gt;Review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AU citizen&lt;BR&gt;Direct Credit details   = Coded Exemption - FNG&lt;BR&gt;TFN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D3" s="31" t="s">
        <v>592</v>
      </c>
      <c r="E3" s="31" t="str">
        <f ca="1">FormatTest!C3</f>
        <v>&lt;BR&gt;&lt;BR&gt;Benefit Status=CUR&lt;BR&gt;Review created on FAL screen=No Review&lt;BR&gt;Customer FTB (A) Status=NULL&lt;BR&gt;Customer FTB (B) Status=NULL&lt;BR&gt;Customer RA Status=N-NULL&lt;BR&gt;Child Eligibility FTB(A)=Y&lt;BR&gt;Child Eligibility FTB(B)=Y</v>
      </c>
      <c r="F3" s="31" t="s">
        <v>13</v>
      </c>
      <c r="G3" s="31"/>
      <c r="H3" s="31"/>
    </row>
    <row r="4" spans="1:8" ht="409.5">
      <c r="A4" s="31">
        <f>IF(B4="","",COUNTIF($B$2:B4,"&lt;&gt;"&amp;""))</f>
        <v>3</v>
      </c>
      <c r="B4" s="31" t="s">
        <v>594</v>
      </c>
      <c r="C4" s="31" t="str">
        <f ca="1">FormatTest!A4</f>
        <v>The purpose of the test is to verify &lt;BR&gt;&lt;BR&gt;&lt;BR&gt;&lt;BR&gt;Benefit Status=NEF-BAN&lt;BR&gt;Review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AU citizen&lt;BR&gt;Direct Credit details   = Not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D4" s="31" t="s">
        <v>592</v>
      </c>
      <c r="E4" s="31" t="str">
        <f ca="1">FormatTest!C4</f>
        <v>&lt;BR&gt;&lt;BR&gt;Benefit Status=NEF-BAN&lt;BR&gt;Review created on FAL screen=No Review&lt;BR&gt;Customer FTB (A) Status=NULL&lt;BR&gt;Customer FTB (B) Status=NULL&lt;BR&gt;Customer RA Status=N-NULL&lt;BR&gt;Child Eligibility FTB(A)=Y&lt;BR&gt;Child Eligibility FTB(B)=Y</v>
      </c>
      <c r="F4" s="31" t="s">
        <v>13</v>
      </c>
      <c r="G4" s="31"/>
      <c r="H4" s="31"/>
    </row>
    <row r="5" spans="1:8" ht="409.5">
      <c r="A5" s="31">
        <f>IF(B5="","",COUNTIF($B$2:B5,"&lt;&gt;"&amp;""))</f>
        <v>4</v>
      </c>
      <c r="B5" s="31" t="s">
        <v>594</v>
      </c>
      <c r="C5" s="31" t="str">
        <f ca="1">FormatTest!A5</f>
        <v>The purpose of the test is to verify &lt;BR&gt;&lt;BR&gt;&lt;BR&gt;&lt;BR&gt;Benefit Status=CUR&lt;BR&gt;Review created on FAL screen=TFN - EXEMPTION REVIEW (TEX)&lt;BR&gt;Customer FTB (A) Status=CUR&lt;BR&gt;Customer FTB (B) Status=NULL&lt;BR&gt;Customer RA Status=N-NULL&lt;BR&gt;Child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 Exemption - PVI&lt;BR&gt;Primary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D5" s="31" t="s">
        <v>592</v>
      </c>
      <c r="E5" s="31" t="str">
        <f ca="1">FormatTest!C5</f>
        <v>&lt;BR&gt;&lt;BR&gt;Benefit Status=CUR&lt;BR&gt;Review created on FAL screen=TFN - EXEMPTION REVIEW (TEX)&lt;BR&gt;Customer FTB (A) Status=CUR&lt;BR&gt;Customer FTB (B) Status=NULL&lt;BR&gt;Customer RA Status=N-NULL&lt;BR&gt;Child Eligibility FTB(A)=Y&lt;BR&gt;Child Eligibility FTB(B)=Y</v>
      </c>
      <c r="F5" s="31" t="s">
        <v>13</v>
      </c>
      <c r="G5" s="31"/>
      <c r="H5" s="31"/>
    </row>
    <row r="6" spans="1:8" ht="409.5">
      <c r="A6" s="31">
        <f>IF(B6="","",COUNTIF($B$2:B6,"&lt;&gt;"&amp;""))</f>
        <v>5</v>
      </c>
      <c r="B6" s="31" t="s">
        <v>594</v>
      </c>
      <c r="C6" s="31" t="str">
        <f ca="1">FormatTest!A6</f>
        <v>The purpose of the test is to verify &lt;BR&gt;&lt;BR&gt;&lt;BR&gt;&lt;BR&gt;Benefit Status=CUR&lt;BR&gt;Review created on FAL screen=TFN - EXEMPTION REVIEW (TEX)&lt;BR&gt;Customer FTB (A) Status=CUR&lt;BR&gt;Customer FTB (B) Status=NULL&lt;BR&gt;Customer RA Status=N-NULL&lt;BR&gt;Child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 Exemption - PUC&lt;BR&gt;Primary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D6" s="31" t="s">
        <v>592</v>
      </c>
      <c r="E6" s="31" t="str">
        <f ca="1">FormatTest!C6</f>
        <v>&lt;BR&gt;&lt;BR&gt;Benefit Status=CUR&lt;BR&gt;Review created on FAL screen=TFN - EXEMPTION REVIEW (TEX)&lt;BR&gt;Customer FTB (A) Status=CUR&lt;BR&gt;Customer FTB (B) Status=NULL&lt;BR&gt;Customer RA Status=N-NULL&lt;BR&gt;Child Eligibility FTB(A)=Y&lt;BR&gt;Child Eligibility FTB(B)=Y</v>
      </c>
      <c r="F6" s="31" t="s">
        <v>13</v>
      </c>
      <c r="G6" s="31"/>
      <c r="H6" s="31"/>
    </row>
    <row r="7" spans="1:8" ht="409.5">
      <c r="A7" s="31">
        <f>IF(B7="","",COUNTIF($B$2:B7,"&lt;&gt;"&amp;""))</f>
        <v>6</v>
      </c>
      <c r="B7" s="31" t="s">
        <v>594</v>
      </c>
      <c r="C7" s="31" t="str">
        <f ca="1">FormatTest!A7</f>
        <v>The purpose of the test is to verify &lt;BR&gt;&lt;BR&gt;&lt;BR&gt;&lt;BR&gt;Benefit Status=NEF-NTP&lt;BR&gt;Review created on FAL screen=No Review&lt;BR&gt;Customer FTB (A) Status=NEF-NTP&lt;BR&gt;Customer FTB (B) Status=NEF-NTP&lt;BR&gt;Customer RA Status=N-NULL&lt;BR&gt;Child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Not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D7" s="31" t="s">
        <v>592</v>
      </c>
      <c r="E7" s="31" t="str">
        <f ca="1">FormatTest!C7</f>
        <v>&lt;BR&gt;&lt;BR&gt;Benefit Status=NEF-NTP&lt;BR&gt;Review created on FAL screen=No Review&lt;BR&gt;Customer FTB (A) Status=NEF-NTP&lt;BR&gt;Customer FTB (B) Status=NEF-NTP&lt;BR&gt;Customer RA Status=N-NULL&lt;BR&gt;Child Eligibility FTB(A)=Y&lt;BR&gt;Child Eligibility FTB(B)=Y</v>
      </c>
      <c r="F7" s="31" t="s">
        <v>13</v>
      </c>
      <c r="G7" s="31"/>
      <c r="H7" s="31"/>
    </row>
    <row r="8" spans="1:8" ht="409.5">
      <c r="A8" s="31">
        <f>IF(B8="","",COUNTIF($B$2:B8,"&lt;&gt;"&amp;""))</f>
        <v>7</v>
      </c>
      <c r="B8" s="31" t="s">
        <v>594</v>
      </c>
      <c r="C8" s="31" t="str">
        <f ca="1">FormatTest!A8</f>
        <v>The purpose of the test is to verify &lt;BR&gt;&lt;BR&gt;&lt;BR&gt;&lt;BR&gt;Benefit Status=NEF-NTC&lt;BR&gt;Review created on FAL screen=TFN - EXEMPTION REVIEW (TEX)&lt;BR&gt;Customer FTB (A) Status=NULL&lt;BR&gt;Customer FTB (B) Status=NULL&lt;BR&gt;Customer RA Status=N-NULL&lt;BR&gt;Child Eligibility FTB(A)=Y&lt;BR&gt;Child Eligibility FTB(B)=Y&lt;BR&gt;&lt;BR&gt; for below input circumstances&lt;BR&gt;&lt;BR&gt;&lt;B&gt;Customer  circumstances&lt;/B&gt;&lt;BR&gt;Residential Qualification = AU citizen&lt;BR&gt;Direct Credit details   = Coded&lt;BR&gt;TFN details = Not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D8" s="31" t="s">
        <v>592</v>
      </c>
      <c r="E8" s="31" t="str">
        <f ca="1">FormatTest!C8</f>
        <v>&lt;BR&gt;&lt;BR&gt;Benefit Status=NEF-NTC&lt;BR&gt;Review created on FAL screen=TFN - EXEMPTION REVIEW (TEX)&lt;BR&gt;Customer FTB (A) Status=NULL&lt;BR&gt;Customer FTB (B) Status=NULL&lt;BR&gt;Customer RA Status=N-NULL&lt;BR&gt;Child Eligibility FTB(A)=Y&lt;BR&gt;Child Eligibility FTB(B)=Y</v>
      </c>
      <c r="F8" s="31" t="s">
        <v>13</v>
      </c>
      <c r="G8" s="31"/>
      <c r="H8" s="31"/>
    </row>
    <row r="9" spans="1:8" ht="409.5">
      <c r="A9" s="31">
        <f>IF(B9="","",COUNTIF($B$2:B9,"&lt;&gt;"&amp;""))</f>
        <v>8</v>
      </c>
      <c r="B9" s="31" t="s">
        <v>594</v>
      </c>
      <c r="C9" s="31" t="str">
        <f ca="1">FormatTest!A9</f>
        <v>The purpose of the test is to verify &lt;BR&gt;&lt;BR&gt;&lt;BR&gt;&lt;BR&gt;Benefit Status=NEF-NTC&lt;BR&gt;Review created on FAL screen=TFN - EXEMPTION REVIEW (TEX)&lt;BR&gt;Customer FTB (A) Status=NULL&lt;BR&gt;Customer FTB (B) Status=NULL&lt;BR&gt;Customer RA Status=N-NULL&lt;BR&gt;Child Eligibility FTB(A)=Y&lt;BR&gt;Child Eligibility FTB(B)=Y&lt;BR&gt;&lt;BR&gt; for below input circumstances&lt;BR&gt;&lt;BR&gt;&lt;B&gt;Customer  circumstances&lt;/B&gt;&lt;BR&gt;Residential Qualification = AU citizen&lt;BR&gt;Direct Credit details   = Coded&lt;BR&gt;TFN details = Not Coded&lt;BR&gt;Secondary Earner income = Less than $21,499&lt;BR&gt;&lt;BR&gt;&lt;B&gt;Partner  circumstances&lt;/B&gt;&lt;BR&gt;Residential Qualification = AU citizen&lt;BR&gt;TFN details = Coded Exemption - PVI&lt;BR&gt;Primary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D9" s="31" t="s">
        <v>592</v>
      </c>
      <c r="E9" s="31" t="str">
        <f ca="1">FormatTest!C9</f>
        <v>&lt;BR&gt;&lt;BR&gt;Benefit Status=NEF-NTC&lt;BR&gt;Review created on FAL screen=TFN - EXEMPTION REVIEW (TEX)&lt;BR&gt;Customer FTB (A) Status=NULL&lt;BR&gt;Customer FTB (B) Status=NULL&lt;BR&gt;Customer RA Status=N-NULL&lt;BR&gt;Child Eligibility FTB(A)=Y&lt;BR&gt;Child Eligibility FTB(B)=Y</v>
      </c>
      <c r="F9" s="31" t="s">
        <v>13</v>
      </c>
      <c r="G9" s="31"/>
      <c r="H9" s="31"/>
    </row>
    <row r="10" spans="1:8" ht="409.5">
      <c r="A10" s="31">
        <f>IF(B10="","",COUNTIF($B$2:B10,"&lt;&gt;"&amp;""))</f>
        <v>9</v>
      </c>
      <c r="B10" s="31" t="s">
        <v>594</v>
      </c>
      <c r="C10" s="31" t="str">
        <f ca="1">FormatTest!A10</f>
        <v>The purpose of the test is to verify &lt;BR&gt;&lt;BR&gt;&lt;BR&gt;&lt;BR&gt;Benefit Status=NEF-NTC&lt;BR&gt;Review created on FAL screen=TFN - EXEMPTION REVIEW (TEX)&lt;BR&gt;Customer FTB (A) Status=NULL&lt;BR&gt;Customer FTB (B) Status=NULL&lt;BR&gt;Customer RA Status=N-NULL&lt;BR&gt;Child Eligibility FTB(A)=Y&lt;BR&gt;Child Eligibility FTB(B)=Y&lt;BR&gt;&lt;BR&gt; for below input circumstances&lt;BR&gt;&lt;BR&gt;&lt;B&gt;Customer  circumstances&lt;/B&gt;&lt;BR&gt;Residential Qualification = AU citizen&lt;BR&gt;Direct Credit details   = Coded&lt;BR&gt;TFN details = Not Coded&lt;BR&gt;Secondary Earner income = Less than $21,499&lt;BR&gt;&lt;BR&gt;&lt;B&gt;Partner  circumstances&lt;/B&gt;&lt;BR&gt;Residential Qualification = AU citizen&lt;BR&gt;TFN details = Coded Exemption - PUC&lt;BR&gt;Primary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D10" s="31" t="s">
        <v>592</v>
      </c>
      <c r="E10" s="31" t="str">
        <f ca="1">FormatTest!C10</f>
        <v>&lt;BR&gt;&lt;BR&gt;Benefit Status=NEF-NTC&lt;BR&gt;Review created on FAL screen=TFN - EXEMPTION REVIEW (TEX)&lt;BR&gt;Customer FTB (A) Status=NULL&lt;BR&gt;Customer FTB (B) Status=NULL&lt;BR&gt;Customer RA Status=N-NULL&lt;BR&gt;Child Eligibility FTB(A)=Y&lt;BR&gt;Child Eligibility FTB(B)=Y</v>
      </c>
      <c r="F10" s="31" t="s">
        <v>13</v>
      </c>
      <c r="G10" s="31"/>
      <c r="H10" s="31"/>
    </row>
    <row r="11" spans="1:8" ht="409.5">
      <c r="A11" s="31">
        <f>IF(B11="","",COUNTIF($B$2:B11,"&lt;&gt;"&amp;""))</f>
        <v>10</v>
      </c>
      <c r="B11" s="31" t="s">
        <v>594</v>
      </c>
      <c r="C11" s="31" t="str">
        <f ca="1">FormatTest!A11</f>
        <v>The purpose of the test is to verify &lt;BR&gt;&lt;BR&gt;&lt;BR&gt;&lt;BR&gt;Benefit Status=NEF-NTB&lt;BR&gt;Review created on FAL screen=TFN - EXEMPTION REVIEW (TEX)&lt;BR&gt;Customer FTB (A) Status=NULL&lt;BR&gt;Customer FTB (B) Status=NULL&lt;BR&gt;Customer RA Status=N-NULL&lt;BR&gt;Child Eligibility FTB(A)=Y&lt;BR&gt;Child Eligibility FTB(B)=Y&lt;BR&gt;&lt;BR&gt; for below input circumstances&lt;BR&gt;&lt;BR&gt;&lt;B&gt;Customer  circumstances&lt;/B&gt;&lt;BR&gt;Residential Qualification = AU citizen&lt;BR&gt;Direct Credit details   = Coded&lt;BR&gt;TFN details = Not Coded&lt;BR&gt;Secondary Earner income = Less than $21,499&lt;BR&gt;&lt;BR&gt;&lt;B&gt;Partner  circumstances&lt;/B&gt;&lt;BR&gt;Residential Qualification = AU citizen&lt;BR&gt;TFN details = Not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D11" s="31" t="s">
        <v>592</v>
      </c>
      <c r="E11" s="31" t="str">
        <f ca="1">FormatTest!C11</f>
        <v>&lt;BR&gt;&lt;BR&gt;Benefit Status=NEF-NTB&lt;BR&gt;Review created on FAL screen=TFN - EXEMPTION REVIEW (TEX)&lt;BR&gt;Customer FTB (A) Status=NULL&lt;BR&gt;Customer FTB (B) Status=NULL&lt;BR&gt;Customer RA Status=N-NULL&lt;BR&gt;Child Eligibility FTB(A)=Y&lt;BR&gt;Child Eligibility FTB(B)=Y</v>
      </c>
      <c r="F11" s="31" t="s">
        <v>13</v>
      </c>
      <c r="G11" s="31"/>
      <c r="H11" s="31"/>
    </row>
    <row r="12" spans="1:8" ht="409.5">
      <c r="A12" s="31">
        <f>IF(B12="","",COUNTIF($B$2:B12,"&lt;&gt;"&amp;""))</f>
        <v>11</v>
      </c>
      <c r="B12" s="31" t="s">
        <v>594</v>
      </c>
      <c r="C12" s="31" t="str">
        <f ca="1">FormatTest!A12</f>
        <v>The purpose of the test is to verify &lt;BR&gt;&lt;BR&gt;&lt;BR&gt;&lt;BR&gt;Benefit Status=CUR&lt;BR&gt;Review created on FAL screen=No Review&lt;BR&gt;Customer FTB (A) Status=CAN-INC&lt;BR&gt;Customer FTB (B) Status=CUR&lt;BR&gt;Customer RA Status=N-NULL&lt;BR&gt;Child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More than $99,414 per yr&lt;BR&gt;&lt;BR&gt;&lt;B&gt;Child  circumstances&lt;/B&gt;&lt;BR&gt;Number of Child(ren) = 1&lt;BR&gt;Age of Child = &lt;= 5yr&lt;BR&gt;Principal Care Type = Natural Care&lt;BR&gt;Care Percentage = 100% of Customer's care</v>
      </c>
      <c r="D12" s="31" t="s">
        <v>592</v>
      </c>
      <c r="E12" s="31" t="str">
        <f ca="1">FormatTest!C12</f>
        <v>&lt;BR&gt;&lt;BR&gt;Benefit Status=CUR&lt;BR&gt;Review created on FAL screen=No Review&lt;BR&gt;Customer FTB (A) Status=CAN-INC&lt;BR&gt;Customer FTB (B) Status=CUR&lt;BR&gt;Customer RA Status=N-NULL&lt;BR&gt;Child Eligibility FTB(A)=Y&lt;BR&gt;Child Eligibility FTB(B)=Y</v>
      </c>
      <c r="F12" s="31" t="s">
        <v>13</v>
      </c>
      <c r="G12" s="31"/>
      <c r="H12" s="31"/>
    </row>
    <row r="13" spans="1:8" ht="409.5">
      <c r="A13" s="31">
        <f>IF(B13="","",COUNTIF($B$2:B13,"&lt;&gt;"&amp;""))</f>
        <v>12</v>
      </c>
      <c r="B13" s="31" t="s">
        <v>594</v>
      </c>
      <c r="C13" s="31" t="str">
        <f ca="1">FormatTest!A13</f>
        <v>The purpose of the test is to verify &lt;BR&gt;&lt;BR&gt;&lt;BR&gt;&lt;BR&gt;Benefit Status=REJ-INC&lt;BR&gt;Review created on FAL screen=No Review&lt;BR&gt;Customer FTB (A) Status=CAN-INC&lt;BR&gt;Customer FTB (B) Status=REJ-IEU&lt;BR&gt;Customer RA Status=N-NULL&lt;BR&gt;Child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More than $100,000&lt;BR&gt;&lt;BR&gt;&lt;B&gt;Customer and Partner common circumstances&lt;/B&gt;&lt;BR&gt;Home ownership code = Home owner - HOM&lt;BR&gt;Relationship Qualifier = Blank&lt;BR&gt;Combined Income Limit = More than $99,414 per yr&lt;BR&gt;&lt;BR&gt;&lt;B&gt;Child  circumstances&lt;/B&gt;&lt;BR&gt;Number of Child(ren) = 1&lt;BR&gt;Age of Child = &lt;= 5yr&lt;BR&gt;Principal Care Type = Natural Care&lt;BR&gt;Care Percentage = 100% of Customer's care</v>
      </c>
      <c r="D13" s="31" t="s">
        <v>592</v>
      </c>
      <c r="E13" s="31" t="str">
        <f ca="1">FormatTest!C13</f>
        <v>&lt;BR&gt;&lt;BR&gt;Benefit Status=REJ-INC&lt;BR&gt;Review created on FAL screen=No Review&lt;BR&gt;Customer FTB (A) Status=CAN-INC&lt;BR&gt;Customer FTB (B) Status=REJ-IEU&lt;BR&gt;Customer RA Status=N-NULL&lt;BR&gt;Child Eligibility FTB(A)=Y&lt;BR&gt;Child Eligibility FTB(B)=Y</v>
      </c>
      <c r="F13" s="31" t="s">
        <v>13</v>
      </c>
      <c r="G13" s="31"/>
      <c r="H13" s="31"/>
    </row>
    <row r="14" spans="1:8" ht="409.5">
      <c r="A14" s="31">
        <f>IF(B14="","",COUNTIF($B$2:B14,"&lt;&gt;"&amp;""))</f>
        <v>13</v>
      </c>
      <c r="B14" s="31" t="s">
        <v>594</v>
      </c>
      <c r="C14" s="31" t="str">
        <f ca="1">FormatTest!A14</f>
        <v>The purpose of the test is to verify &lt;BR&gt;&lt;BR&gt;&lt;BR&gt;&lt;BR&gt;Benefit Status=CUR&lt;BR&gt;Review created on FAL screen=No Review&lt;BR&gt;Customer FTB (A) Status=CUR&lt;BR&gt;Customer FTB (B) Status=REJ-INC&lt;BR&gt;Customer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More than $ 27,613&lt;BR&gt;&lt;BR&gt;&lt;B&gt;Partner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D14" s="31" t="s">
        <v>592</v>
      </c>
      <c r="E14" s="31" t="str">
        <f ca="1">FormatTest!C14</f>
        <v>&lt;BR&gt;&lt;BR&gt;Benefit Status=CUR&lt;BR&gt;Review created on FAL screen=No Review&lt;BR&gt;Customer FTB (A) Status=CUR&lt;BR&gt;Customer FTB (B) Status=REJ-INC&lt;BR&gt;Customer RA Status=N-HOM&lt;BR&gt;Child Eligibility FTB(A)=Y&lt;BR&gt;Child Eligibility FTB(B)=Y</v>
      </c>
      <c r="F14" s="31" t="s">
        <v>13</v>
      </c>
      <c r="G14" s="31"/>
      <c r="H14" s="31"/>
    </row>
    <row r="15" spans="1:8" ht="409.5">
      <c r="A15" s="31">
        <f>IF(B15="","",COUNTIF($B$2:B15,"&lt;&gt;"&amp;""))</f>
        <v>14</v>
      </c>
      <c r="B15" s="31" t="s">
        <v>594</v>
      </c>
      <c r="C15" s="31" t="str">
        <f ca="1">FormatTest!A15</f>
        <v>The purpose of the test is to verify &lt;BR&gt;&lt;BR&gt;&lt;BR&gt;&lt;BR&gt;Benefit Status=REJ-INC&lt;BR&gt;Review created on FAL screen=No Review&lt;BR&gt;Customer FTB (A) Status=CAN-INC&lt;BR&gt;Customer FTB (B) Status=REJ-INC&lt;BR&gt;Customer RA Status=N-NULL&lt;BR&gt;Child Eligibility FTB(A)=Y&lt;BR&gt;Child Eligibility FTB(B)=Y&lt;BR&gt;&lt;BR&gt; for below input circumstances&lt;BR&gt;&lt;BR&gt;&lt;B&gt;Customer  circumstances&lt;/B&gt;&lt;BR&gt;Residential Qualification = AU citizen&lt;BR&gt;Direct Credit details   = Coded&lt;BR&gt;TFN details = Coded&lt;BR&gt;Secondary Earner income = More than $ 27,613&lt;BR&gt;&lt;BR&gt;&lt;B&gt;Partner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More than $99,414 per yr&lt;BR&gt;&lt;BR&gt;&lt;B&gt;Child  circumstances&lt;/B&gt;&lt;BR&gt;Number of Child(ren) = 1&lt;BR&gt;Age of Child = &lt;= 5yr&lt;BR&gt;Principal Care Type = Natural Care&lt;BR&gt;Care Percentage = 100% of Customer's care</v>
      </c>
      <c r="D15" s="31" t="s">
        <v>592</v>
      </c>
      <c r="E15" s="31" t="str">
        <f ca="1">FormatTest!C15</f>
        <v>&lt;BR&gt;&lt;BR&gt;Benefit Status=REJ-INC&lt;BR&gt;Review created on FAL screen=No Review&lt;BR&gt;Customer FTB (A) Status=CAN-INC&lt;BR&gt;Customer FTB (B) Status=REJ-INC&lt;BR&gt;Customer RA Status=N-NULL&lt;BR&gt;Child Eligibility FTB(A)=Y&lt;BR&gt;Child Eligibility FTB(B)=Y</v>
      </c>
      <c r="F15" s="31" t="s">
        <v>13</v>
      </c>
      <c r="G15" s="31"/>
      <c r="H15" s="31"/>
    </row>
    <row r="16" spans="1:8" ht="409.5">
      <c r="A16" s="31">
        <f>IF(B16="","",COUNTIF($B$2:B16,"&lt;&gt;"&amp;""))</f>
        <v>15</v>
      </c>
      <c r="B16" s="31" t="s">
        <v>594</v>
      </c>
      <c r="C16" s="31" t="str">
        <f ca="1">FormatTest!A16</f>
        <v>The purpose of the test is to verify &lt;BR&gt;&lt;BR&gt;&lt;BR&gt;&lt;BR&gt;Benefit Status=REJ-INC&lt;BR&gt;Review created on FAL screen=No Review&lt;BR&gt;Customer FTB (A) Status=CAN-INC&lt;BR&gt;Customer FTB (B) Status=REJ-INC&lt;BR&gt;Customer RA Status=N-NULL&lt;BR&gt;Child Eligibility FTB(A)=Y&lt;BR&gt;Child Eligibility FTB(B)=Y&lt;BR&gt;&lt;BR&gt; for below input circumstances&lt;BR&gt;&lt;BR&gt;&lt;B&gt;Customer  circumstances&lt;/B&gt;&lt;BR&gt;Residential Qualification = AU citizen&lt;BR&gt;Direct Credit details   = Coded&lt;BR&gt;TFN details = Coded&lt;BR&gt;Secondary Earner income = More than $ 27,613&lt;BR&gt;&lt;BR&gt;&lt;B&gt;Partner  circumstances&lt;/B&gt;&lt;BR&gt;Residential Qualification = AU citizen&lt;BR&gt;TFN details = Coded&lt;BR&gt;Primary Earner income = More than $100,000&lt;BR&gt;&lt;BR&gt;&lt;B&gt;Customer and Partner common circumstances&lt;/B&gt;&lt;BR&gt;Home ownership code = Home owner - HOM&lt;BR&gt;Relationship Qualifier = Blank&lt;BR&gt;Combined Income Limit = More than $99,414 per yr&lt;BR&gt;&lt;BR&gt;&lt;B&gt;Child  circumstances&lt;/B&gt;&lt;BR&gt;Number of Child(ren) = 1&lt;BR&gt;Age of Child = &lt;= 5yr&lt;BR&gt;Principal Care Type = Natural Care&lt;BR&gt;Care Percentage = 100% of Customer's care</v>
      </c>
      <c r="D16" s="31" t="s">
        <v>592</v>
      </c>
      <c r="E16" s="31" t="str">
        <f ca="1">FormatTest!C16</f>
        <v>&lt;BR&gt;&lt;BR&gt;Benefit Status=REJ-INC&lt;BR&gt;Review created on FAL screen=No Review&lt;BR&gt;Customer FTB (A) Status=CAN-INC&lt;BR&gt;Customer FTB (B) Status=REJ-INC&lt;BR&gt;Customer RA Status=N-NULL&lt;BR&gt;Child Eligibility FTB(A)=Y&lt;BR&gt;Child Eligibility FTB(B)=Y</v>
      </c>
      <c r="F16" s="31" t="s">
        <v>13</v>
      </c>
      <c r="G16" s="31"/>
      <c r="H16" s="31"/>
    </row>
    <row r="17" spans="1:8" ht="409.5">
      <c r="A17" s="31">
        <f>IF(B17="","",COUNTIF($B$2:B17,"&lt;&gt;"&amp;""))</f>
        <v>16</v>
      </c>
      <c r="B17" s="31" t="s">
        <v>594</v>
      </c>
      <c r="C17" s="31" t="str">
        <f ca="1">FormatTest!A17</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ILB&lt;BR&gt;Combined Income Limit = Less than $99,414 per yr&lt;BR&gt;&lt;BR&gt;&lt;B&gt;Child  circumstances&lt;/B&gt;&lt;BR&gt;Number of Child(ren) = 1&lt;BR&gt;Age of Child = &lt;= 5yr&lt;BR&gt;Principal Care Type = Natural Care&lt;BR&gt;Care Percentage = 100% of Customer's care</v>
      </c>
      <c r="D17" s="31" t="s">
        <v>592</v>
      </c>
      <c r="E17" s="31" t="str">
        <f ca="1">FormatTest!C17</f>
        <v>&lt;BR&gt;&lt;BR&gt;Benefit Status=CUR&lt;BR&gt;Review created on FAL screen=No Review&lt;BR&gt;Customer FTB (A) Status=CUR&lt;BR&gt;Customer FTB (B) Status=CUR&lt;BR&gt;Customer RA Status=N-HOM&lt;BR&gt;Child Eligibility FTB(A)=Y&lt;BR&gt;Child Eligibility FTB(B)=Y</v>
      </c>
      <c r="F17" s="31" t="s">
        <v>13</v>
      </c>
      <c r="G17" s="31"/>
      <c r="H17" s="31"/>
    </row>
    <row r="18" spans="1:8" ht="409.5">
      <c r="A18" s="31">
        <f>IF(B18="","",COUNTIF($B$2:B18,"&lt;&gt;"&amp;""))</f>
        <v>17</v>
      </c>
      <c r="B18" s="31" t="s">
        <v>594</v>
      </c>
      <c r="C18" s="31" t="str">
        <f ca="1">FormatTest!A18</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ILC&lt;BR&gt;Combined Income Limit = Less than $99,414 per yr&lt;BR&gt;&lt;BR&gt;&lt;B&gt;Child  circumstances&lt;/B&gt;&lt;BR&gt;Number of Child(ren) = 1&lt;BR&gt;Age of Child = &lt;= 5yr&lt;BR&gt;Principal Care Type = Natural Care&lt;BR&gt;Care Percentage = 100% of Customer's care</v>
      </c>
      <c r="D18" s="31" t="s">
        <v>592</v>
      </c>
      <c r="E18" s="31" t="str">
        <f ca="1">FormatTest!C18</f>
        <v>&lt;BR&gt;&lt;BR&gt;Benefit Status=CUR&lt;BR&gt;Review created on FAL screen=No Review&lt;BR&gt;Customer FTB (A) Status=CUR&lt;BR&gt;Customer FTB (B) Status=CUR&lt;BR&gt;Customer RA Status=N-HOM&lt;BR&gt;Child Eligibility FTB(A)=Y&lt;BR&gt;Child Eligibility FTB(B)=Y</v>
      </c>
      <c r="F18" s="31" t="s">
        <v>13</v>
      </c>
      <c r="G18" s="31"/>
      <c r="H18" s="31"/>
    </row>
    <row r="19" spans="1:8" ht="409.5">
      <c r="A19" s="31">
        <f>IF(B19="","",COUNTIF($B$2:B19,"&lt;&gt;"&amp;""))</f>
        <v>18</v>
      </c>
      <c r="B19" s="31" t="s">
        <v>594</v>
      </c>
      <c r="C19" s="31" t="str">
        <f ca="1">FormatTest!A19</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ILP&lt;BR&gt;Combined Income Limit = Less than $99,414 per yr&lt;BR&gt;&lt;BR&gt;&lt;B&gt;Child  circumstances&lt;/B&gt;&lt;BR&gt;Number of Child(ren) = 1&lt;BR&gt;Age of Child = &lt;= 5yr&lt;BR&gt;Principal Care Type = Natural Care&lt;BR&gt;Care Percentage = 100% of Customer's care</v>
      </c>
      <c r="D19" s="31" t="s">
        <v>592</v>
      </c>
      <c r="E19" s="31" t="str">
        <f ca="1">FormatTest!C19</f>
        <v>&lt;BR&gt;&lt;BR&gt;Benefit Status=CUR&lt;BR&gt;Review created on FAL screen=No Review&lt;BR&gt;Customer FTB (A) Status=CUR&lt;BR&gt;Customer FTB (B) Status=CUR&lt;BR&gt;Customer RA Status=N-HOM&lt;BR&gt;Child Eligibility FTB(A)=Y&lt;BR&gt;Child Eligibility FTB(B)=Y</v>
      </c>
      <c r="F19" s="31" t="s">
        <v>13</v>
      </c>
      <c r="G19" s="31"/>
      <c r="H19" s="31"/>
    </row>
    <row r="20" spans="1:8" ht="409.5">
      <c r="A20" s="31">
        <f>IF(B20="","",COUNTIF($B$2:B20,"&lt;&gt;"&amp;""))</f>
        <v>19</v>
      </c>
      <c r="B20" s="31" t="s">
        <v>594</v>
      </c>
      <c r="C20" s="31" t="str">
        <f ca="1">FormatTest!A20</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0&lt;BR&gt;Combined Income Limit = Less than $99,414 per yr&lt;BR&gt;&lt;BR&gt;&lt;B&gt;Child  circumstances&lt;/B&gt;&lt;BR&gt;Number of Child(ren) = 1&lt;BR&gt;Age of Child = &lt;= 5yr&lt;BR&gt;Principal Care Type = Natural Care&lt;BR&gt;Care Percentage = 100% of Customer's care</v>
      </c>
      <c r="D20" s="31" t="s">
        <v>592</v>
      </c>
      <c r="E20" s="31" t="str">
        <f ca="1">FormatTest!C20</f>
        <v>&lt;BR&gt;&lt;BR&gt;Benefit Status=CUR&lt;BR&gt;Review created on FAL screen=No Review&lt;BR&gt;Customer FTB (A) Status=CUR&lt;BR&gt;Customer FTB (B) Status=CUR&lt;BR&gt;Customer RA Status=N-HOM&lt;BR&gt;Child Eligibility FTB(A)=Y&lt;BR&gt;Child Eligibility FTB(B)=Y</v>
      </c>
      <c r="F20" s="31" t="s">
        <v>13</v>
      </c>
      <c r="G20" s="31"/>
      <c r="H20" s="31"/>
    </row>
    <row r="21" spans="1:8" ht="409.5">
      <c r="A21" s="31">
        <f>IF(B21="","",COUNTIF($B$2:B21,"&lt;&gt;"&amp;""))</f>
        <v>20</v>
      </c>
      <c r="B21" s="31" t="s">
        <v>594</v>
      </c>
      <c r="C21" s="31" t="str">
        <f ca="1">FormatTest!A21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TEC&lt;BR&gt;Combined Income Limit = Less than $99,414 per yr&lt;BR&gt;&lt;BR&gt;&lt;B&gt;Child  circumstances&lt;/B&gt;&lt;BR&gt;Number of Child(ren) = 1&lt;BR&gt;Age of Child = &lt;= 5yr&lt;BR&gt;Principal Care Type = Natural Care&lt;BR&gt;Care Percentage = 100% of Customer's care</v>
      </c>
      <c r="D21" s="31" t="s">
        <v>592</v>
      </c>
      <c r="E21" s="31" t="str">
        <f ca="1">FormatTest!C21</f>
        <v>&lt;BR&gt;&lt;BR&gt;Benefit Status=CUR&lt;BR&gt;Review created on FAL screen=No Review&lt;BR&gt;Customer FTB (A) Status=CUR&lt;BR&gt;Customer FTB (B) Status=CUR&lt;BR&gt;Customer RA Status=N-HOM&lt;BR&gt;Child Eligibility FTB(A)=Y&lt;BR&gt;Child Eligibility FTB(B)=Y</v>
      </c>
      <c r="F21" s="31" t="s">
        <v>13</v>
      </c>
      <c r="G21" s="31"/>
      <c r="H21" s="31"/>
    </row>
    <row r="22" spans="1:8" ht="409.5">
      <c r="A22" s="31">
        <f>IF(B22="","",COUNTIF($B$2:B22,"&lt;&gt;"&amp;""))</f>
        <v>21</v>
      </c>
      <c r="B22" s="31" t="s">
        <v>594</v>
      </c>
      <c r="C22" s="31" t="str">
        <f ca="1">FormatTest!A22</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TEP&lt;BR&gt;Combined Income Limit = Less than $99,414 per yr&lt;BR&gt;&lt;BR&gt;&lt;B&gt;Child  circumstances&lt;/B&gt;&lt;BR&gt;Number of Child(ren) = 1&lt;BR&gt;Age of Child = &lt;= 5yr&lt;BR&gt;Principal Care Type = Natural Care&lt;BR&gt;Care Percentage = 100% of Customer's care</v>
      </c>
      <c r="D22" s="31" t="s">
        <v>592</v>
      </c>
      <c r="E22" s="31" t="str">
        <f ca="1">FormatTest!C22</f>
        <v>&lt;BR&gt;&lt;BR&gt;Benefit Status=CUR&lt;BR&gt;Review created on FAL screen=No Review&lt;BR&gt;Customer FTB (A) Status=CUR&lt;BR&gt;Customer FTB (B) Status=CUR&lt;BR&gt;Customer RA Status=N-HOM&lt;BR&gt;Child Eligibility FTB(A)=Y&lt;BR&gt;Child Eligibility FTB(B)=Y</v>
      </c>
      <c r="F22" s="31" t="s">
        <v>13</v>
      </c>
      <c r="G22" s="31"/>
      <c r="H22" s="31"/>
    </row>
    <row r="23" spans="1:8" ht="409.5">
      <c r="A23" s="31">
        <f>IF(B23="","",COUNTIF($B$2:B23,"&lt;&gt;"&amp;""))</f>
        <v>22</v>
      </c>
      <c r="B23" s="31" t="s">
        <v>594</v>
      </c>
      <c r="C23" s="31" t="str">
        <f ca="1">FormatTest!A23</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GAC&lt;BR&gt;Combined Income Limit = Less than $99,414 per yr&lt;BR&gt;&lt;BR&gt;&lt;B&gt;Child  circumstances&lt;/B&gt;&lt;BR&gt;Number of Child(ren) = 1&lt;BR&gt;Age of Child = &lt;= 5yr&lt;BR&gt;Principal Care Type = Natural Care&lt;BR&gt;Care Percentage = 100% of Customer's care</v>
      </c>
      <c r="D23" s="31" t="s">
        <v>592</v>
      </c>
      <c r="E23" s="31" t="str">
        <f ca="1">FormatTest!C23</f>
        <v>&lt;BR&gt;&lt;BR&gt;Benefit Status=CUR&lt;BR&gt;Review created on FAL screen=No Review&lt;BR&gt;Customer FTB (A) Status=CUR&lt;BR&gt;Customer FTB (B) Status=CUR&lt;BR&gt;Customer RA Status=N-HOM&lt;BR&gt;Child Eligibility FTB(A)=Y&lt;BR&gt;Child Eligibility FTB(B)=Y</v>
      </c>
      <c r="F23" s="31" t="s">
        <v>13</v>
      </c>
      <c r="G23" s="31"/>
      <c r="H23" s="31"/>
    </row>
    <row r="24" spans="1:8" ht="409.5">
      <c r="A24" s="31">
        <f>IF(B24="","",COUNTIF($B$2:B24,"&lt;&gt;"&amp;""))</f>
        <v>23</v>
      </c>
      <c r="B24" s="31" t="s">
        <v>594</v>
      </c>
      <c r="C24" s="31" t="str">
        <f ca="1">FormatTest!A24</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GAP&lt;BR&gt;Combined Income Limit = Less than $99,414 per yr&lt;BR&gt;&lt;BR&gt;&lt;B&gt;Child  circumstances&lt;/B&gt;&lt;BR&gt;Number of Child(ren) = 1&lt;BR&gt;Age of Child = &lt;= 5yr&lt;BR&gt;Principal Care Type = Natural Care&lt;BR&gt;Care Percentage = 100% of Customer's care</v>
      </c>
      <c r="D24" s="31" t="s">
        <v>592</v>
      </c>
      <c r="E24" s="31" t="str">
        <f ca="1">FormatTest!C24</f>
        <v>&lt;BR&gt;&lt;BR&gt;Benefit Status=CUR&lt;BR&gt;Review created on FAL screen=No Review&lt;BR&gt;Customer FTB (A) Status=CUR&lt;BR&gt;Customer FTB (B) Status=CUR&lt;BR&gt;Customer RA Status=N-HOM&lt;BR&gt;Child Eligibility FTB(A)=Y&lt;BR&gt;Child Eligibility FTB(B)=Y</v>
      </c>
      <c r="F24" s="31" t="s">
        <v>13</v>
      </c>
      <c r="G24" s="31"/>
      <c r="H24" s="31"/>
    </row>
    <row r="25" spans="1:8" ht="409.5">
      <c r="A25" s="31">
        <f>IF(B25="","",COUNTIF($B$2:B25,"&lt;&gt;"&amp;""))</f>
        <v>24</v>
      </c>
      <c r="B25" s="31" t="s">
        <v>594</v>
      </c>
      <c r="C25" s="31" t="str">
        <f ca="1">FormatTest!A25</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PSB&lt;BR&gt;Combined Income Limit = Less than $99,414 per yr&lt;BR&gt;&lt;BR&gt;&lt;B&gt;Child  circumstances&lt;/B&gt;&lt;BR&gt;Number of Child(ren) = 1&lt;BR&gt;Age of Child = &lt;= 5yr&lt;BR&gt;Principal Care Type = Natural Care&lt;BR&gt;Care Percentage = 100% of Customer's care</v>
      </c>
      <c r="D25" s="31" t="s">
        <v>592</v>
      </c>
      <c r="E25" s="31" t="str">
        <f ca="1">FormatTest!C25</f>
        <v>&lt;BR&gt;&lt;BR&gt;Benefit Status=CUR&lt;BR&gt;Review created on FAL screen=No Review&lt;BR&gt;Customer FTB (A) Status=CUR&lt;BR&gt;Customer FTB (B) Status=CUR&lt;BR&gt;Customer RA Status=N-HOM&lt;BR&gt;Child Eligibility FTB(A)=Y&lt;BR&gt;Child Eligibility FTB(B)=Y</v>
      </c>
      <c r="F25" s="31" t="s">
        <v>13</v>
      </c>
      <c r="G25" s="31"/>
      <c r="H25" s="31"/>
    </row>
    <row r="26" spans="1:8" ht="409.5">
      <c r="A26" s="31">
        <f>IF(B26="","",COUNTIF($B$2:B26,"&lt;&gt;"&amp;""))</f>
        <v>25</v>
      </c>
      <c r="B26" s="31" t="s">
        <v>594</v>
      </c>
      <c r="C26" s="31" t="str">
        <f ca="1">FormatTest!A26</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PSC&lt;BR&gt;Combined Income Limit = Less than $99,414 per yr&lt;BR&gt;&lt;BR&gt;&lt;B&gt;Child  circumstances&lt;/B&gt;&lt;BR&gt;Number of Child(ren) = 1&lt;BR&gt;Age of Child = &lt;= 5yr&lt;BR&gt;Principal Care Type = Natural Care&lt;BR&gt;Care Percentage = 100% of Customer's care</v>
      </c>
      <c r="D26" s="31" t="s">
        <v>592</v>
      </c>
      <c r="E26" s="31" t="str">
        <f ca="1">FormatTest!C26</f>
        <v>&lt;BR&gt;&lt;BR&gt;Benefit Status=CUR&lt;BR&gt;Review created on FAL screen=No Review&lt;BR&gt;Customer FTB (A) Status=CUR&lt;BR&gt;Customer FTB (B) Status=CUR&lt;BR&gt;Customer RA Status=N-HOM&lt;BR&gt;Child Eligibility FTB(A)=Y&lt;BR&gt;Child Eligibility FTB(B)=Y</v>
      </c>
      <c r="F26" s="31" t="s">
        <v>13</v>
      </c>
      <c r="G26" s="31"/>
      <c r="H26" s="31"/>
    </row>
    <row r="27" spans="1:8" ht="409.5">
      <c r="A27" s="31">
        <f>IF(B27="","",COUNTIF($B$2:B27,"&lt;&gt;"&amp;""))</f>
        <v>26</v>
      </c>
      <c r="B27" s="31" t="s">
        <v>594</v>
      </c>
      <c r="C27" s="31" t="str">
        <f ca="1">FormatTest!A27</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PSP&lt;BR&gt;Combined Income Limit = Less than $99,414 per yr&lt;BR&gt;&lt;BR&gt;&lt;B&gt;Child  circumstances&lt;/B&gt;&lt;BR&gt;Number of Child(ren) = 1&lt;BR&gt;Age of Child = &lt;= 5yr&lt;BR&gt;Principal Care Type = Natural Care&lt;BR&gt;Care Percentage = 100% of Customer's care</v>
      </c>
      <c r="D27" s="31" t="s">
        <v>592</v>
      </c>
      <c r="E27" s="31" t="str">
        <f ca="1">FormatTest!C27</f>
        <v>&lt;BR&gt;&lt;BR&gt;Benefit Status=CUR&lt;BR&gt;Review created on FAL screen=No Review&lt;BR&gt;Customer FTB (A) Status=CUR&lt;BR&gt;Customer FTB (B) Status=CUR&lt;BR&gt;Customer RA Status=N-HOM&lt;BR&gt;Child Eligibility FTB(A)=Y&lt;BR&gt;Child Eligibility FTB(B)=Y</v>
      </c>
      <c r="F27" s="31" t="s">
        <v>13</v>
      </c>
      <c r="G27" s="31"/>
      <c r="H27" s="31"/>
    </row>
    <row r="28" spans="1:8" ht="409.5">
      <c r="A28" s="31">
        <f>IF(B28="","",COUNTIF($B$2:B28,"&lt;&gt;"&amp;""))</f>
        <v>27</v>
      </c>
      <c r="B28" s="31" t="s">
        <v>594</v>
      </c>
      <c r="C28" s="31" t="str">
        <f ca="1">FormatTest!A28</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REC&lt;BR&gt;Combined Income Limit = Less than $99,414 per yr&lt;BR&gt;&lt;BR&gt;&lt;B&gt;Child  circumstances&lt;/B&gt;&lt;BR&gt;Number of Child(ren) = 1&lt;BR&gt;Age of Child = &lt;= 5yr&lt;BR&gt;Principal Care Type = Natural Care&lt;BR&gt;Care Percentage = 100% of Customer's care</v>
      </c>
      <c r="D28" s="31" t="s">
        <v>592</v>
      </c>
      <c r="E28" s="31" t="str">
        <f ca="1">FormatTest!C28</f>
        <v>&lt;BR&gt;&lt;BR&gt;Benefit Status=CUR&lt;BR&gt;Review created on FAL screen=No Review&lt;BR&gt;Customer FTB (A) Status=CUR&lt;BR&gt;Customer FTB (B) Status=CUR&lt;BR&gt;Customer RA Status=N-HOM&lt;BR&gt;Child Eligibility FTB(A)=Y&lt;BR&gt;Child Eligibility FTB(B)=Y</v>
      </c>
      <c r="F28" s="31" t="s">
        <v>13</v>
      </c>
      <c r="G28" s="31"/>
      <c r="H28" s="31"/>
    </row>
    <row r="29" spans="1:8" ht="409.5">
      <c r="A29" s="31">
        <f>IF(B29="","",COUNTIF($B$2:B29,"&lt;&gt;"&amp;""))</f>
        <v>28</v>
      </c>
      <c r="B29" s="31" t="s">
        <v>594</v>
      </c>
      <c r="C29" s="31" t="str">
        <f ca="1">FormatTest!A29</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REP&lt;BR&gt;Combined Income Limit = Less than $99,414 per yr&lt;BR&gt;&lt;BR&gt;&lt;B&gt;Child  circumstances&lt;/B&gt;&lt;BR&gt;Number of Child(ren) = 1&lt;BR&gt;Age of Child = &lt;= 5yr&lt;BR&gt;Principal Care Type = Natural Care&lt;BR&gt;Care Percentage = 100% of Customer's care</v>
      </c>
      <c r="D29" s="31" t="s">
        <v>592</v>
      </c>
      <c r="E29" s="31" t="str">
        <f ca="1">FormatTest!C29</f>
        <v>&lt;BR&gt;&lt;BR&gt;Benefit Status=CUR&lt;BR&gt;Review created on FAL screen=No Review&lt;BR&gt;Customer FTB (A) Status=CUR&lt;BR&gt;Customer FTB (B) Status=CUR&lt;BR&gt;Customer RA Status=N-HOM&lt;BR&gt;Child Eligibility FTB(A)=Y&lt;BR&gt;Child Eligibility FTB(B)=Y</v>
      </c>
      <c r="F29" s="31" t="s">
        <v>13</v>
      </c>
      <c r="G29" s="31"/>
      <c r="H29" s="31"/>
    </row>
    <row r="30" spans="1:8" ht="409.5">
      <c r="A30" s="31">
        <f>IF(B30="","",COUNTIF($B$2:B30,"&lt;&gt;"&amp;""))</f>
        <v>29</v>
      </c>
      <c r="B30" s="31" t="s">
        <v>594</v>
      </c>
      <c r="C30" s="31" t="str">
        <f ca="1">FormatTest!A30</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Spouse/Partner Visa Class&lt;BR&gt;TFN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D30" s="31" t="s">
        <v>592</v>
      </c>
      <c r="E30" s="31" t="str">
        <f ca="1">FormatTest!C30</f>
        <v>&lt;BR&gt;&lt;BR&gt;Benefit Status=CUR&lt;BR&gt;Review created on FAL screen=No Review&lt;BR&gt;Customer FTB (A) Status=CUR&lt;BR&gt;Customer FTB (B) Status=CUR&lt;BR&gt;Customer RA Status=N-HOM&lt;BR&gt;Child Eligibility FTB(A)=Y&lt;BR&gt;Child Eligibility FTB(B)=Y</v>
      </c>
      <c r="F30" s="31" t="s">
        <v>13</v>
      </c>
      <c r="G30" s="31"/>
      <c r="H30" s="31"/>
    </row>
    <row r="31" spans="1:8" ht="409.5">
      <c r="A31" s="31">
        <f>IF(B31="","",COUNTIF($B$2:B31,"&lt;&gt;"&amp;""))</f>
        <v>30</v>
      </c>
      <c r="B31" s="31" t="s">
        <v>594</v>
      </c>
      <c r="C31" s="31" t="str">
        <f ca="1">FormatTest!A31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Temporary Visa Class&lt;BR&gt;TFN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D31" s="31" t="s">
        <v>592</v>
      </c>
      <c r="E31" s="31" t="str">
        <f ca="1">FormatTest!C31</f>
        <v>&lt;BR&gt;&lt;BR&gt;Benefit Status=CUR&lt;BR&gt;Review created on FAL screen=No Review&lt;BR&gt;Customer FTB (A) Status=CUR&lt;BR&gt;Customer FTB (B) Status=CUR&lt;BR&gt;Customer RA Status=N-HOM&lt;BR&gt;Child Eligibility FTB(A)=Y&lt;BR&gt;Child Eligibility FTB(B)=Y</v>
      </c>
      <c r="F31" s="31" t="s">
        <v>13</v>
      </c>
      <c r="G31" s="31"/>
      <c r="H31" s="31"/>
    </row>
    <row r="32" spans="1:8" ht="409.5">
      <c r="A32" s="31">
        <f>IF(B32="","",COUNTIF($B$2:B32,"&lt;&gt;"&amp;""))</f>
        <v>31</v>
      </c>
      <c r="B32" s="31" t="s">
        <v>594</v>
      </c>
      <c r="C32" s="31" t="str">
        <f ca="1">FormatTest!A32</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Spouse/Partner Visa Class&lt;BR&gt;Direct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D32" s="31" t="s">
        <v>592</v>
      </c>
      <c r="E32" s="31" t="str">
        <f ca="1">FormatTest!C32</f>
        <v>&lt;BR&gt;&lt;BR&gt;Benefit Status=CUR&lt;BR&gt;Review created on FAL screen=No Review&lt;BR&gt;Customer FTB (A) Status=CUR&lt;BR&gt;Customer FTB (B) Status=CUR&lt;BR&gt;Customer RA Status=N-HOM&lt;BR&gt;Child Eligibility FTB(A)=Y&lt;BR&gt;Child Eligibility FTB(B)=Y</v>
      </c>
      <c r="F32" s="31" t="s">
        <v>13</v>
      </c>
      <c r="G32" s="31"/>
      <c r="H32" s="31"/>
    </row>
    <row r="33" spans="1:8" ht="409.5">
      <c r="A33" s="31">
        <f>IF(B33="","",COUNTIF($B$2:B33,"&lt;&gt;"&amp;""))</f>
        <v>32</v>
      </c>
      <c r="B33" s="31" t="s">
        <v>594</v>
      </c>
      <c r="C33" s="31" t="str">
        <f ca="1">FormatTest!A33</f>
        <v>The purpose of the test is to verify &lt;BR&gt;&lt;BR&gt;&lt;BR&gt;&lt;BR&gt;Benefit Status=CUR&lt;BR&gt;Review created on FAL screen=No Review&lt;BR&gt;Customer FTB (A) Status=REJ-NRQ&lt;BR&gt;Customer FTB (B) Status=REJ-NRQ&lt;BR&gt;Customer RA Status=N-NULL&lt;BR&gt;Child Eligibility FTB(A)=Y&lt;BR&gt;Child Eligibility FTB(B)=Y&lt;BR&gt;&lt;BR&gt; for below input circumstances&lt;BR&gt;&lt;BR&gt;&lt;B&gt;Customer  circumstances&lt;/B&gt;&lt;BR&gt;Residential Qualification = Temporary Visa Class&lt;BR&gt;Direct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D33" s="31" t="s">
        <v>592</v>
      </c>
      <c r="E33" s="31" t="str">
        <f ca="1">FormatTest!C33</f>
        <v>&lt;BR&gt;&lt;BR&gt;Benefit Status=CUR&lt;BR&gt;Review created on FAL screen=No Review&lt;BR&gt;Customer FTB (A) Status=REJ-NRQ&lt;BR&gt;Customer FTB (B) Status=REJ-NRQ&lt;BR&gt;Customer RA Status=N-NULL&lt;BR&gt;Child Eligibility FTB(A)=Y&lt;BR&gt;Child Eligibility FTB(B)=Y</v>
      </c>
      <c r="F33" s="31" t="s">
        <v>13</v>
      </c>
      <c r="G33" s="31"/>
      <c r="H33" s="31"/>
    </row>
    <row r="34" spans="1:8" ht="409.5">
      <c r="A34" s="31">
        <f>IF(B34="","",COUNTIF($B$2:B34,"&lt;&gt;"&amp;""))</f>
        <v>33</v>
      </c>
      <c r="B34" s="31" t="s">
        <v>594</v>
      </c>
      <c r="C34" s="31" t="str">
        <f ca="1">FormatTest!A34</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Spouse/Partner Visa Class&lt;BR&gt;Direct Credit details   = Coded&lt;BR&gt;TFN details = Coded&lt;BR&gt;Secondary Earner income = Less than $21,499&lt;BR&gt;&lt;BR&gt;&lt;B&gt;Partner  circumstances&lt;/B&gt;&lt;BR&gt;Residential Qualification = Temporary Visa Class&lt;BR&gt;TFN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D34" s="31" t="s">
        <v>592</v>
      </c>
      <c r="E34" s="31" t="str">
        <f ca="1">FormatTest!C34</f>
        <v>&lt;BR&gt;&lt;BR&gt;Benefit Status=CUR&lt;BR&gt;Review created on FAL screen=No Review&lt;BR&gt;Customer FTB (A) Status=CUR&lt;BR&gt;Customer FTB (B) Status=CUR&lt;BR&gt;Customer RA Status=N-HOM&lt;BR&gt;Child Eligibility FTB(A)=Y&lt;BR&gt;Child Eligibility FTB(B)=Y</v>
      </c>
      <c r="F34" s="31" t="s">
        <v>13</v>
      </c>
      <c r="G34" s="31"/>
      <c r="H34" s="31"/>
    </row>
    <row r="35" spans="1:8" ht="409.5">
      <c r="A35" s="31">
        <f>IF(B35="","",COUNTIF($B$2:B35,"&lt;&gt;"&amp;""))</f>
        <v>34</v>
      </c>
      <c r="B35" s="31" t="s">
        <v>594</v>
      </c>
      <c r="C35" s="31" t="str">
        <f ca="1">FormatTest!A35</f>
        <v>The purpose of the test is to verify &lt;BR&gt;&lt;BR&gt;&lt;BR&gt;&lt;BR&gt;Benefit Status=CUR&lt;BR&gt;Review created on FAL screen=No Review&lt;BR&gt;Customer FTB (A) Status=REJ-NRQ&lt;BR&gt;Customer FTB (B) Status=REJ-NRQ&lt;BR&gt;Customer RA Status=N-NULL&lt;BR&gt;Child Eligibility FTB(A)=Y&lt;BR&gt;Child Eligibility FTB(B)=Y&lt;BR&gt;&lt;BR&gt; for below input circumstances&lt;BR&gt;&lt;BR&gt;&lt;B&gt;Customer  circumstances&lt;/B&gt;&lt;BR&gt;Residential Qualification = Temporary Visa Class&lt;BR&gt;Direct Credit details   = Coded&lt;BR&gt;TFN details = Coded&lt;BR&gt;Secondary Earner income = Less than $21,499&lt;BR&gt;&lt;BR&gt;&lt;B&gt;Partner  circumstances&lt;/B&gt;&lt;BR&gt;Residential Qualification = Spouse/Partner Visa Class&lt;BR&gt;TFN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D35" s="31" t="s">
        <v>592</v>
      </c>
      <c r="E35" s="31" t="str">
        <f ca="1">FormatTest!C35</f>
        <v>&lt;BR&gt;&lt;BR&gt;Benefit Status=CUR&lt;BR&gt;Review created on FAL screen=No Review&lt;BR&gt;Customer FTB (A) Status=REJ-NRQ&lt;BR&gt;Customer FTB (B) Status=REJ-NRQ&lt;BR&gt;Customer RA Status=N-NULL&lt;BR&gt;Child Eligibility FTB(A)=Y&lt;BR&gt;Child Eligibility FTB(B)=Y</v>
      </c>
      <c r="F35" s="31" t="s">
        <v>13</v>
      </c>
      <c r="G35" s="31"/>
      <c r="H35" s="31"/>
    </row>
    <row r="36" spans="1:8" ht="15.75">
      <c r="A36" s="31"/>
      <c r="B36" s="31"/>
      <c r="C36" s="31"/>
      <c r="D36" s="31"/>
      <c r="E36" s="31"/>
      <c r="F36" s="31"/>
      <c r="G36" s="31"/>
      <c r="H36" s="31"/>
    </row>
    <row r="37" spans="1:8">
      <c r="A37" s="47"/>
      <c r="B37" s="47"/>
      <c r="C37" s="47"/>
      <c r="D37" s="47"/>
      <c r="E37" s="47"/>
      <c r="F37" s="47"/>
      <c r="G37" s="47"/>
      <c r="H37" s="47"/>
    </row>
    <row r="38" spans="1:8">
      <c r="A38" s="47"/>
      <c r="B38" s="47"/>
      <c r="C38" s="47"/>
      <c r="D38" s="47"/>
      <c r="E38" s="47"/>
      <c r="F38" s="47"/>
      <c r="G38" s="47"/>
      <c r="H38" s="47"/>
    </row>
    <row r="39" spans="1:8">
      <c r="A39" s="47"/>
      <c r="B39" s="47"/>
      <c r="C39" s="47"/>
      <c r="D39" s="47"/>
      <c r="E39" s="47"/>
      <c r="F39" s="47"/>
      <c r="G39" s="47"/>
      <c r="H39" s="47"/>
    </row>
    <row r="40" spans="1:8">
      <c r="A40" s="47"/>
      <c r="B40" s="47"/>
      <c r="C40" s="47"/>
      <c r="D40" s="47"/>
      <c r="E40" s="47"/>
      <c r="F40" s="47"/>
      <c r="G40" s="47"/>
      <c r="H40" s="47"/>
    </row>
    <row r="41" spans="1:8">
      <c r="A41" s="47"/>
      <c r="B41" s="47"/>
      <c r="C41" s="47"/>
      <c r="D41" s="47"/>
      <c r="E41" s="47"/>
      <c r="F41" s="47"/>
      <c r="G41" s="47"/>
      <c r="H41" s="47"/>
    </row>
    <row r="42" spans="1:8">
      <c r="A42" s="47"/>
      <c r="B42" s="47"/>
      <c r="C42" s="47"/>
      <c r="D42" s="47"/>
      <c r="E42" s="47"/>
      <c r="F42" s="47"/>
      <c r="G42" s="47"/>
      <c r="H42" s="47"/>
    </row>
    <row r="43" spans="1:8">
      <c r="A43" s="47"/>
      <c r="B43" s="47"/>
      <c r="C43" s="47"/>
      <c r="D43" s="47"/>
      <c r="E43" s="47"/>
      <c r="F43" s="47"/>
      <c r="G43" s="47"/>
      <c r="H43" s="47"/>
    </row>
    <row r="44" spans="1:8">
      <c r="A44" s="47"/>
      <c r="B44" s="47"/>
      <c r="C44" s="47"/>
      <c r="D44" s="47"/>
      <c r="E44" s="47"/>
      <c r="F44" s="47"/>
      <c r="G44" s="47"/>
      <c r="H44" s="47"/>
    </row>
    <row r="45" spans="1:8">
      <c r="A45" s="47"/>
      <c r="B45" s="47"/>
      <c r="C45" s="47"/>
      <c r="D45" s="47"/>
      <c r="E45" s="47"/>
      <c r="F45" s="47"/>
      <c r="G45" s="47"/>
      <c r="H45" s="47"/>
    </row>
    <row r="46" spans="1:8">
      <c r="A46" s="47"/>
      <c r="B46" s="47"/>
      <c r="C46" s="47"/>
      <c r="D46" s="47"/>
      <c r="E46" s="47"/>
      <c r="F46" s="47"/>
      <c r="G46" s="47"/>
      <c r="H46" s="47"/>
    </row>
    <row r="47" spans="1:8">
      <c r="A47" s="47"/>
      <c r="B47" s="47"/>
      <c r="C47" s="47"/>
      <c r="D47" s="47"/>
      <c r="E47" s="47"/>
      <c r="F47" s="47"/>
      <c r="G47" s="47"/>
      <c r="H47" s="47"/>
    </row>
    <row r="48" spans="1:8">
      <c r="A48" s="47"/>
      <c r="B48" s="47"/>
      <c r="C48" s="47"/>
      <c r="D48" s="47"/>
      <c r="E48" s="47"/>
      <c r="F48" s="47"/>
      <c r="G48" s="47"/>
      <c r="H48" s="47"/>
    </row>
    <row r="49" spans="1:8">
      <c r="A49" s="47"/>
      <c r="B49" s="47"/>
      <c r="C49" s="47"/>
      <c r="D49" s="47"/>
      <c r="E49" s="47"/>
      <c r="F49" s="47"/>
      <c r="G49" s="47"/>
      <c r="H49" s="47"/>
    </row>
    <row r="50" spans="1:8">
      <c r="A50" s="47"/>
      <c r="B50" s="47"/>
      <c r="C50" s="47"/>
      <c r="D50" s="47"/>
      <c r="E50" s="47"/>
      <c r="F50" s="47"/>
      <c r="G50" s="47"/>
      <c r="H50" s="47"/>
    </row>
    <row r="51" spans="1:8">
      <c r="A51" s="47"/>
      <c r="B51" s="47"/>
      <c r="C51" s="47"/>
      <c r="D51" s="47"/>
      <c r="E51" s="47"/>
      <c r="F51" s="47"/>
      <c r="G51" s="47"/>
      <c r="H51" s="47"/>
    </row>
    <row r="52" spans="1:8">
      <c r="A52" s="47"/>
      <c r="B52" s="47"/>
      <c r="C52" s="47"/>
      <c r="D52" s="47"/>
      <c r="E52" s="47"/>
      <c r="F52" s="47"/>
      <c r="G52" s="47"/>
      <c r="H52" s="47"/>
    </row>
    <row r="53" spans="1:8">
      <c r="A53" s="47"/>
      <c r="B53" s="47"/>
      <c r="C53" s="47"/>
      <c r="D53" s="47"/>
      <c r="E53" s="47"/>
      <c r="F53" s="47"/>
      <c r="G53" s="47"/>
      <c r="H53" s="47"/>
    </row>
    <row r="54" spans="1:8">
      <c r="A54" s="47"/>
      <c r="B54" s="47"/>
      <c r="C54" s="47"/>
      <c r="D54" s="47"/>
      <c r="E54" s="47"/>
      <c r="F54" s="47"/>
      <c r="G54" s="47"/>
      <c r="H54" s="47"/>
    </row>
    <row r="55" spans="1:8">
      <c r="A55" s="47"/>
      <c r="B55" s="47"/>
      <c r="C55" s="47"/>
      <c r="D55" s="47"/>
      <c r="E55" s="47"/>
      <c r="F55" s="47"/>
      <c r="G55" s="47"/>
      <c r="H55" s="47"/>
    </row>
    <row r="56" spans="1:8">
      <c r="A56" s="47"/>
      <c r="B56" s="47"/>
      <c r="C56" s="47"/>
      <c r="D56" s="47"/>
      <c r="E56" s="47"/>
      <c r="F56" s="47"/>
      <c r="G56" s="47"/>
      <c r="H56" s="47"/>
    </row>
    <row r="57" spans="1:8">
      <c r="A57" s="47"/>
      <c r="B57" s="47"/>
      <c r="C57" s="47"/>
      <c r="D57" s="47"/>
      <c r="E57" s="47"/>
      <c r="F57" s="47"/>
      <c r="G57" s="47"/>
      <c r="H57" s="47"/>
    </row>
    <row r="58" spans="1:8">
      <c r="A58" s="47"/>
      <c r="B58" s="47"/>
      <c r="C58" s="47"/>
      <c r="D58" s="47"/>
      <c r="E58" s="47"/>
      <c r="F58" s="47"/>
      <c r="G58" s="47"/>
      <c r="H58" s="47"/>
    </row>
    <row r="59" spans="1:8">
      <c r="A59" s="47"/>
      <c r="B59" s="47"/>
      <c r="C59" s="47"/>
      <c r="D59" s="47"/>
      <c r="E59" s="47"/>
      <c r="F59" s="47"/>
      <c r="G59" s="47"/>
      <c r="H59" s="47"/>
    </row>
    <row r="60" spans="1:8">
      <c r="A60" s="47"/>
      <c r="B60" s="47"/>
      <c r="C60" s="47"/>
      <c r="D60" s="47"/>
      <c r="E60" s="47"/>
      <c r="F60" s="47"/>
      <c r="G60" s="47"/>
      <c r="H60" s="47"/>
    </row>
    <row r="61" spans="1:8">
      <c r="A61" s="47"/>
      <c r="B61" s="47"/>
      <c r="C61" s="47"/>
      <c r="D61" s="47"/>
      <c r="E61" s="47"/>
      <c r="F61" s="47"/>
      <c r="G61" s="47"/>
      <c r="H61" s="47"/>
    </row>
    <row r="62" spans="1:8">
      <c r="A62" s="47"/>
      <c r="B62" s="47"/>
      <c r="C62" s="47"/>
      <c r="D62" s="47"/>
      <c r="E62" s="47"/>
      <c r="F62" s="47"/>
      <c r="G62" s="47"/>
      <c r="H62" s="47"/>
    </row>
    <row r="63" spans="1:8">
      <c r="A63" s="47"/>
      <c r="B63" s="47"/>
      <c r="C63" s="47"/>
      <c r="D63" s="47"/>
      <c r="E63" s="47"/>
      <c r="F63" s="47"/>
      <c r="G63" s="47"/>
      <c r="H63" s="47"/>
    </row>
    <row r="64" spans="1:8">
      <c r="A64" s="47"/>
      <c r="B64" s="47"/>
      <c r="C64" s="47"/>
      <c r="D64" s="47"/>
      <c r="E64" s="47"/>
      <c r="F64" s="47"/>
      <c r="G64" s="47"/>
      <c r="H64" s="47"/>
    </row>
    <row r="65" spans="1:8">
      <c r="A65" s="47"/>
      <c r="B65" s="47"/>
      <c r="C65" s="47"/>
      <c r="D65" s="47"/>
      <c r="E65" s="47"/>
      <c r="F65" s="47"/>
      <c r="G65" s="47"/>
      <c r="H65" s="47"/>
    </row>
    <row r="66" spans="1:8">
      <c r="A66" s="47"/>
      <c r="B66" s="47"/>
      <c r="C66" s="47"/>
      <c r="D66" s="47"/>
      <c r="E66" s="47"/>
      <c r="F66" s="47"/>
      <c r="G66" s="47"/>
      <c r="H66" s="47"/>
    </row>
    <row r="67" spans="1:8">
      <c r="A67" s="47"/>
      <c r="B67" s="47"/>
      <c r="C67" s="47"/>
      <c r="D67" s="47"/>
      <c r="E67" s="47"/>
      <c r="F67" s="47"/>
      <c r="G67" s="47"/>
      <c r="H67" s="47"/>
    </row>
    <row r="68" spans="1:8">
      <c r="A68" s="47"/>
      <c r="B68" s="47"/>
      <c r="C68" s="47"/>
      <c r="D68" s="47"/>
      <c r="E68" s="47"/>
      <c r="F68" s="47"/>
      <c r="G68" s="47"/>
      <c r="H68" s="47"/>
    </row>
    <row r="69" spans="1:8">
      <c r="A69" s="47"/>
      <c r="B69" s="47"/>
      <c r="C69" s="47"/>
      <c r="D69" s="47"/>
      <c r="E69" s="47"/>
      <c r="F69" s="47"/>
      <c r="G69" s="47"/>
      <c r="H69" s="47"/>
    </row>
    <row r="70" spans="1:8">
      <c r="A70" s="47"/>
      <c r="B70" s="47"/>
      <c r="C70" s="47"/>
      <c r="D70" s="47"/>
      <c r="E70" s="47"/>
      <c r="F70" s="47"/>
      <c r="G70" s="47"/>
      <c r="H70" s="47"/>
    </row>
    <row r="71" spans="1:8">
      <c r="A71" s="47"/>
      <c r="B71" s="47"/>
      <c r="C71" s="47"/>
      <c r="D71" s="47"/>
      <c r="E71" s="47"/>
      <c r="F71" s="47"/>
      <c r="G71" s="47"/>
      <c r="H71" s="47"/>
    </row>
    <row r="72" spans="1:8">
      <c r="A72" s="47"/>
      <c r="B72" s="47"/>
      <c r="C72" s="47"/>
      <c r="D72" s="47"/>
      <c r="E72" s="47"/>
      <c r="F72" s="47"/>
      <c r="G72" s="47"/>
      <c r="H72" s="47"/>
    </row>
    <row r="73" spans="1:8">
      <c r="A73" s="47"/>
      <c r="B73" s="47"/>
      <c r="C73" s="47"/>
      <c r="D73" s="47"/>
      <c r="E73" s="47"/>
      <c r="F73" s="47"/>
      <c r="G73" s="47"/>
      <c r="H73" s="47"/>
    </row>
    <row r="74" spans="1:8">
      <c r="A74" s="47"/>
      <c r="B74" s="47"/>
      <c r="C74" s="47"/>
      <c r="D74" s="47"/>
      <c r="E74" s="47"/>
      <c r="F74" s="47"/>
      <c r="G74" s="47"/>
      <c r="H74" s="47"/>
    </row>
    <row r="75" spans="1:8">
      <c r="A75" s="47"/>
      <c r="B75" s="47"/>
      <c r="C75" s="47"/>
      <c r="D75" s="47"/>
      <c r="E75" s="47"/>
      <c r="F75" s="47"/>
      <c r="G75" s="47"/>
      <c r="H75" s="47"/>
    </row>
    <row r="76" spans="1:8">
      <c r="A76" s="47"/>
      <c r="B76" s="47"/>
      <c r="C76" s="47"/>
      <c r="D76" s="47"/>
      <c r="E76" s="47"/>
      <c r="F76" s="47"/>
      <c r="G76" s="47"/>
      <c r="H76" s="47"/>
    </row>
    <row r="77" spans="1:8">
      <c r="A77" s="47"/>
      <c r="B77" s="47"/>
      <c r="C77" s="47"/>
      <c r="D77" s="47"/>
      <c r="E77" s="47"/>
      <c r="F77" s="47"/>
      <c r="G77" s="47"/>
      <c r="H77" s="47"/>
    </row>
    <row r="78" spans="1:8">
      <c r="A78" s="47"/>
      <c r="B78" s="47"/>
      <c r="C78" s="47"/>
      <c r="D78" s="47"/>
      <c r="E78" s="47"/>
      <c r="F78" s="47"/>
      <c r="G78" s="47"/>
      <c r="H78" s="47"/>
    </row>
    <row r="79" spans="1:8">
      <c r="A79" s="47"/>
      <c r="B79" s="47"/>
      <c r="C79" s="47"/>
      <c r="D79" s="47"/>
      <c r="E79" s="47"/>
      <c r="F79" s="47"/>
      <c r="G79" s="47"/>
      <c r="H79" s="47"/>
    </row>
    <row r="80" spans="1:8">
      <c r="A80" s="47"/>
      <c r="B80" s="47"/>
      <c r="C80" s="47"/>
      <c r="D80" s="47"/>
      <c r="E80" s="47"/>
      <c r="F80" s="47"/>
      <c r="G80" s="47"/>
      <c r="H80" s="47"/>
    </row>
    <row r="81" spans="1:8">
      <c r="A81" s="47"/>
      <c r="B81" s="47"/>
      <c r="C81" s="47"/>
      <c r="D81" s="47"/>
      <c r="E81" s="47"/>
      <c r="F81" s="47"/>
      <c r="G81" s="47"/>
      <c r="H81" s="47"/>
    </row>
    <row r="82" spans="1:8">
      <c r="A82" s="47"/>
      <c r="B82" s="47"/>
      <c r="C82" s="47"/>
      <c r="D82" s="47"/>
      <c r="E82" s="47"/>
      <c r="F82" s="47"/>
      <c r="G82" s="47"/>
      <c r="H82" s="47"/>
    </row>
    <row r="83" spans="1:8">
      <c r="A83" s="47"/>
      <c r="B83" s="47"/>
      <c r="C83" s="47"/>
      <c r="D83" s="47"/>
      <c r="E83" s="47"/>
      <c r="F83" s="47"/>
      <c r="G83" s="47"/>
      <c r="H83" s="47"/>
    </row>
    <row r="84" spans="1:8">
      <c r="A84" s="47"/>
      <c r="B84" s="47"/>
      <c r="C84" s="47"/>
      <c r="D84" s="47"/>
      <c r="E84" s="47"/>
      <c r="F84" s="47"/>
      <c r="G84" s="47"/>
      <c r="H84" s="47"/>
    </row>
    <row r="85" spans="1:8">
      <c r="A85" s="47"/>
      <c r="B85" s="47"/>
      <c r="C85" s="47"/>
      <c r="D85" s="47"/>
      <c r="E85" s="47"/>
      <c r="F85" s="47"/>
      <c r="G85" s="47"/>
      <c r="H85" s="47"/>
    </row>
    <row r="86" spans="1:8">
      <c r="A86" s="47"/>
      <c r="B86" s="47"/>
      <c r="C86" s="47"/>
      <c r="D86" s="47"/>
      <c r="E86" s="47"/>
      <c r="F86" s="47"/>
      <c r="G86" s="47"/>
      <c r="H86" s="47"/>
    </row>
    <row r="87" spans="1:8">
      <c r="A87" s="47"/>
      <c r="B87" s="47"/>
      <c r="C87" s="47"/>
      <c r="D87" s="47"/>
      <c r="E87" s="47"/>
      <c r="F87" s="47"/>
      <c r="G87" s="47"/>
      <c r="H87" s="47"/>
    </row>
    <row r="88" spans="1:8">
      <c r="A88" s="47"/>
      <c r="B88" s="47"/>
      <c r="C88" s="47"/>
      <c r="D88" s="47"/>
      <c r="E88" s="47"/>
      <c r="F88" s="47"/>
      <c r="G88" s="47"/>
      <c r="H88" s="47"/>
    </row>
    <row r="89" spans="1:8">
      <c r="A89" s="47"/>
      <c r="B89" s="47"/>
      <c r="C89" s="47"/>
      <c r="D89" s="47"/>
      <c r="E89" s="47"/>
      <c r="F89" s="47"/>
      <c r="G89" s="47"/>
      <c r="H89" s="47"/>
    </row>
    <row r="90" spans="1:8">
      <c r="A90" s="47"/>
      <c r="B90" s="47"/>
      <c r="C90" s="47"/>
      <c r="D90" s="47"/>
      <c r="E90" s="47"/>
      <c r="F90" s="47"/>
      <c r="G90" s="47"/>
      <c r="H90" s="47"/>
    </row>
    <row r="91" spans="1:8">
      <c r="A91" s="47"/>
      <c r="B91" s="47"/>
      <c r="C91" s="47"/>
      <c r="D91" s="47"/>
      <c r="E91" s="47"/>
      <c r="F91" s="47"/>
      <c r="G91" s="47"/>
      <c r="H91" s="47"/>
    </row>
    <row r="92" spans="1:8">
      <c r="A92" s="47"/>
      <c r="B92" s="47"/>
      <c r="C92" s="47"/>
      <c r="D92" s="47"/>
      <c r="E92" s="47"/>
      <c r="F92" s="47"/>
      <c r="G92" s="47"/>
      <c r="H92" s="47"/>
    </row>
    <row r="93" spans="1:8">
      <c r="A93" s="47"/>
      <c r="B93" s="47"/>
      <c r="C93" s="47"/>
      <c r="D93" s="47"/>
      <c r="E93" s="47"/>
      <c r="F93" s="47"/>
      <c r="G93" s="47"/>
      <c r="H93" s="47"/>
    </row>
    <row r="94" spans="1:8">
      <c r="A94" s="47"/>
      <c r="B94" s="47"/>
      <c r="C94" s="47"/>
      <c r="D94" s="47"/>
      <c r="E94" s="47"/>
      <c r="F94" s="47"/>
      <c r="G94" s="47"/>
      <c r="H94" s="47"/>
    </row>
    <row r="95" spans="1:8">
      <c r="A95" s="47"/>
      <c r="B95" s="47"/>
      <c r="C95" s="47"/>
      <c r="D95" s="47"/>
      <c r="E95" s="47"/>
      <c r="F95" s="47"/>
      <c r="G95" s="47"/>
      <c r="H95" s="47"/>
    </row>
    <row r="96" spans="1:8">
      <c r="A96" s="47"/>
      <c r="B96" s="47"/>
      <c r="C96" s="47"/>
      <c r="D96" s="47"/>
      <c r="E96" s="47"/>
      <c r="F96" s="47"/>
      <c r="G96" s="47"/>
      <c r="H96" s="47"/>
    </row>
    <row r="97" spans="1:8">
      <c r="A97" s="47"/>
      <c r="B97" s="47"/>
      <c r="C97" s="47"/>
      <c r="D97" s="47"/>
      <c r="E97" s="47"/>
      <c r="F97" s="47"/>
      <c r="G97" s="47"/>
      <c r="H97" s="47"/>
    </row>
    <row r="98" spans="1:8">
      <c r="A98" s="47"/>
      <c r="B98" s="47"/>
      <c r="C98" s="47"/>
      <c r="D98" s="47"/>
      <c r="E98" s="47"/>
      <c r="F98" s="47"/>
      <c r="G98" s="47"/>
      <c r="H98" s="47"/>
    </row>
    <row r="99" spans="1:8">
      <c r="A99" s="47"/>
      <c r="B99" s="47"/>
      <c r="C99" s="47"/>
      <c r="D99" s="47"/>
      <c r="E99" s="47"/>
      <c r="F99" s="47"/>
      <c r="G99" s="47"/>
      <c r="H99" s="47"/>
    </row>
    <row r="100" spans="1:8">
      <c r="A100" s="47"/>
      <c r="B100" s="47"/>
      <c r="C100" s="47"/>
      <c r="D100" s="47"/>
      <c r="E100" s="47"/>
      <c r="F100" s="47"/>
      <c r="G100" s="47"/>
      <c r="H100" s="47"/>
    </row>
    <row r="101" spans="1:8">
      <c r="A101" s="47"/>
      <c r="B101" s="47"/>
      <c r="C101" s="47"/>
      <c r="D101" s="47"/>
      <c r="E101" s="47"/>
      <c r="F101" s="47"/>
      <c r="G101" s="47"/>
      <c r="H101" s="47"/>
    </row>
    <row r="102" spans="1:8">
      <c r="A102" s="47"/>
      <c r="B102" s="47"/>
      <c r="C102" s="47"/>
      <c r="D102" s="47"/>
      <c r="E102" s="47"/>
      <c r="F102" s="47"/>
      <c r="G102" s="47"/>
      <c r="H102" s="47"/>
    </row>
    <row r="103" spans="1:8">
      <c r="A103" s="47"/>
      <c r="B103" s="47"/>
      <c r="C103" s="47"/>
      <c r="D103" s="47"/>
      <c r="E103" s="47"/>
      <c r="F103" s="47"/>
      <c r="G103" s="47"/>
      <c r="H103" s="47"/>
    </row>
    <row r="104" spans="1:8">
      <c r="A104" s="47"/>
      <c r="B104" s="47"/>
      <c r="C104" s="47"/>
      <c r="D104" s="47"/>
      <c r="E104" s="47"/>
      <c r="F104" s="47"/>
      <c r="G104" s="47"/>
      <c r="H104" s="47"/>
    </row>
    <row r="105" spans="1:8">
      <c r="A105" s="47"/>
      <c r="B105" s="47"/>
      <c r="C105" s="47"/>
      <c r="D105" s="47"/>
      <c r="E105" s="47"/>
      <c r="F105" s="47"/>
      <c r="G105" s="47"/>
      <c r="H105" s="47"/>
    </row>
    <row r="106" spans="1:8">
      <c r="A106" s="47"/>
      <c r="B106" s="47"/>
      <c r="C106" s="47"/>
      <c r="D106" s="47"/>
      <c r="E106" s="47"/>
      <c r="F106" s="47"/>
      <c r="G106" s="47"/>
      <c r="H106" s="47"/>
    </row>
    <row r="107" spans="1:8">
      <c r="A107" s="47"/>
      <c r="B107" s="47"/>
      <c r="C107" s="47"/>
      <c r="D107" s="47"/>
      <c r="E107" s="47"/>
      <c r="F107" s="47"/>
      <c r="G107" s="47"/>
      <c r="H107" s="47"/>
    </row>
    <row r="108" spans="1:8">
      <c r="A108" s="47"/>
      <c r="B108" s="47"/>
      <c r="C108" s="47"/>
      <c r="D108" s="47"/>
      <c r="E108" s="47"/>
      <c r="F108" s="47"/>
      <c r="G108" s="47"/>
      <c r="H108" s="47"/>
    </row>
    <row r="109" spans="1:8">
      <c r="A109" s="47"/>
      <c r="B109" s="47"/>
      <c r="C109" s="47"/>
      <c r="D109" s="47"/>
      <c r="E109" s="47"/>
      <c r="F109" s="47"/>
      <c r="G109" s="47"/>
      <c r="H109" s="47"/>
    </row>
    <row r="110" spans="1:8">
      <c r="A110" s="47"/>
      <c r="B110" s="47"/>
      <c r="C110" s="47"/>
      <c r="D110" s="47"/>
      <c r="E110" s="47"/>
      <c r="F110" s="47"/>
      <c r="G110" s="47"/>
      <c r="H110" s="47"/>
    </row>
    <row r="111" spans="1:8">
      <c r="A111" s="47"/>
      <c r="B111" s="47"/>
      <c r="C111" s="47"/>
      <c r="D111" s="47"/>
      <c r="E111" s="47"/>
      <c r="F111" s="47"/>
      <c r="G111" s="47"/>
      <c r="H111" s="47"/>
    </row>
    <row r="112" spans="1:8">
      <c r="A112" s="47"/>
      <c r="B112" s="47"/>
      <c r="C112" s="47"/>
      <c r="D112" s="47"/>
      <c r="E112" s="47"/>
      <c r="F112" s="47"/>
      <c r="G112" s="47"/>
      <c r="H112" s="47"/>
    </row>
    <row r="113" spans="1:8">
      <c r="A113" s="47"/>
      <c r="B113" s="47"/>
      <c r="C113" s="47"/>
      <c r="D113" s="47"/>
      <c r="E113" s="47"/>
      <c r="F113" s="47"/>
      <c r="G113" s="47"/>
      <c r="H113" s="47"/>
    </row>
    <row r="114" spans="1:8">
      <c r="A114" s="47"/>
      <c r="B114" s="47"/>
      <c r="C114" s="47"/>
      <c r="D114" s="47"/>
      <c r="E114" s="47"/>
      <c r="F114" s="47"/>
      <c r="G114" s="47"/>
      <c r="H114" s="47"/>
    </row>
    <row r="115" spans="1:8">
      <c r="A115" s="47"/>
      <c r="B115" s="47"/>
      <c r="C115" s="47"/>
      <c r="D115" s="47"/>
      <c r="E115" s="47"/>
      <c r="F115" s="47"/>
      <c r="G115" s="47"/>
      <c r="H115" s="47"/>
    </row>
    <row r="116" spans="1:8">
      <c r="A116" s="47"/>
      <c r="B116" s="47"/>
      <c r="C116" s="47"/>
      <c r="D116" s="47"/>
      <c r="E116" s="47"/>
      <c r="F116" s="47"/>
      <c r="G116" s="47"/>
      <c r="H116" s="47"/>
    </row>
    <row r="117" spans="1:8">
      <c r="A117" s="47"/>
      <c r="B117" s="47"/>
      <c r="C117" s="47"/>
      <c r="D117" s="47"/>
      <c r="E117" s="47"/>
      <c r="F117" s="47"/>
      <c r="G117" s="47"/>
      <c r="H117" s="47"/>
    </row>
    <row r="118" spans="1:8">
      <c r="A118" s="47"/>
      <c r="B118" s="47"/>
      <c r="C118" s="47"/>
      <c r="D118" s="47"/>
      <c r="E118" s="47"/>
      <c r="F118" s="47"/>
      <c r="G118" s="47"/>
      <c r="H118" s="47"/>
    </row>
    <row r="119" spans="1:8">
      <c r="A119" s="47"/>
      <c r="B119" s="47"/>
      <c r="C119" s="47"/>
      <c r="D119" s="47"/>
      <c r="E119" s="47"/>
      <c r="F119" s="47"/>
      <c r="G119" s="47"/>
      <c r="H119" s="47"/>
    </row>
    <row r="120" spans="1:8">
      <c r="A120" s="47"/>
      <c r="B120" s="47"/>
      <c r="C120" s="47"/>
      <c r="D120" s="47"/>
      <c r="E120" s="47"/>
      <c r="F120" s="47"/>
      <c r="G120" s="47"/>
      <c r="H120" s="47"/>
    </row>
    <row r="121" spans="1:8">
      <c r="A121" s="47"/>
      <c r="B121" s="47"/>
      <c r="C121" s="47"/>
      <c r="D121" s="47"/>
      <c r="E121" s="47"/>
      <c r="F121" s="47"/>
      <c r="G121" s="47"/>
      <c r="H121" s="47"/>
    </row>
    <row r="122" spans="1:8">
      <c r="A122" s="47"/>
      <c r="B122" s="47"/>
      <c r="C122" s="47"/>
      <c r="D122" s="47"/>
      <c r="E122" s="47"/>
      <c r="F122" s="47"/>
      <c r="G122" s="47"/>
      <c r="H122" s="47"/>
    </row>
    <row r="123" spans="1:8">
      <c r="A123" s="47"/>
      <c r="B123" s="47"/>
      <c r="C123" s="47"/>
      <c r="D123" s="47"/>
      <c r="E123" s="47"/>
      <c r="F123" s="47"/>
      <c r="G123" s="47"/>
      <c r="H123" s="47"/>
    </row>
    <row r="124" spans="1:8">
      <c r="A124" s="47"/>
      <c r="B124" s="47"/>
      <c r="C124" s="47"/>
      <c r="D124" s="47"/>
      <c r="E124" s="47"/>
      <c r="F124" s="47"/>
      <c r="G124" s="47"/>
      <c r="H124" s="47"/>
    </row>
    <row r="125" spans="1:8">
      <c r="A125" s="47"/>
      <c r="B125" s="47"/>
      <c r="C125" s="47"/>
      <c r="D125" s="47"/>
      <c r="E125" s="47"/>
      <c r="F125" s="47"/>
      <c r="G125" s="47"/>
      <c r="H125" s="47"/>
    </row>
    <row r="126" spans="1:8">
      <c r="A126" s="47"/>
      <c r="B126" s="47"/>
      <c r="C126" s="47"/>
      <c r="D126" s="47"/>
      <c r="E126" s="47"/>
      <c r="F126" s="47"/>
      <c r="G126" s="47"/>
      <c r="H126" s="47"/>
    </row>
    <row r="127" spans="1:8">
      <c r="A127" s="47"/>
      <c r="B127" s="47"/>
      <c r="C127" s="47"/>
      <c r="D127" s="47"/>
      <c r="E127" s="47"/>
      <c r="F127" s="47"/>
      <c r="G127" s="47"/>
      <c r="H127" s="47"/>
    </row>
    <row r="128" spans="1:8">
      <c r="A128" s="47"/>
      <c r="B128" s="47"/>
      <c r="C128" s="47"/>
      <c r="D128" s="47"/>
      <c r="E128" s="47"/>
      <c r="F128" s="47"/>
      <c r="G128" s="47"/>
      <c r="H128" s="47"/>
    </row>
    <row r="129" spans="1:8">
      <c r="A129" s="47"/>
      <c r="B129" s="47"/>
      <c r="C129" s="47"/>
      <c r="D129" s="47"/>
      <c r="E129" s="47"/>
      <c r="F129" s="47"/>
      <c r="G129" s="47"/>
      <c r="H129" s="47"/>
    </row>
    <row r="130" spans="1:8">
      <c r="A130" s="47"/>
      <c r="B130" s="47"/>
      <c r="C130" s="47"/>
      <c r="D130" s="47"/>
      <c r="E130" s="47"/>
      <c r="F130" s="47"/>
      <c r="G130" s="47"/>
      <c r="H130" s="47"/>
    </row>
    <row r="131" spans="1:8">
      <c r="A131" s="47"/>
      <c r="B131" s="47"/>
      <c r="C131" s="47"/>
      <c r="D131" s="47"/>
      <c r="E131" s="47"/>
      <c r="F131" s="47"/>
      <c r="G131" s="47"/>
      <c r="H131" s="47"/>
    </row>
    <row r="132" spans="1:8">
      <c r="A132" s="47"/>
      <c r="B132" s="47"/>
      <c r="C132" s="47"/>
      <c r="D132" s="47"/>
      <c r="E132" s="47"/>
      <c r="F132" s="47"/>
      <c r="G132" s="47"/>
      <c r="H132" s="47"/>
    </row>
    <row r="133" spans="1:8">
      <c r="A133" s="47"/>
      <c r="B133" s="47"/>
      <c r="C133" s="47"/>
      <c r="D133" s="47"/>
      <c r="E133" s="47"/>
      <c r="F133" s="47"/>
      <c r="G133" s="47"/>
      <c r="H133" s="47"/>
    </row>
    <row r="134" spans="1:8">
      <c r="A134" s="47"/>
      <c r="B134" s="47"/>
      <c r="C134" s="47"/>
      <c r="D134" s="47"/>
      <c r="E134" s="47"/>
      <c r="F134" s="47"/>
      <c r="G134" s="47"/>
      <c r="H134" s="47"/>
    </row>
    <row r="135" spans="1:8">
      <c r="A135" s="47"/>
      <c r="B135" s="47"/>
      <c r="C135" s="47"/>
      <c r="D135" s="47"/>
      <c r="E135" s="47"/>
      <c r="F135" s="47"/>
      <c r="G135" s="47"/>
      <c r="H135" s="47"/>
    </row>
    <row r="136" spans="1:8">
      <c r="A136" s="47"/>
      <c r="B136" s="47"/>
      <c r="C136" s="47"/>
      <c r="D136" s="47"/>
      <c r="E136" s="47"/>
      <c r="F136" s="47"/>
      <c r="G136" s="47"/>
      <c r="H136" s="47"/>
    </row>
    <row r="137" spans="1:8">
      <c r="A137" s="47"/>
      <c r="B137" s="47"/>
      <c r="C137" s="47"/>
      <c r="D137" s="47"/>
      <c r="E137" s="47"/>
      <c r="F137" s="47"/>
      <c r="G137" s="47"/>
      <c r="H137" s="47"/>
    </row>
    <row r="138" spans="1:8">
      <c r="A138" s="47"/>
      <c r="B138" s="47"/>
      <c r="C138" s="47"/>
      <c r="D138" s="47"/>
      <c r="E138" s="47"/>
      <c r="F138" s="47"/>
      <c r="G138" s="47"/>
      <c r="H138" s="47"/>
    </row>
    <row r="139" spans="1:8">
      <c r="A139" s="47"/>
      <c r="B139" s="47"/>
      <c r="C139" s="47"/>
      <c r="D139" s="47"/>
      <c r="E139" s="47"/>
      <c r="F139" s="47"/>
      <c r="G139" s="47"/>
      <c r="H139" s="47"/>
    </row>
    <row r="140" spans="1:8">
      <c r="A140" s="47"/>
      <c r="B140" s="47"/>
      <c r="C140" s="47"/>
      <c r="D140" s="47"/>
      <c r="E140" s="47"/>
      <c r="F140" s="47"/>
      <c r="G140" s="47"/>
      <c r="H140" s="47"/>
    </row>
    <row r="141" spans="1:8">
      <c r="A141" s="47"/>
      <c r="B141" s="47"/>
      <c r="C141" s="47"/>
      <c r="D141" s="47"/>
      <c r="E141" s="47"/>
      <c r="F141" s="47"/>
      <c r="G141" s="47"/>
      <c r="H141" s="47"/>
    </row>
    <row r="142" spans="1:8">
      <c r="A142" s="47"/>
      <c r="B142" s="47"/>
      <c r="C142" s="47"/>
      <c r="D142" s="47"/>
      <c r="E142" s="47"/>
      <c r="F142" s="47"/>
      <c r="G142" s="47"/>
      <c r="H142" s="47"/>
    </row>
    <row r="143" spans="1:8">
      <c r="A143" s="47"/>
      <c r="B143" s="47"/>
      <c r="C143" s="47"/>
      <c r="D143" s="47"/>
      <c r="E143" s="47"/>
      <c r="F143" s="47"/>
      <c r="G143" s="47"/>
      <c r="H143" s="47"/>
    </row>
    <row r="144" spans="1:8">
      <c r="A144" s="47"/>
      <c r="B144" s="47"/>
      <c r="C144" s="47"/>
      <c r="D144" s="47"/>
      <c r="E144" s="47"/>
      <c r="F144" s="47"/>
      <c r="G144" s="47"/>
      <c r="H144" s="47"/>
    </row>
    <row r="145" spans="1:8">
      <c r="A145" s="47"/>
      <c r="B145" s="47"/>
      <c r="C145" s="47"/>
      <c r="D145" s="47"/>
      <c r="E145" s="47"/>
      <c r="F145" s="47"/>
      <c r="G145" s="47"/>
      <c r="H145" s="47"/>
    </row>
    <row r="146" spans="1:8">
      <c r="A146" s="47"/>
      <c r="B146" s="47"/>
      <c r="C146" s="47"/>
      <c r="D146" s="47"/>
      <c r="E146" s="47"/>
      <c r="F146" s="47"/>
      <c r="G146" s="47"/>
      <c r="H146" s="47"/>
    </row>
    <row r="147" spans="1:8">
      <c r="A147" s="47"/>
      <c r="B147" s="47"/>
      <c r="C147" s="47"/>
      <c r="D147" s="47"/>
      <c r="E147" s="47"/>
      <c r="F147" s="47"/>
      <c r="G147" s="47"/>
      <c r="H147" s="47"/>
    </row>
    <row r="148" spans="1:8">
      <c r="A148" s="47"/>
      <c r="B148" s="47"/>
      <c r="C148" s="47"/>
      <c r="D148" s="47"/>
      <c r="E148" s="47"/>
      <c r="F148" s="47"/>
      <c r="G148" s="47"/>
      <c r="H148" s="47"/>
    </row>
    <row r="149" spans="1:8">
      <c r="A149" s="47"/>
      <c r="B149" s="47"/>
      <c r="C149" s="47"/>
      <c r="D149" s="47"/>
      <c r="E149" s="47"/>
      <c r="F149" s="47"/>
      <c r="G149" s="47"/>
      <c r="H149" s="47"/>
    </row>
    <row r="150" spans="1:8">
      <c r="A150" s="47"/>
      <c r="B150" s="47"/>
      <c r="C150" s="47"/>
      <c r="D150" s="47"/>
      <c r="E150" s="47"/>
      <c r="F150" s="47"/>
      <c r="G150" s="47"/>
      <c r="H150" s="47"/>
    </row>
    <row r="151" spans="1:8">
      <c r="A151" s="47"/>
      <c r="B151" s="47"/>
      <c r="C151" s="47"/>
      <c r="D151" s="47"/>
      <c r="E151" s="47"/>
      <c r="F151" s="47"/>
      <c r="G151" s="47"/>
      <c r="H151" s="47"/>
    </row>
    <row r="152" spans="1:8">
      <c r="A152" s="47"/>
      <c r="B152" s="47"/>
      <c r="C152" s="47"/>
      <c r="D152" s="47"/>
      <c r="E152" s="47"/>
      <c r="F152" s="47"/>
      <c r="G152" s="47"/>
      <c r="H152" s="47"/>
    </row>
    <row r="153" spans="1:8">
      <c r="A153" s="47"/>
      <c r="B153" s="47"/>
      <c r="C153" s="47"/>
      <c r="D153" s="47"/>
      <c r="E153" s="47"/>
      <c r="F153" s="47"/>
      <c r="G153" s="47"/>
      <c r="H153" s="47"/>
    </row>
    <row r="154" spans="1:8">
      <c r="A154" s="47"/>
      <c r="B154" s="47"/>
      <c r="C154" s="47"/>
      <c r="D154" s="47"/>
      <c r="E154" s="47"/>
      <c r="F154" s="47"/>
      <c r="G154" s="47"/>
      <c r="H154" s="47"/>
    </row>
    <row r="155" spans="1:8">
      <c r="A155" s="47"/>
      <c r="B155" s="47"/>
      <c r="C155" s="47"/>
      <c r="D155" s="47"/>
      <c r="E155" s="47"/>
      <c r="F155" s="47"/>
      <c r="G155" s="47"/>
      <c r="H155" s="47"/>
    </row>
    <row r="156" spans="1:8">
      <c r="A156" s="47"/>
      <c r="B156" s="47"/>
      <c r="C156" s="47"/>
      <c r="D156" s="47"/>
      <c r="E156" s="47"/>
      <c r="F156" s="47"/>
      <c r="G156" s="47"/>
      <c r="H156" s="47"/>
    </row>
    <row r="157" spans="1:8">
      <c r="A157" s="47"/>
      <c r="B157" s="47"/>
      <c r="C157" s="47"/>
      <c r="D157" s="47"/>
      <c r="E157" s="47"/>
      <c r="F157" s="47"/>
      <c r="G157" s="47"/>
      <c r="H157" s="47"/>
    </row>
    <row r="158" spans="1:8">
      <c r="A158" s="47"/>
      <c r="B158" s="47"/>
      <c r="C158" s="47"/>
      <c r="D158" s="47"/>
      <c r="E158" s="47"/>
      <c r="F158" s="47"/>
      <c r="G158" s="47"/>
      <c r="H158" s="47"/>
    </row>
    <row r="159" spans="1:8">
      <c r="A159" s="47"/>
      <c r="B159" s="47"/>
      <c r="C159" s="47"/>
      <c r="D159" s="47"/>
      <c r="E159" s="47"/>
      <c r="F159" s="47"/>
      <c r="G159" s="47"/>
      <c r="H159" s="47"/>
    </row>
    <row r="160" spans="1:8">
      <c r="A160" s="47"/>
      <c r="B160" s="47"/>
      <c r="C160" s="47"/>
      <c r="D160" s="47"/>
      <c r="E160" s="47"/>
      <c r="F160" s="47"/>
      <c r="G160" s="47"/>
      <c r="H160" s="47"/>
    </row>
    <row r="161" spans="1:8">
      <c r="A161" s="47"/>
      <c r="B161" s="47"/>
      <c r="C161" s="47"/>
      <c r="D161" s="47"/>
      <c r="E161" s="47"/>
      <c r="F161" s="47"/>
      <c r="G161" s="47"/>
      <c r="H161" s="47"/>
    </row>
    <row r="162" spans="1:8">
      <c r="A162" s="47"/>
      <c r="B162" s="47"/>
      <c r="C162" s="47"/>
      <c r="D162" s="47"/>
      <c r="E162" s="47"/>
      <c r="F162" s="47"/>
      <c r="G162" s="47"/>
      <c r="H162" s="47"/>
    </row>
    <row r="163" spans="1:8">
      <c r="A163" s="47"/>
      <c r="B163" s="47"/>
      <c r="C163" s="47"/>
      <c r="D163" s="47"/>
      <c r="E163" s="47"/>
      <c r="F163" s="47"/>
      <c r="G163" s="47"/>
      <c r="H163" s="47"/>
    </row>
    <row r="164" spans="1:8">
      <c r="A164" s="47"/>
      <c r="B164" s="47"/>
      <c r="C164" s="47"/>
      <c r="D164" s="47"/>
      <c r="E164" s="47"/>
      <c r="F164" s="47"/>
      <c r="G164" s="47"/>
      <c r="H164" s="47"/>
    </row>
    <row r="165" spans="1:8">
      <c r="A165" s="47"/>
      <c r="B165" s="47"/>
      <c r="C165" s="47"/>
      <c r="D165" s="47"/>
      <c r="E165" s="47"/>
      <c r="F165" s="47"/>
      <c r="G165" s="47"/>
      <c r="H165" s="47"/>
    </row>
    <row r="166" spans="1:8">
      <c r="A166" s="47"/>
      <c r="B166" s="47"/>
      <c r="C166" s="47"/>
      <c r="D166" s="47"/>
      <c r="E166" s="47"/>
      <c r="F166" s="47"/>
      <c r="G166" s="47"/>
      <c r="H166" s="47"/>
    </row>
    <row r="167" spans="1:8">
      <c r="A167" s="47"/>
      <c r="B167" s="47"/>
      <c r="C167" s="47"/>
      <c r="D167" s="47"/>
      <c r="E167" s="47"/>
      <c r="F167" s="47"/>
      <c r="G167" s="47"/>
      <c r="H167" s="47"/>
    </row>
    <row r="168" spans="1:8">
      <c r="A168" s="47"/>
      <c r="B168" s="47"/>
      <c r="C168" s="47"/>
      <c r="D168" s="47"/>
      <c r="E168" s="47"/>
      <c r="F168" s="47"/>
      <c r="G168" s="47"/>
      <c r="H168" s="47"/>
    </row>
    <row r="169" spans="1:8">
      <c r="A169" s="47"/>
      <c r="B169" s="47"/>
      <c r="C169" s="47"/>
      <c r="D169" s="47"/>
      <c r="E169" s="47"/>
      <c r="F169" s="47"/>
      <c r="G169" s="47"/>
      <c r="H169" s="47"/>
    </row>
    <row r="170" spans="1:8">
      <c r="A170" s="47"/>
      <c r="B170" s="47"/>
      <c r="C170" s="47"/>
      <c r="D170" s="47"/>
      <c r="E170" s="47"/>
      <c r="F170" s="47"/>
      <c r="G170" s="47"/>
      <c r="H170" s="47"/>
    </row>
    <row r="171" spans="1:8">
      <c r="A171" s="47"/>
      <c r="B171" s="47"/>
      <c r="C171" s="47"/>
      <c r="D171" s="47"/>
      <c r="E171" s="47"/>
      <c r="F171" s="47"/>
      <c r="G171" s="47"/>
      <c r="H171" s="47"/>
    </row>
    <row r="172" spans="1:8">
      <c r="A172" s="47"/>
      <c r="B172" s="47"/>
      <c r="C172" s="47"/>
      <c r="D172" s="47"/>
      <c r="E172" s="47"/>
      <c r="F172" s="47"/>
      <c r="G172" s="47"/>
      <c r="H172" s="47"/>
    </row>
    <row r="173" spans="1:8">
      <c r="A173" s="47"/>
      <c r="B173" s="47"/>
      <c r="C173" s="47"/>
      <c r="D173" s="47"/>
      <c r="E173" s="47"/>
      <c r="F173" s="47"/>
      <c r="G173" s="47"/>
      <c r="H173" s="47"/>
    </row>
    <row r="174" spans="1:8">
      <c r="A174" s="47"/>
      <c r="B174" s="47"/>
      <c r="C174" s="47"/>
      <c r="D174" s="47"/>
      <c r="E174" s="47"/>
      <c r="F174" s="47"/>
      <c r="G174" s="47"/>
      <c r="H174" s="47"/>
    </row>
    <row r="175" spans="1:8">
      <c r="A175" s="47"/>
      <c r="B175" s="47"/>
      <c r="C175" s="47"/>
      <c r="D175" s="47"/>
      <c r="E175" s="47"/>
      <c r="F175" s="47"/>
      <c r="G175" s="47"/>
      <c r="H175" s="47"/>
    </row>
    <row r="176" spans="1:8">
      <c r="A176" s="47"/>
      <c r="B176" s="47"/>
      <c r="C176" s="47"/>
      <c r="D176" s="47"/>
      <c r="E176" s="47"/>
      <c r="F176" s="47"/>
      <c r="G176" s="47"/>
      <c r="H176" s="47"/>
    </row>
    <row r="177" spans="1:8">
      <c r="A177" s="47"/>
      <c r="B177" s="47"/>
      <c r="C177" s="47"/>
      <c r="D177" s="47"/>
      <c r="E177" s="47"/>
      <c r="F177" s="47"/>
      <c r="G177" s="47"/>
      <c r="H177" s="47"/>
    </row>
    <row r="178" spans="1:8">
      <c r="A178" s="47"/>
      <c r="B178" s="47"/>
      <c r="C178" s="47"/>
      <c r="D178" s="47"/>
      <c r="E178" s="47"/>
      <c r="F178" s="47"/>
      <c r="G178" s="47"/>
      <c r="H178" s="47"/>
    </row>
    <row r="179" spans="1:8">
      <c r="A179" s="47"/>
      <c r="B179" s="47"/>
      <c r="C179" s="47"/>
      <c r="D179" s="47"/>
      <c r="E179" s="47"/>
      <c r="F179" s="47"/>
      <c r="G179" s="47"/>
      <c r="H179" s="47"/>
    </row>
    <row r="180" spans="1:8">
      <c r="A180" s="47"/>
      <c r="B180" s="47"/>
      <c r="C180" s="47"/>
      <c r="D180" s="47"/>
      <c r="E180" s="47"/>
      <c r="F180" s="47"/>
      <c r="G180" s="47"/>
      <c r="H180" s="47"/>
    </row>
    <row r="181" spans="1:8">
      <c r="A181" s="47"/>
      <c r="B181" s="47"/>
      <c r="C181" s="47"/>
      <c r="D181" s="47"/>
      <c r="E181" s="47"/>
      <c r="F181" s="47"/>
      <c r="G181" s="47"/>
      <c r="H181" s="47"/>
    </row>
    <row r="182" spans="1:8">
      <c r="A182" s="47"/>
      <c r="B182" s="47"/>
      <c r="C182" s="47"/>
      <c r="D182" s="47"/>
      <c r="E182" s="47"/>
      <c r="F182" s="47"/>
      <c r="G182" s="47"/>
      <c r="H182" s="47"/>
    </row>
    <row r="183" spans="1:8">
      <c r="A183" s="47"/>
      <c r="B183" s="47"/>
      <c r="C183" s="47"/>
      <c r="D183" s="47"/>
      <c r="E183" s="47"/>
      <c r="F183" s="47"/>
      <c r="G183" s="47"/>
      <c r="H183" s="47"/>
    </row>
    <row r="184" spans="1:8">
      <c r="A184" s="47"/>
      <c r="B184" s="47"/>
      <c r="C184" s="47"/>
      <c r="D184" s="47"/>
      <c r="E184" s="47"/>
      <c r="F184" s="47"/>
      <c r="G184" s="47"/>
      <c r="H184" s="47"/>
    </row>
    <row r="185" spans="1:8">
      <c r="A185" s="47"/>
      <c r="B185" s="47"/>
      <c r="C185" s="47"/>
      <c r="D185" s="47"/>
      <c r="E185" s="47"/>
      <c r="F185" s="47"/>
      <c r="G185" s="47"/>
      <c r="H185" s="47"/>
    </row>
    <row r="186" spans="1:8">
      <c r="A186" s="47"/>
      <c r="B186" s="47"/>
      <c r="C186" s="47"/>
      <c r="D186" s="47"/>
      <c r="E186" s="47"/>
      <c r="F186" s="47"/>
      <c r="G186" s="47"/>
      <c r="H186" s="47"/>
    </row>
    <row r="187" spans="1:8">
      <c r="A187" s="47"/>
      <c r="B187" s="47"/>
      <c r="C187" s="47"/>
      <c r="D187" s="47"/>
      <c r="E187" s="47"/>
      <c r="F187" s="47"/>
      <c r="G187" s="47"/>
      <c r="H187" s="47"/>
    </row>
    <row r="188" spans="1:8">
      <c r="A188" s="47"/>
      <c r="B188" s="47"/>
      <c r="C188" s="47"/>
      <c r="D188" s="47"/>
      <c r="E188" s="47"/>
      <c r="F188" s="47"/>
      <c r="G188" s="47"/>
      <c r="H188" s="47"/>
    </row>
    <row r="189" spans="1:8">
      <c r="A189" s="47"/>
      <c r="B189" s="47"/>
      <c r="C189" s="47"/>
      <c r="D189" s="47"/>
      <c r="E189" s="47"/>
      <c r="F189" s="47"/>
      <c r="G189" s="47"/>
      <c r="H189" s="47"/>
    </row>
    <row r="190" spans="1:8">
      <c r="A190" s="47"/>
      <c r="B190" s="47"/>
      <c r="C190" s="47"/>
      <c r="D190" s="47"/>
      <c r="E190" s="47"/>
      <c r="F190" s="47"/>
      <c r="G190" s="47"/>
      <c r="H190" s="47"/>
    </row>
    <row r="191" spans="1:8">
      <c r="A191" s="47"/>
      <c r="B191" s="47"/>
      <c r="C191" s="47"/>
      <c r="D191" s="47"/>
      <c r="E191" s="47"/>
      <c r="F191" s="47"/>
      <c r="G191" s="47"/>
      <c r="H191" s="47"/>
    </row>
    <row r="192" spans="1:8">
      <c r="A192" s="47"/>
      <c r="B192" s="47"/>
      <c r="C192" s="47"/>
      <c r="D192" s="47"/>
      <c r="E192" s="47"/>
      <c r="F192" s="47"/>
      <c r="G192" s="47"/>
      <c r="H192" s="47"/>
    </row>
    <row r="193" spans="1:8">
      <c r="A193" s="47"/>
      <c r="B193" s="47"/>
      <c r="C193" s="47"/>
      <c r="D193" s="47"/>
      <c r="E193" s="47"/>
      <c r="F193" s="47"/>
      <c r="G193" s="47"/>
      <c r="H193" s="47"/>
    </row>
    <row r="194" spans="1:8">
      <c r="A194" s="47"/>
      <c r="B194" s="47"/>
      <c r="C194" s="47"/>
      <c r="D194" s="47"/>
      <c r="E194" s="47"/>
      <c r="F194" s="47"/>
      <c r="G194" s="47"/>
      <c r="H194" s="47"/>
    </row>
    <row r="195" spans="1:8">
      <c r="A195" s="47"/>
      <c r="B195" s="47"/>
      <c r="C195" s="47"/>
      <c r="D195" s="47"/>
      <c r="E195" s="47"/>
      <c r="F195" s="47"/>
      <c r="G195" s="47"/>
      <c r="H195" s="47"/>
    </row>
    <row r="196" spans="1:8">
      <c r="A196" s="47"/>
      <c r="B196" s="47"/>
      <c r="C196" s="47"/>
      <c r="D196" s="47"/>
      <c r="E196" s="47"/>
      <c r="F196" s="47"/>
      <c r="G196" s="47"/>
      <c r="H196" s="47"/>
    </row>
    <row r="197" spans="1:8">
      <c r="A197" s="47"/>
      <c r="B197" s="47"/>
      <c r="C197" s="47"/>
      <c r="D197" s="47"/>
      <c r="E197" s="47"/>
      <c r="F197" s="47"/>
      <c r="G197" s="47"/>
      <c r="H197" s="47"/>
    </row>
    <row r="198" spans="1:8">
      <c r="A198" s="47"/>
      <c r="B198" s="47"/>
      <c r="C198" s="47"/>
      <c r="D198" s="47"/>
      <c r="E198" s="47"/>
      <c r="F198" s="47"/>
      <c r="G198" s="47"/>
      <c r="H198" s="47"/>
    </row>
    <row r="199" spans="1:8">
      <c r="A199" s="47"/>
      <c r="B199" s="47"/>
      <c r="C199" s="47"/>
      <c r="D199" s="47"/>
      <c r="E199" s="47"/>
      <c r="F199" s="47"/>
      <c r="G199" s="47"/>
      <c r="H199" s="47"/>
    </row>
    <row r="200" spans="1:8">
      <c r="A200" s="47"/>
      <c r="B200" s="47"/>
      <c r="C200" s="47"/>
      <c r="D200" s="47"/>
      <c r="E200" s="47"/>
      <c r="F200" s="47"/>
      <c r="G200" s="47"/>
      <c r="H200" s="47"/>
    </row>
    <row r="201" spans="1:8">
      <c r="A201" s="47"/>
      <c r="B201" s="47"/>
      <c r="C201" s="47"/>
      <c r="D201" s="47"/>
      <c r="E201" s="47"/>
      <c r="F201" s="47"/>
      <c r="G201" s="47"/>
      <c r="H201" s="47"/>
    </row>
    <row r="202" spans="1:8">
      <c r="A202" s="47"/>
      <c r="B202" s="47"/>
      <c r="C202" s="47"/>
      <c r="D202" s="47"/>
      <c r="E202" s="47"/>
      <c r="F202" s="47"/>
      <c r="G202" s="47"/>
      <c r="H202" s="47"/>
    </row>
    <row r="203" spans="1:8">
      <c r="A203" s="47"/>
      <c r="B203" s="47"/>
      <c r="C203" s="47"/>
      <c r="D203" s="47"/>
      <c r="E203" s="47"/>
      <c r="F203" s="47"/>
      <c r="G203" s="47"/>
      <c r="H203" s="47"/>
    </row>
    <row r="204" spans="1:8">
      <c r="A204" s="47"/>
      <c r="B204" s="47"/>
      <c r="C204" s="47"/>
      <c r="D204" s="47"/>
      <c r="E204" s="47"/>
      <c r="F204" s="47"/>
      <c r="G204" s="47"/>
      <c r="H204" s="47"/>
    </row>
    <row r="205" spans="1:8">
      <c r="A205" s="47"/>
      <c r="B205" s="47"/>
      <c r="C205" s="47"/>
      <c r="D205" s="47"/>
      <c r="E205" s="47"/>
      <c r="F205" s="47"/>
      <c r="G205" s="47"/>
      <c r="H205" s="47"/>
    </row>
    <row r="206" spans="1:8">
      <c r="A206" s="47"/>
      <c r="B206" s="47"/>
      <c r="C206" s="47"/>
      <c r="D206" s="47"/>
      <c r="E206" s="47"/>
      <c r="F206" s="47"/>
      <c r="G206" s="47"/>
      <c r="H206" s="47"/>
    </row>
    <row r="207" spans="1:8">
      <c r="A207" s="47"/>
      <c r="B207" s="47"/>
      <c r="C207" s="47"/>
      <c r="D207" s="47"/>
      <c r="E207" s="47"/>
      <c r="F207" s="47"/>
      <c r="G207" s="47"/>
      <c r="H207" s="47"/>
    </row>
    <row r="208" spans="1:8">
      <c r="A208" s="47"/>
      <c r="B208" s="47"/>
      <c r="C208" s="47"/>
      <c r="D208" s="47"/>
      <c r="E208" s="47"/>
      <c r="F208" s="47"/>
      <c r="G208" s="47"/>
      <c r="H208" s="47"/>
    </row>
    <row r="209" spans="1:8">
      <c r="A209" s="47"/>
      <c r="B209" s="47"/>
      <c r="C209" s="47"/>
      <c r="D209" s="47"/>
      <c r="E209" s="47"/>
      <c r="F209" s="47"/>
      <c r="G209" s="47"/>
      <c r="H209" s="47"/>
    </row>
    <row r="210" spans="1:8">
      <c r="A210" s="47"/>
      <c r="B210" s="47"/>
      <c r="C210" s="47"/>
      <c r="D210" s="47"/>
      <c r="E210" s="47"/>
      <c r="F210" s="47"/>
      <c r="G210" s="47"/>
      <c r="H210" s="47"/>
    </row>
    <row r="211" spans="1:8">
      <c r="A211" s="47"/>
      <c r="B211" s="47"/>
      <c r="C211" s="47"/>
      <c r="D211" s="47"/>
      <c r="E211" s="47"/>
      <c r="F211" s="47"/>
      <c r="G211" s="47"/>
      <c r="H211" s="47"/>
    </row>
    <row r="212" spans="1:8">
      <c r="A212" s="47"/>
      <c r="B212" s="47"/>
      <c r="C212" s="47"/>
      <c r="D212" s="47"/>
      <c r="E212" s="47"/>
      <c r="F212" s="47"/>
      <c r="G212" s="47"/>
      <c r="H212" s="47"/>
    </row>
    <row r="213" spans="1:8">
      <c r="A213" s="47"/>
      <c r="B213" s="47"/>
      <c r="C213" s="47"/>
      <c r="D213" s="47"/>
      <c r="E213" s="47"/>
      <c r="F213" s="47"/>
      <c r="G213" s="47"/>
      <c r="H213" s="47"/>
    </row>
    <row r="214" spans="1:8">
      <c r="A214" s="47"/>
      <c r="B214" s="47"/>
      <c r="C214" s="47"/>
      <c r="D214" s="47"/>
      <c r="E214" s="47"/>
      <c r="F214" s="47"/>
      <c r="G214" s="47"/>
      <c r="H214" s="47"/>
    </row>
    <row r="215" spans="1:8">
      <c r="A215" s="47"/>
      <c r="B215" s="47"/>
      <c r="C215" s="47"/>
      <c r="D215" s="47"/>
      <c r="E215" s="47"/>
      <c r="F215" s="47"/>
      <c r="G215" s="47"/>
      <c r="H215" s="47"/>
    </row>
    <row r="216" spans="1:8">
      <c r="A216" s="47"/>
      <c r="B216" s="47"/>
      <c r="C216" s="47"/>
      <c r="D216" s="47"/>
      <c r="E216" s="47"/>
      <c r="F216" s="47"/>
      <c r="G216" s="47"/>
      <c r="H216" s="47"/>
    </row>
    <row r="217" spans="1:8">
      <c r="A217" s="47"/>
      <c r="B217" s="47"/>
      <c r="C217" s="47"/>
      <c r="D217" s="47"/>
      <c r="E217" s="47"/>
      <c r="F217" s="47"/>
      <c r="G217" s="47"/>
      <c r="H217" s="47"/>
    </row>
    <row r="218" spans="1:8">
      <c r="A218" s="47"/>
      <c r="B218" s="47"/>
      <c r="C218" s="47"/>
      <c r="D218" s="47"/>
      <c r="E218" s="47"/>
      <c r="F218" s="47"/>
      <c r="G218" s="47"/>
      <c r="H218" s="47"/>
    </row>
    <row r="219" spans="1:8">
      <c r="A219" s="47"/>
      <c r="B219" s="47"/>
      <c r="C219" s="47"/>
      <c r="D219" s="47"/>
      <c r="E219" s="47"/>
      <c r="F219" s="47"/>
      <c r="G219" s="47"/>
      <c r="H219" s="47"/>
    </row>
    <row r="220" spans="1:8">
      <c r="A220" s="47"/>
      <c r="B220" s="47"/>
      <c r="C220" s="47"/>
      <c r="D220" s="47"/>
      <c r="E220" s="47"/>
      <c r="F220" s="47"/>
      <c r="G220" s="47"/>
      <c r="H220" s="47"/>
    </row>
    <row r="221" spans="1:8">
      <c r="A221" s="47"/>
      <c r="B221" s="47"/>
      <c r="C221" s="47"/>
      <c r="D221" s="47"/>
      <c r="E221" s="47"/>
      <c r="F221" s="47"/>
      <c r="G221" s="47"/>
      <c r="H221" s="47"/>
    </row>
    <row r="222" spans="1:8">
      <c r="A222" s="47"/>
      <c r="B222" s="47"/>
      <c r="C222" s="47"/>
      <c r="D222" s="47"/>
      <c r="E222" s="47"/>
      <c r="F222" s="47"/>
      <c r="G222" s="47"/>
      <c r="H222" s="47"/>
    </row>
    <row r="223" spans="1:8">
      <c r="A223" s="47"/>
      <c r="B223" s="47"/>
      <c r="C223" s="47"/>
      <c r="D223" s="47"/>
      <c r="E223" s="47"/>
      <c r="F223" s="47"/>
      <c r="G223" s="47"/>
      <c r="H223" s="47"/>
    </row>
    <row r="224" spans="1:8">
      <c r="A224" s="47"/>
      <c r="B224" s="47"/>
      <c r="C224" s="47"/>
      <c r="D224" s="47"/>
      <c r="E224" s="47"/>
      <c r="F224" s="47"/>
      <c r="G224" s="47"/>
      <c r="H224" s="47"/>
    </row>
    <row r="225" spans="1:8">
      <c r="A225" s="47"/>
      <c r="B225" s="47"/>
      <c r="C225" s="47"/>
      <c r="D225" s="47"/>
      <c r="E225" s="47"/>
      <c r="F225" s="47"/>
      <c r="G225" s="47"/>
      <c r="H225" s="47"/>
    </row>
    <row r="226" spans="1:8">
      <c r="A226" s="47"/>
      <c r="B226" s="47"/>
      <c r="C226" s="47"/>
      <c r="D226" s="47"/>
      <c r="E226" s="47"/>
      <c r="F226" s="47"/>
      <c r="G226" s="47"/>
      <c r="H226" s="47"/>
    </row>
    <row r="227" spans="1:8">
      <c r="A227" s="47"/>
      <c r="B227" s="47"/>
      <c r="C227" s="47"/>
      <c r="D227" s="47"/>
      <c r="E227" s="47"/>
      <c r="F227" s="47"/>
      <c r="G227" s="47"/>
      <c r="H227" s="47"/>
    </row>
    <row r="228" spans="1:8">
      <c r="A228" s="47"/>
      <c r="B228" s="47"/>
      <c r="C228" s="47"/>
      <c r="D228" s="47"/>
      <c r="E228" s="47"/>
      <c r="F228" s="47"/>
      <c r="G228" s="47"/>
      <c r="H228" s="47"/>
    </row>
    <row r="229" spans="1:8">
      <c r="A229" s="47"/>
      <c r="B229" s="47"/>
      <c r="C229" s="47"/>
      <c r="D229" s="47"/>
      <c r="E229" s="47"/>
      <c r="F229" s="47"/>
      <c r="G229" s="47"/>
      <c r="H229" s="47"/>
    </row>
    <row r="230" spans="1:8">
      <c r="A230" s="47"/>
      <c r="B230" s="47"/>
      <c r="C230" s="47"/>
      <c r="D230" s="47"/>
      <c r="E230" s="47"/>
      <c r="F230" s="47"/>
      <c r="G230" s="47"/>
      <c r="H230" s="47"/>
    </row>
    <row r="231" spans="1:8">
      <c r="A231" s="47"/>
      <c r="B231" s="47"/>
      <c r="C231" s="47"/>
      <c r="D231" s="47"/>
      <c r="E231" s="47"/>
      <c r="F231" s="47"/>
      <c r="G231" s="47"/>
      <c r="H231" s="47"/>
    </row>
    <row r="232" spans="1:8">
      <c r="A232" s="47"/>
      <c r="B232" s="47"/>
      <c r="C232" s="47"/>
      <c r="D232" s="47"/>
      <c r="E232" s="47"/>
      <c r="F232" s="47"/>
      <c r="G232" s="47"/>
      <c r="H232" s="47"/>
    </row>
    <row r="233" spans="1:8">
      <c r="A233" s="47"/>
      <c r="B233" s="47"/>
      <c r="C233" s="47"/>
      <c r="D233" s="47"/>
      <c r="E233" s="47"/>
      <c r="F233" s="47"/>
      <c r="G233" s="47"/>
      <c r="H233" s="47"/>
    </row>
    <row r="234" spans="1:8">
      <c r="A234" s="47"/>
      <c r="B234" s="47"/>
      <c r="C234" s="47"/>
      <c r="D234" s="47"/>
      <c r="E234" s="47"/>
      <c r="F234" s="47"/>
      <c r="G234" s="47"/>
      <c r="H234" s="47"/>
    </row>
    <row r="235" spans="1:8">
      <c r="A235" s="47"/>
      <c r="B235" s="47"/>
      <c r="C235" s="47"/>
      <c r="D235" s="47"/>
      <c r="E235" s="47"/>
      <c r="F235" s="47"/>
      <c r="G235" s="47"/>
      <c r="H235" s="47"/>
    </row>
    <row r="236" spans="1:8">
      <c r="A236" s="47"/>
      <c r="B236" s="47"/>
      <c r="C236" s="47"/>
      <c r="D236" s="47"/>
      <c r="E236" s="47"/>
      <c r="F236" s="47"/>
      <c r="G236" s="47"/>
      <c r="H236" s="47"/>
    </row>
    <row r="237" spans="1:8">
      <c r="A237" s="47"/>
      <c r="B237" s="47"/>
      <c r="C237" s="47"/>
      <c r="D237" s="47"/>
      <c r="E237" s="47"/>
      <c r="F237" s="47"/>
      <c r="G237" s="47"/>
      <c r="H237" s="47"/>
    </row>
    <row r="238" spans="1:8">
      <c r="A238" s="47"/>
      <c r="B238" s="47"/>
      <c r="C238" s="47"/>
      <c r="D238" s="47"/>
      <c r="E238" s="47"/>
      <c r="F238" s="47"/>
      <c r="G238" s="47"/>
      <c r="H238" s="47"/>
    </row>
    <row r="239" spans="1:8">
      <c r="A239" s="47"/>
      <c r="B239" s="47"/>
      <c r="C239" s="47"/>
      <c r="D239" s="47"/>
      <c r="E239" s="47"/>
      <c r="F239" s="47"/>
      <c r="G239" s="47"/>
      <c r="H239" s="47"/>
    </row>
    <row r="240" spans="1:8">
      <c r="A240" s="47"/>
      <c r="B240" s="47"/>
      <c r="C240" s="47"/>
      <c r="D240" s="47"/>
      <c r="E240" s="47"/>
      <c r="F240" s="47"/>
      <c r="G240" s="47"/>
      <c r="H240" s="47"/>
    </row>
    <row r="241" spans="1:8">
      <c r="A241" s="47"/>
      <c r="B241" s="47"/>
      <c r="C241" s="47"/>
      <c r="D241" s="47"/>
      <c r="E241" s="47"/>
      <c r="F241" s="47"/>
      <c r="G241" s="47"/>
      <c r="H241" s="47"/>
    </row>
    <row r="242" spans="1:8">
      <c r="A242" s="47"/>
      <c r="B242" s="47"/>
      <c r="C242" s="47"/>
      <c r="D242" s="47"/>
      <c r="E242" s="47"/>
      <c r="F242" s="47"/>
      <c r="G242" s="47"/>
      <c r="H242" s="47"/>
    </row>
    <row r="243" spans="1:8">
      <c r="A243" s="47"/>
      <c r="B243" s="47"/>
      <c r="C243" s="47"/>
      <c r="D243" s="47"/>
      <c r="E243" s="47"/>
      <c r="F243" s="47"/>
      <c r="G243" s="47"/>
      <c r="H243" s="47"/>
    </row>
    <row r="244" spans="1:8">
      <c r="A244" s="47"/>
      <c r="B244" s="47"/>
      <c r="C244" s="47"/>
      <c r="D244" s="47"/>
      <c r="E244" s="47"/>
      <c r="F244" s="47"/>
      <c r="G244" s="47"/>
      <c r="H244" s="47"/>
    </row>
    <row r="245" spans="1:8">
      <c r="A245" s="47"/>
      <c r="B245" s="47"/>
      <c r="C245" s="47"/>
      <c r="D245" s="47"/>
      <c r="E245" s="47"/>
      <c r="F245" s="47"/>
      <c r="G245" s="47"/>
      <c r="H245" s="47"/>
    </row>
    <row r="246" spans="1:8">
      <c r="A246" s="47"/>
      <c r="B246" s="47"/>
      <c r="C246" s="47"/>
      <c r="D246" s="47"/>
      <c r="E246" s="47"/>
      <c r="F246" s="47"/>
      <c r="G246" s="47"/>
      <c r="H246" s="47"/>
    </row>
    <row r="247" spans="1:8">
      <c r="A247" s="47"/>
      <c r="B247" s="47"/>
      <c r="C247" s="47"/>
      <c r="D247" s="47"/>
      <c r="E247" s="47"/>
      <c r="F247" s="47"/>
      <c r="G247" s="47"/>
      <c r="H247" s="47"/>
    </row>
    <row r="248" spans="1:8">
      <c r="A248" s="47"/>
      <c r="B248" s="47"/>
      <c r="C248" s="47"/>
      <c r="D248" s="47"/>
      <c r="E248" s="47"/>
      <c r="F248" s="47"/>
      <c r="G248" s="47"/>
      <c r="H248" s="47"/>
    </row>
    <row r="249" spans="1:8">
      <c r="A249" s="47"/>
      <c r="B249" s="47"/>
      <c r="C249" s="47"/>
      <c r="D249" s="47"/>
      <c r="E249" s="47"/>
      <c r="F249" s="47"/>
      <c r="G249" s="47"/>
      <c r="H249" s="47"/>
    </row>
    <row r="250" spans="1:8">
      <c r="A250" s="47"/>
      <c r="B250" s="47"/>
      <c r="C250" s="47"/>
      <c r="D250" s="47"/>
      <c r="E250" s="47"/>
      <c r="F250" s="47"/>
      <c r="G250" s="47"/>
      <c r="H250" s="47"/>
    </row>
    <row r="251" spans="1:8">
      <c r="A251" s="47"/>
      <c r="B251" s="47"/>
      <c r="C251" s="47"/>
      <c r="D251" s="47"/>
      <c r="E251" s="47"/>
      <c r="F251" s="47"/>
      <c r="G251" s="47"/>
      <c r="H251" s="47"/>
    </row>
    <row r="252" spans="1:8">
      <c r="A252" s="47"/>
      <c r="B252" s="47"/>
      <c r="C252" s="47"/>
      <c r="D252" s="47"/>
      <c r="E252" s="47"/>
      <c r="F252" s="47"/>
      <c r="G252" s="47"/>
      <c r="H252" s="47"/>
    </row>
    <row r="253" spans="1:8">
      <c r="A253" s="47"/>
      <c r="B253" s="47"/>
      <c r="C253" s="47"/>
      <c r="D253" s="47"/>
      <c r="E253" s="47"/>
      <c r="F253" s="47"/>
      <c r="G253" s="47"/>
      <c r="H253" s="47"/>
    </row>
    <row r="254" spans="1:8">
      <c r="A254" s="47"/>
      <c r="B254" s="47"/>
      <c r="C254" s="47"/>
      <c r="D254" s="47"/>
      <c r="E254" s="47"/>
      <c r="F254" s="47"/>
      <c r="G254" s="47"/>
      <c r="H254" s="47"/>
    </row>
    <row r="255" spans="1:8">
      <c r="A255" s="47"/>
      <c r="B255" s="47"/>
      <c r="C255" s="47"/>
      <c r="D255" s="47"/>
      <c r="E255" s="47"/>
      <c r="F255" s="47"/>
      <c r="G255" s="47"/>
      <c r="H255" s="47"/>
    </row>
    <row r="256" spans="1:8">
      <c r="A256" s="47"/>
      <c r="B256" s="47"/>
      <c r="C256" s="47"/>
      <c r="D256" s="47"/>
      <c r="E256" s="47"/>
      <c r="F256" s="47"/>
      <c r="G256" s="47"/>
      <c r="H256" s="47"/>
    </row>
    <row r="257" spans="1:8">
      <c r="A257" s="47"/>
      <c r="B257" s="47"/>
      <c r="C257" s="47"/>
      <c r="D257" s="47"/>
      <c r="E257" s="47"/>
      <c r="F257" s="47"/>
      <c r="G257" s="47"/>
      <c r="H257" s="47"/>
    </row>
    <row r="258" spans="1:8">
      <c r="A258" s="47"/>
      <c r="B258" s="47"/>
      <c r="C258" s="47"/>
      <c r="D258" s="47"/>
      <c r="E258" s="47"/>
      <c r="F258" s="47"/>
      <c r="G258" s="47"/>
      <c r="H258" s="47"/>
    </row>
    <row r="259" spans="1:8">
      <c r="A259" s="47"/>
      <c r="B259" s="47"/>
      <c r="C259" s="47"/>
      <c r="D259" s="47"/>
      <c r="E259" s="47"/>
      <c r="F259" s="47"/>
      <c r="G259" s="47"/>
      <c r="H259" s="47"/>
    </row>
    <row r="260" spans="1:8">
      <c r="A260" s="47"/>
      <c r="B260" s="47"/>
      <c r="C260" s="47"/>
      <c r="D260" s="47"/>
      <c r="E260" s="47"/>
      <c r="F260" s="47"/>
      <c r="G260" s="47"/>
      <c r="H260" s="47"/>
    </row>
    <row r="261" spans="1:8">
      <c r="A261" s="47"/>
      <c r="B261" s="47"/>
      <c r="C261" s="47"/>
      <c r="D261" s="47"/>
      <c r="E261" s="47"/>
      <c r="F261" s="47"/>
      <c r="G261" s="47"/>
      <c r="H261" s="47"/>
    </row>
    <row r="262" spans="1:8">
      <c r="A262" s="47"/>
      <c r="B262" s="47"/>
      <c r="C262" s="47"/>
      <c r="D262" s="47"/>
      <c r="E262" s="47"/>
      <c r="F262" s="47"/>
      <c r="G262" s="47"/>
      <c r="H262" s="47"/>
    </row>
    <row r="263" spans="1:8">
      <c r="A263" s="47"/>
      <c r="B263" s="47"/>
      <c r="C263" s="47"/>
      <c r="D263" s="47"/>
      <c r="E263" s="47"/>
      <c r="F263" s="47"/>
      <c r="G263" s="47"/>
      <c r="H263" s="47"/>
    </row>
    <row r="264" spans="1:8">
      <c r="A264" s="47"/>
      <c r="B264" s="47"/>
      <c r="C264" s="47"/>
      <c r="D264" s="47"/>
      <c r="E264" s="47"/>
      <c r="F264" s="47"/>
      <c r="G264" s="47"/>
      <c r="H264" s="47"/>
    </row>
    <row r="265" spans="1:8">
      <c r="A265" s="47"/>
      <c r="B265" s="47"/>
      <c r="C265" s="47"/>
      <c r="D265" s="47"/>
      <c r="E265" s="47"/>
      <c r="F265" s="47"/>
      <c r="G265" s="47"/>
      <c r="H265" s="47"/>
    </row>
    <row r="266" spans="1:8">
      <c r="A266" s="47"/>
      <c r="B266" s="47"/>
      <c r="C266" s="47"/>
      <c r="D266" s="47"/>
      <c r="E266" s="47"/>
      <c r="F266" s="47"/>
      <c r="G266" s="47"/>
      <c r="H266" s="47"/>
    </row>
    <row r="267" spans="1:8">
      <c r="A267" s="47"/>
      <c r="B267" s="47"/>
      <c r="C267" s="47"/>
      <c r="D267" s="47"/>
      <c r="E267" s="47"/>
      <c r="F267" s="47"/>
      <c r="G267" s="47"/>
      <c r="H267" s="47"/>
    </row>
    <row r="268" spans="1:8">
      <c r="A268" s="47"/>
      <c r="B268" s="47"/>
      <c r="C268" s="47"/>
      <c r="D268" s="47"/>
      <c r="E268" s="47"/>
      <c r="F268" s="47"/>
      <c r="G268" s="47"/>
      <c r="H268" s="47"/>
    </row>
    <row r="269" spans="1:8">
      <c r="A269" s="47"/>
      <c r="B269" s="47"/>
      <c r="C269" s="47"/>
      <c r="D269" s="47"/>
      <c r="E269" s="47"/>
      <c r="F269" s="47"/>
      <c r="G269" s="47"/>
      <c r="H269" s="47"/>
    </row>
    <row r="270" spans="1:8">
      <c r="A270" s="47"/>
      <c r="B270" s="47"/>
      <c r="C270" s="47"/>
      <c r="D270" s="47"/>
      <c r="E270" s="47"/>
      <c r="F270" s="47"/>
      <c r="G270" s="47"/>
      <c r="H270" s="47"/>
    </row>
    <row r="271" spans="1:8">
      <c r="A271" s="47"/>
      <c r="B271" s="47"/>
      <c r="C271" s="47"/>
      <c r="D271" s="47"/>
      <c r="E271" s="47"/>
      <c r="F271" s="47"/>
      <c r="G271" s="47"/>
      <c r="H271" s="47"/>
    </row>
    <row r="272" spans="1:8">
      <c r="A272" s="47"/>
      <c r="B272" s="47"/>
      <c r="C272" s="47"/>
      <c r="D272" s="47"/>
      <c r="E272" s="47"/>
      <c r="F272" s="47"/>
      <c r="G272" s="47"/>
      <c r="H272" s="47"/>
    </row>
    <row r="273" spans="1:8">
      <c r="A273" s="47"/>
      <c r="B273" s="47"/>
      <c r="C273" s="47"/>
      <c r="D273" s="47"/>
      <c r="E273" s="47"/>
      <c r="F273" s="47"/>
      <c r="G273" s="47"/>
      <c r="H273" s="47"/>
    </row>
    <row r="274" spans="1:8">
      <c r="A274" s="47"/>
      <c r="B274" s="47"/>
      <c r="C274" s="47"/>
      <c r="D274" s="47"/>
      <c r="E274" s="47"/>
      <c r="F274" s="47"/>
      <c r="G274" s="47"/>
      <c r="H274" s="47"/>
    </row>
    <row r="275" spans="1:8">
      <c r="A275" s="47"/>
      <c r="B275" s="47"/>
      <c r="C275" s="47"/>
      <c r="D275" s="47"/>
      <c r="E275" s="47"/>
      <c r="F275" s="47"/>
      <c r="G275" s="47"/>
      <c r="H275" s="47"/>
    </row>
    <row r="276" spans="1:8">
      <c r="A276" s="47"/>
      <c r="B276" s="47"/>
      <c r="C276" s="47"/>
      <c r="D276" s="47"/>
      <c r="E276" s="47"/>
      <c r="F276" s="47"/>
      <c r="G276" s="47"/>
      <c r="H276" s="47"/>
    </row>
    <row r="277" spans="1:8">
      <c r="A277" s="47"/>
      <c r="B277" s="47"/>
      <c r="C277" s="47"/>
      <c r="D277" s="47"/>
      <c r="E277" s="47"/>
      <c r="F277" s="47"/>
      <c r="G277" s="47"/>
      <c r="H277" s="47"/>
    </row>
    <row r="278" spans="1:8">
      <c r="A278" s="47"/>
      <c r="B278" s="47"/>
      <c r="C278" s="47"/>
      <c r="D278" s="47"/>
      <c r="E278" s="47"/>
      <c r="F278" s="47"/>
      <c r="G278" s="47"/>
      <c r="H278" s="47"/>
    </row>
    <row r="279" spans="1:8">
      <c r="A279" s="47"/>
      <c r="B279" s="47"/>
      <c r="C279" s="47"/>
      <c r="D279" s="47"/>
      <c r="E279" s="47"/>
      <c r="F279" s="47"/>
      <c r="G279" s="47"/>
      <c r="H279" s="47"/>
    </row>
    <row r="280" spans="1:8">
      <c r="A280" s="47"/>
      <c r="B280" s="47"/>
      <c r="C280" s="47"/>
      <c r="D280" s="47"/>
      <c r="E280" s="47"/>
      <c r="F280" s="47"/>
      <c r="G280" s="47"/>
      <c r="H280" s="47"/>
    </row>
    <row r="281" spans="1:8">
      <c r="A281" s="47"/>
      <c r="B281" s="47"/>
      <c r="C281" s="47"/>
      <c r="D281" s="47"/>
      <c r="E281" s="47"/>
      <c r="F281" s="47"/>
      <c r="G281" s="47"/>
      <c r="H281" s="47"/>
    </row>
    <row r="282" spans="1:8">
      <c r="A282" s="47"/>
      <c r="B282" s="47"/>
      <c r="C282" s="47"/>
      <c r="D282" s="47"/>
      <c r="E282" s="47"/>
      <c r="F282" s="47"/>
      <c r="G282" s="47"/>
      <c r="H282" s="47"/>
    </row>
    <row r="283" spans="1:8">
      <c r="A283" s="47"/>
      <c r="B283" s="47"/>
      <c r="C283" s="47"/>
      <c r="D283" s="47"/>
      <c r="E283" s="47"/>
      <c r="F283" s="47"/>
      <c r="G283" s="47"/>
      <c r="H283" s="47"/>
    </row>
    <row r="284" spans="1:8">
      <c r="A284" s="47"/>
      <c r="B284" s="47"/>
      <c r="C284" s="47"/>
      <c r="D284" s="47"/>
      <c r="E284" s="47"/>
      <c r="F284" s="47"/>
      <c r="G284" s="47"/>
      <c r="H284" s="47"/>
    </row>
    <row r="285" spans="1:8">
      <c r="A285" s="47"/>
      <c r="B285" s="47"/>
      <c r="C285" s="47"/>
      <c r="D285" s="47"/>
      <c r="E285" s="47"/>
      <c r="F285" s="47"/>
      <c r="G285" s="47"/>
      <c r="H285" s="47"/>
    </row>
    <row r="286" spans="1:8">
      <c r="A286" s="47"/>
      <c r="B286" s="47"/>
      <c r="C286" s="47"/>
      <c r="D286" s="47"/>
      <c r="E286" s="47"/>
      <c r="F286" s="47"/>
      <c r="G286" s="47"/>
      <c r="H286" s="47"/>
    </row>
    <row r="287" spans="1:8">
      <c r="A287" s="47"/>
      <c r="B287" s="47"/>
      <c r="C287" s="47"/>
      <c r="D287" s="47"/>
      <c r="E287" s="47"/>
      <c r="F287" s="47"/>
      <c r="G287" s="47"/>
      <c r="H287" s="47"/>
    </row>
    <row r="288" spans="1:8">
      <c r="A288" s="47"/>
      <c r="B288" s="47"/>
      <c r="C288" s="47"/>
      <c r="D288" s="47"/>
      <c r="E288" s="47"/>
      <c r="F288" s="47"/>
      <c r="G288" s="47"/>
      <c r="H288" s="47"/>
    </row>
    <row r="289" spans="1:8">
      <c r="A289" s="47"/>
      <c r="B289" s="47"/>
      <c r="C289" s="47"/>
      <c r="D289" s="47"/>
      <c r="E289" s="47"/>
      <c r="F289" s="47"/>
      <c r="G289" s="47"/>
      <c r="H289" s="47"/>
    </row>
    <row r="290" spans="1:8">
      <c r="A290" s="47"/>
      <c r="B290" s="47"/>
      <c r="C290" s="47"/>
      <c r="D290" s="47"/>
      <c r="E290" s="47"/>
      <c r="F290" s="47"/>
      <c r="G290" s="47"/>
      <c r="H290" s="47"/>
    </row>
    <row r="291" spans="1:8">
      <c r="A291" s="47"/>
      <c r="B291" s="47"/>
      <c r="C291" s="47"/>
      <c r="D291" s="47"/>
      <c r="E291" s="47"/>
      <c r="F291" s="47"/>
      <c r="G291" s="47"/>
      <c r="H291" s="47"/>
    </row>
    <row r="292" spans="1:8">
      <c r="A292" s="47"/>
      <c r="B292" s="47"/>
      <c r="C292" s="47"/>
      <c r="D292" s="47"/>
      <c r="E292" s="47"/>
      <c r="F292" s="47"/>
      <c r="G292" s="47"/>
      <c r="H292" s="47"/>
    </row>
    <row r="293" spans="1:8">
      <c r="A293" s="47"/>
      <c r="B293" s="47"/>
      <c r="C293" s="47"/>
      <c r="D293" s="47"/>
      <c r="E293" s="47"/>
      <c r="F293" s="47"/>
      <c r="G293" s="47"/>
      <c r="H293" s="47"/>
    </row>
    <row r="294" spans="1:8">
      <c r="A294" s="47"/>
      <c r="B294" s="47"/>
      <c r="C294" s="47"/>
      <c r="D294" s="47"/>
      <c r="E294" s="47"/>
      <c r="F294" s="47"/>
      <c r="G294" s="47"/>
      <c r="H294" s="47"/>
    </row>
    <row r="295" spans="1:8">
      <c r="A295" s="47"/>
      <c r="B295" s="47"/>
      <c r="C295" s="47"/>
      <c r="D295" s="47"/>
      <c r="E295" s="47"/>
      <c r="F295" s="47"/>
      <c r="G295" s="47"/>
      <c r="H295" s="47"/>
    </row>
    <row r="296" spans="1:8">
      <c r="A296" s="47"/>
      <c r="B296" s="47"/>
      <c r="C296" s="47"/>
      <c r="D296" s="47"/>
      <c r="E296" s="47"/>
      <c r="F296" s="47"/>
      <c r="G296" s="47"/>
      <c r="H296" s="47"/>
    </row>
    <row r="297" spans="1:8">
      <c r="A297" s="47"/>
      <c r="B297" s="47"/>
      <c r="C297" s="47"/>
      <c r="D297" s="47"/>
      <c r="E297" s="47"/>
      <c r="F297" s="47"/>
      <c r="G297" s="47"/>
      <c r="H297" s="47"/>
    </row>
    <row r="298" spans="1:8">
      <c r="A298" s="47"/>
      <c r="B298" s="47"/>
      <c r="C298" s="47"/>
      <c r="D298" s="47"/>
      <c r="E298" s="47"/>
      <c r="F298" s="47"/>
      <c r="G298" s="47"/>
      <c r="H298" s="47"/>
    </row>
    <row r="299" spans="1:8">
      <c r="A299" s="47"/>
      <c r="B299" s="47"/>
      <c r="C299" s="47"/>
      <c r="D299" s="47"/>
      <c r="E299" s="47"/>
      <c r="F299" s="47"/>
      <c r="G299" s="47"/>
      <c r="H299" s="47"/>
    </row>
    <row r="300" spans="1:8">
      <c r="A300" s="47"/>
      <c r="B300" s="47"/>
      <c r="C300" s="47"/>
      <c r="D300" s="47"/>
      <c r="E300" s="47"/>
      <c r="F300" s="47"/>
      <c r="G300" s="47"/>
      <c r="H300" s="47"/>
    </row>
    <row r="301" spans="1:8">
      <c r="A301" s="47"/>
      <c r="B301" s="47"/>
      <c r="C301" s="47"/>
      <c r="D301" s="47"/>
      <c r="E301" s="47"/>
      <c r="F301" s="47"/>
      <c r="G301" s="47"/>
      <c r="H301" s="47"/>
    </row>
    <row r="302" spans="1:8">
      <c r="A302" s="47"/>
      <c r="B302" s="47"/>
      <c r="C302" s="47"/>
      <c r="D302" s="47"/>
      <c r="E302" s="47"/>
      <c r="F302" s="47"/>
      <c r="G302" s="47"/>
      <c r="H302" s="47"/>
    </row>
    <row r="303" spans="1:8">
      <c r="A303" s="47"/>
      <c r="B303" s="47"/>
      <c r="C303" s="47"/>
      <c r="D303" s="47"/>
      <c r="E303" s="47"/>
      <c r="F303" s="47"/>
      <c r="G303" s="47"/>
      <c r="H303" s="47"/>
    </row>
    <row r="304" spans="1:8">
      <c r="A304" s="47"/>
      <c r="B304" s="47"/>
      <c r="C304" s="47"/>
      <c r="D304" s="47"/>
      <c r="E304" s="47"/>
      <c r="F304" s="47"/>
      <c r="G304" s="47"/>
      <c r="H304" s="47"/>
    </row>
    <row r="305" spans="1:8">
      <c r="A305" s="47"/>
      <c r="B305" s="47"/>
      <c r="C305" s="47"/>
      <c r="D305" s="47"/>
      <c r="E305" s="47"/>
      <c r="F305" s="47"/>
      <c r="G305" s="47"/>
      <c r="H305" s="47"/>
    </row>
    <row r="306" spans="1:8">
      <c r="A306" s="47"/>
      <c r="B306" s="47"/>
      <c r="C306" s="47"/>
      <c r="D306" s="47"/>
      <c r="E306" s="47"/>
      <c r="F306" s="47"/>
      <c r="G306" s="47"/>
      <c r="H306" s="47"/>
    </row>
    <row r="307" spans="1:8">
      <c r="A307" s="47"/>
      <c r="B307" s="47"/>
      <c r="C307" s="47"/>
      <c r="D307" s="47"/>
      <c r="E307" s="47"/>
      <c r="F307" s="47"/>
      <c r="G307" s="47"/>
      <c r="H307" s="47"/>
    </row>
    <row r="308" spans="1:8">
      <c r="A308" s="47"/>
      <c r="B308" s="47"/>
      <c r="C308" s="47"/>
      <c r="D308" s="47"/>
      <c r="E308" s="47"/>
      <c r="F308" s="47"/>
      <c r="G308" s="47"/>
      <c r="H308" s="47"/>
    </row>
    <row r="309" spans="1:8">
      <c r="A309" s="47"/>
      <c r="B309" s="47"/>
      <c r="C309" s="47"/>
      <c r="D309" s="47"/>
      <c r="E309" s="47"/>
      <c r="F309" s="47"/>
      <c r="G309" s="47"/>
      <c r="H309" s="47"/>
    </row>
    <row r="310" spans="1:8">
      <c r="A310" s="47"/>
      <c r="B310" s="47"/>
      <c r="C310" s="47"/>
      <c r="D310" s="47"/>
      <c r="E310" s="47"/>
      <c r="F310" s="47"/>
      <c r="G310" s="47"/>
      <c r="H310" s="47"/>
    </row>
    <row r="311" spans="1:8">
      <c r="A311" s="47"/>
      <c r="B311" s="47"/>
      <c r="C311" s="47"/>
      <c r="D311" s="47"/>
      <c r="E311" s="47"/>
      <c r="F311" s="47"/>
      <c r="G311" s="47"/>
      <c r="H311" s="47"/>
    </row>
    <row r="312" spans="1:8">
      <c r="A312" s="47"/>
      <c r="B312" s="47"/>
      <c r="C312" s="47"/>
      <c r="D312" s="47"/>
      <c r="E312" s="47"/>
      <c r="F312" s="47"/>
      <c r="G312" s="47"/>
      <c r="H312" s="47"/>
    </row>
    <row r="313" spans="1:8">
      <c r="A313" s="47"/>
      <c r="B313" s="47"/>
      <c r="C313" s="47"/>
      <c r="D313" s="47"/>
      <c r="E313" s="47"/>
      <c r="F313" s="47"/>
      <c r="G313" s="47"/>
      <c r="H313" s="47"/>
    </row>
    <row r="314" spans="1:8">
      <c r="A314" s="47"/>
      <c r="B314" s="47"/>
      <c r="C314" s="47"/>
      <c r="D314" s="47"/>
      <c r="E314" s="47"/>
      <c r="F314" s="47"/>
      <c r="G314" s="47"/>
      <c r="H314" s="47"/>
    </row>
    <row r="315" spans="1:8">
      <c r="A315" s="47"/>
      <c r="B315" s="47"/>
      <c r="C315" s="47"/>
      <c r="D315" s="47"/>
      <c r="E315" s="47"/>
      <c r="F315" s="47"/>
      <c r="G315" s="47"/>
      <c r="H315" s="47"/>
    </row>
    <row r="316" spans="1:8">
      <c r="A316" s="47"/>
      <c r="B316" s="47"/>
      <c r="C316" s="47"/>
      <c r="D316" s="47"/>
      <c r="E316" s="47"/>
      <c r="F316" s="47"/>
      <c r="G316" s="47"/>
      <c r="H316" s="47"/>
    </row>
    <row r="317" spans="1:8">
      <c r="A317" s="47"/>
      <c r="B317" s="47"/>
      <c r="C317" s="47"/>
      <c r="D317" s="47"/>
      <c r="E317" s="47"/>
      <c r="F317" s="47"/>
      <c r="G317" s="47"/>
      <c r="H317" s="47"/>
    </row>
    <row r="318" spans="1:8">
      <c r="A318" s="47"/>
      <c r="B318" s="47"/>
      <c r="C318" s="47"/>
      <c r="D318" s="47"/>
      <c r="E318" s="47"/>
      <c r="F318" s="47"/>
      <c r="G318" s="47"/>
      <c r="H318" s="47"/>
    </row>
    <row r="319" spans="1:8">
      <c r="A319" s="47"/>
      <c r="B319" s="47"/>
      <c r="C319" s="47"/>
      <c r="D319" s="47"/>
      <c r="E319" s="47"/>
      <c r="F319" s="47"/>
      <c r="G319" s="47"/>
      <c r="H319" s="47"/>
    </row>
    <row r="320" spans="1:8">
      <c r="A320" s="47"/>
      <c r="B320" s="47"/>
      <c r="C320" s="47"/>
      <c r="D320" s="47"/>
      <c r="E320" s="47"/>
      <c r="F320" s="47"/>
      <c r="G320" s="47"/>
      <c r="H320" s="47"/>
    </row>
    <row r="321" spans="1:8">
      <c r="A321" s="47"/>
      <c r="B321" s="47"/>
      <c r="C321" s="47"/>
      <c r="D321" s="47"/>
      <c r="E321" s="47"/>
      <c r="F321" s="47"/>
      <c r="G321" s="47"/>
      <c r="H321" s="47"/>
    </row>
    <row r="322" spans="1:8">
      <c r="A322" s="47"/>
      <c r="B322" s="47"/>
      <c r="C322" s="47"/>
      <c r="D322" s="47"/>
      <c r="E322" s="47"/>
      <c r="F322" s="47"/>
      <c r="G322" s="47"/>
      <c r="H322" s="47"/>
    </row>
    <row r="323" spans="1:8">
      <c r="A323" s="47"/>
      <c r="B323" s="47"/>
      <c r="C323" s="47"/>
      <c r="D323" s="47"/>
      <c r="E323" s="47"/>
      <c r="F323" s="47"/>
      <c r="G323" s="47"/>
      <c r="H323" s="47"/>
    </row>
    <row r="324" spans="1:8">
      <c r="A324" s="47"/>
      <c r="B324" s="47"/>
      <c r="C324" s="47"/>
      <c r="D324" s="47"/>
      <c r="E324" s="47"/>
      <c r="F324" s="47"/>
      <c r="G324" s="47"/>
      <c r="H324" s="47"/>
    </row>
    <row r="325" spans="1:8">
      <c r="A325" s="47"/>
      <c r="B325" s="47"/>
      <c r="C325" s="47"/>
      <c r="D325" s="47"/>
      <c r="E325" s="47"/>
      <c r="F325" s="47"/>
      <c r="G325" s="47"/>
      <c r="H325" s="47"/>
    </row>
    <row r="326" spans="1:8">
      <c r="A326" s="47"/>
      <c r="B326" s="47"/>
      <c r="C326" s="47"/>
      <c r="D326" s="47"/>
      <c r="E326" s="47"/>
      <c r="F326" s="47"/>
      <c r="G326" s="47"/>
      <c r="H326" s="47"/>
    </row>
    <row r="327" spans="1:8">
      <c r="A327" s="47"/>
      <c r="B327" s="47"/>
      <c r="C327" s="47"/>
      <c r="D327" s="47"/>
      <c r="E327" s="47"/>
      <c r="F327" s="47"/>
      <c r="G327" s="47"/>
      <c r="H327" s="47"/>
    </row>
    <row r="328" spans="1:8">
      <c r="A328" s="47"/>
      <c r="B328" s="47"/>
      <c r="C328" s="47"/>
      <c r="D328" s="47"/>
      <c r="E328" s="47"/>
      <c r="F328" s="47"/>
      <c r="G328" s="47"/>
      <c r="H328" s="47"/>
    </row>
    <row r="329" spans="1:8">
      <c r="A329" s="47"/>
      <c r="B329" s="47"/>
      <c r="C329" s="47"/>
      <c r="D329" s="47"/>
      <c r="E329" s="47"/>
      <c r="F329" s="47"/>
      <c r="G329" s="47"/>
      <c r="H329" s="47"/>
    </row>
    <row r="330" spans="1:8">
      <c r="A330" s="47"/>
      <c r="B330" s="47"/>
      <c r="C330" s="47"/>
      <c r="D330" s="47"/>
      <c r="E330" s="47"/>
      <c r="F330" s="47"/>
      <c r="G330" s="47"/>
      <c r="H330" s="47"/>
    </row>
    <row r="331" spans="1:8">
      <c r="A331" s="47"/>
      <c r="B331" s="47"/>
      <c r="C331" s="47"/>
      <c r="D331" s="47"/>
      <c r="E331" s="47"/>
      <c r="F331" s="47"/>
      <c r="G331" s="47"/>
      <c r="H331" s="47"/>
    </row>
    <row r="332" spans="1:8">
      <c r="A332" s="47"/>
      <c r="B332" s="47"/>
      <c r="C332" s="47"/>
      <c r="D332" s="47"/>
      <c r="E332" s="47"/>
      <c r="F332" s="47"/>
      <c r="G332" s="47"/>
      <c r="H332" s="47"/>
    </row>
    <row r="333" spans="1:8">
      <c r="A333" s="47"/>
      <c r="B333" s="47"/>
      <c r="C333" s="47"/>
      <c r="D333" s="47"/>
      <c r="E333" s="47"/>
      <c r="F333" s="47"/>
      <c r="G333" s="47"/>
      <c r="H333" s="47"/>
    </row>
    <row r="334" spans="1:8">
      <c r="A334" s="47"/>
      <c r="B334" s="47"/>
      <c r="C334" s="47"/>
      <c r="D334" s="47"/>
      <c r="E334" s="47"/>
      <c r="F334" s="47"/>
      <c r="G334" s="47"/>
      <c r="H334" s="47"/>
    </row>
    <row r="335" spans="1:8">
      <c r="A335" s="47"/>
      <c r="B335" s="47"/>
      <c r="C335" s="47"/>
      <c r="D335" s="47"/>
      <c r="E335" s="47"/>
      <c r="F335" s="47"/>
      <c r="G335" s="47"/>
      <c r="H335" s="47"/>
    </row>
    <row r="336" spans="1:8">
      <c r="A336" s="47"/>
      <c r="B336" s="47"/>
      <c r="C336" s="47"/>
      <c r="D336" s="47"/>
      <c r="E336" s="47"/>
      <c r="F336" s="47"/>
      <c r="G336" s="47"/>
      <c r="H336" s="47"/>
    </row>
    <row r="337" spans="1:8">
      <c r="A337" s="47"/>
      <c r="B337" s="47"/>
      <c r="C337" s="47"/>
      <c r="D337" s="47"/>
      <c r="E337" s="47"/>
      <c r="F337" s="47"/>
      <c r="G337" s="47"/>
      <c r="H337" s="47"/>
    </row>
    <row r="338" spans="1:8">
      <c r="A338" s="47"/>
      <c r="B338" s="47"/>
      <c r="C338" s="47"/>
      <c r="D338" s="47"/>
      <c r="E338" s="47"/>
      <c r="F338" s="47"/>
      <c r="G338" s="47"/>
      <c r="H338" s="47"/>
    </row>
    <row r="339" spans="1:8">
      <c r="A339" s="47"/>
      <c r="B339" s="47"/>
      <c r="C339" s="47"/>
      <c r="D339" s="47"/>
      <c r="E339" s="47"/>
      <c r="F339" s="47"/>
      <c r="G339" s="47"/>
      <c r="H339" s="47"/>
    </row>
    <row r="340" spans="1:8">
      <c r="A340" s="47"/>
      <c r="B340" s="47"/>
      <c r="C340" s="47"/>
      <c r="D340" s="47"/>
      <c r="E340" s="47"/>
      <c r="F340" s="47"/>
      <c r="G340" s="47"/>
      <c r="H340" s="47"/>
    </row>
    <row r="341" spans="1:8">
      <c r="A341" s="47"/>
      <c r="B341" s="47"/>
      <c r="C341" s="47"/>
      <c r="D341" s="47"/>
      <c r="E341" s="47"/>
      <c r="F341" s="47"/>
      <c r="G341" s="47"/>
      <c r="H341" s="47"/>
    </row>
    <row r="342" spans="1:8">
      <c r="A342" s="47"/>
      <c r="B342" s="47"/>
      <c r="C342" s="47"/>
      <c r="D342" s="47"/>
      <c r="E342" s="47"/>
      <c r="F342" s="47"/>
      <c r="G342" s="47"/>
      <c r="H342" s="47"/>
    </row>
    <row r="343" spans="1:8">
      <c r="A343" s="47"/>
      <c r="B343" s="47"/>
      <c r="C343" s="47"/>
      <c r="D343" s="47"/>
      <c r="E343" s="47"/>
      <c r="F343" s="47"/>
      <c r="G343" s="47"/>
      <c r="H343" s="47"/>
    </row>
    <row r="344" spans="1:8">
      <c r="A344" s="47"/>
      <c r="B344" s="47"/>
      <c r="C344" s="47"/>
      <c r="D344" s="47"/>
      <c r="E344" s="47"/>
      <c r="F344" s="47"/>
      <c r="G344" s="47"/>
      <c r="H344" s="47"/>
    </row>
    <row r="345" spans="1:8">
      <c r="A345" s="47"/>
      <c r="B345" s="47"/>
      <c r="C345" s="47"/>
      <c r="D345" s="47"/>
      <c r="E345" s="47"/>
      <c r="F345" s="47"/>
      <c r="G345" s="47"/>
      <c r="H345" s="47"/>
    </row>
    <row r="346" spans="1:8">
      <c r="A346" s="47"/>
      <c r="B346" s="47"/>
      <c r="C346" s="47"/>
      <c r="D346" s="47"/>
      <c r="E346" s="47"/>
      <c r="F346" s="47"/>
      <c r="G346" s="47"/>
      <c r="H346" s="47"/>
    </row>
    <row r="347" spans="1:8">
      <c r="A347" s="47"/>
      <c r="B347" s="47"/>
      <c r="C347" s="47"/>
      <c r="D347" s="47"/>
      <c r="E347" s="47"/>
      <c r="F347" s="47"/>
      <c r="G347" s="47"/>
      <c r="H347" s="47"/>
    </row>
    <row r="348" spans="1:8">
      <c r="A348" s="47"/>
      <c r="B348" s="47"/>
      <c r="C348" s="47"/>
      <c r="D348" s="47"/>
      <c r="E348" s="47"/>
      <c r="F348" s="47"/>
      <c r="G348" s="47"/>
      <c r="H348" s="47"/>
    </row>
    <row r="349" spans="1:8">
      <c r="A349" s="47"/>
      <c r="B349" s="47"/>
      <c r="C349" s="47"/>
      <c r="D349" s="47"/>
      <c r="E349" s="47"/>
      <c r="F349" s="47"/>
      <c r="G349" s="47"/>
      <c r="H349" s="47"/>
    </row>
    <row r="350" spans="1:8">
      <c r="A350" s="47"/>
      <c r="B350" s="47"/>
      <c r="C350" s="47"/>
      <c r="D350" s="47"/>
      <c r="E350" s="47"/>
      <c r="F350" s="47"/>
      <c r="G350" s="47"/>
      <c r="H350" s="47"/>
    </row>
    <row r="351" spans="1:8">
      <c r="A351" s="47"/>
      <c r="B351" s="47"/>
      <c r="C351" s="47"/>
      <c r="D351" s="47"/>
      <c r="E351" s="47"/>
      <c r="F351" s="47"/>
      <c r="G351" s="47"/>
      <c r="H351" s="47"/>
    </row>
    <row r="352" spans="1:8">
      <c r="A352" s="47"/>
      <c r="B352" s="47"/>
      <c r="C352" s="47"/>
      <c r="D352" s="47"/>
      <c r="E352" s="47"/>
      <c r="F352" s="47"/>
      <c r="G352" s="47"/>
      <c r="H352" s="47"/>
    </row>
    <row r="353" spans="1:8">
      <c r="A353" s="47"/>
      <c r="B353" s="47"/>
      <c r="C353" s="47"/>
      <c r="D353" s="47"/>
      <c r="E353" s="47"/>
      <c r="F353" s="47"/>
      <c r="G353" s="47"/>
      <c r="H353" s="47"/>
    </row>
    <row r="354" spans="1:8">
      <c r="A354" s="47"/>
      <c r="B354" s="47"/>
      <c r="C354" s="47"/>
      <c r="D354" s="47"/>
      <c r="E354" s="47"/>
      <c r="F354" s="47"/>
      <c r="G354" s="47"/>
      <c r="H354" s="47"/>
    </row>
    <row r="355" spans="1:8">
      <c r="A355" s="47"/>
      <c r="B355" s="47"/>
      <c r="C355" s="47"/>
      <c r="D355" s="47"/>
      <c r="E355" s="47"/>
      <c r="F355" s="47"/>
      <c r="G355" s="47"/>
      <c r="H355" s="47"/>
    </row>
    <row r="356" spans="1:8">
      <c r="A356" s="47"/>
      <c r="B356" s="47"/>
      <c r="C356" s="47"/>
      <c r="D356" s="47"/>
      <c r="E356" s="47"/>
      <c r="F356" s="47"/>
      <c r="G356" s="47"/>
      <c r="H356" s="47"/>
    </row>
    <row r="357" spans="1:8">
      <c r="A357" s="47"/>
      <c r="B357" s="47"/>
      <c r="C357" s="47"/>
      <c r="D357" s="47"/>
      <c r="E357" s="47"/>
      <c r="F357" s="47"/>
      <c r="G357" s="47"/>
      <c r="H357" s="47"/>
    </row>
    <row r="358" spans="1:8">
      <c r="A358" s="47"/>
      <c r="B358" s="47"/>
      <c r="C358" s="47"/>
      <c r="D358" s="47"/>
      <c r="E358" s="47"/>
      <c r="F358" s="47"/>
      <c r="G358" s="47"/>
      <c r="H358" s="47"/>
    </row>
    <row r="359" spans="1:8">
      <c r="A359" s="47"/>
      <c r="B359" s="47"/>
      <c r="C359" s="47"/>
      <c r="D359" s="47"/>
      <c r="E359" s="47"/>
      <c r="F359" s="47"/>
      <c r="G359" s="47"/>
      <c r="H359" s="47"/>
    </row>
    <row r="360" spans="1:8">
      <c r="A360" s="47"/>
      <c r="B360" s="47"/>
      <c r="C360" s="47"/>
      <c r="D360" s="47"/>
      <c r="E360" s="47"/>
      <c r="F360" s="47"/>
      <c r="G360" s="47"/>
      <c r="H360" s="47"/>
    </row>
    <row r="361" spans="1:8">
      <c r="A361" s="47"/>
      <c r="B361" s="47"/>
      <c r="C361" s="47"/>
      <c r="D361" s="47"/>
      <c r="E361" s="47"/>
      <c r="F361" s="47"/>
      <c r="G361" s="47"/>
      <c r="H361" s="47"/>
    </row>
    <row r="362" spans="1:8">
      <c r="A362" s="47"/>
      <c r="B362" s="47"/>
      <c r="C362" s="47"/>
      <c r="D362" s="47"/>
      <c r="E362" s="47"/>
      <c r="F362" s="47"/>
      <c r="G362" s="47"/>
      <c r="H362" s="47"/>
    </row>
    <row r="363" spans="1:8">
      <c r="A363" s="47"/>
      <c r="B363" s="47"/>
      <c r="C363" s="47"/>
      <c r="D363" s="47"/>
      <c r="E363" s="47"/>
      <c r="F363" s="47"/>
      <c r="G363" s="47"/>
      <c r="H363" s="47"/>
    </row>
    <row r="364" spans="1:8">
      <c r="A364" s="47"/>
      <c r="B364" s="47"/>
      <c r="C364" s="47"/>
      <c r="D364" s="47"/>
      <c r="E364" s="47"/>
      <c r="F364" s="47"/>
      <c r="G364" s="47"/>
      <c r="H364" s="47"/>
    </row>
    <row r="365" spans="1:8">
      <c r="A365" s="47"/>
      <c r="B365" s="47"/>
      <c r="C365" s="47"/>
      <c r="D365" s="47"/>
      <c r="E365" s="47"/>
      <c r="F365" s="47"/>
      <c r="G365" s="47"/>
      <c r="H365" s="47"/>
    </row>
    <row r="366" spans="1:8">
      <c r="A366" s="47"/>
      <c r="B366" s="47"/>
      <c r="C366" s="47"/>
      <c r="D366" s="47"/>
      <c r="E366" s="47"/>
      <c r="F366" s="47"/>
      <c r="G366" s="47"/>
      <c r="H366" s="47"/>
    </row>
    <row r="367" spans="1:8">
      <c r="A367" s="47"/>
      <c r="B367" s="47"/>
      <c r="C367" s="47"/>
      <c r="D367" s="47"/>
      <c r="E367" s="47"/>
      <c r="F367" s="47"/>
      <c r="G367" s="47"/>
      <c r="H367" s="47"/>
    </row>
    <row r="368" spans="1:8">
      <c r="A368" s="47"/>
      <c r="B368" s="47"/>
      <c r="C368" s="47"/>
      <c r="D368" s="47"/>
      <c r="E368" s="47"/>
      <c r="F368" s="47"/>
      <c r="G368" s="47"/>
      <c r="H368" s="47"/>
    </row>
    <row r="369" spans="1:8">
      <c r="A369" s="47"/>
      <c r="B369" s="47"/>
      <c r="C369" s="47"/>
      <c r="D369" s="47"/>
      <c r="E369" s="47"/>
      <c r="F369" s="47"/>
      <c r="G369" s="47"/>
      <c r="H369" s="47"/>
    </row>
    <row r="370" spans="1:8">
      <c r="A370" s="47"/>
      <c r="B370" s="47"/>
      <c r="C370" s="47"/>
      <c r="D370" s="47"/>
      <c r="E370" s="47"/>
      <c r="F370" s="47"/>
      <c r="G370" s="47"/>
      <c r="H370" s="47"/>
    </row>
    <row r="371" spans="1:8">
      <c r="A371" s="47"/>
      <c r="B371" s="47"/>
      <c r="C371" s="47"/>
      <c r="D371" s="47"/>
      <c r="E371" s="47"/>
      <c r="F371" s="47"/>
      <c r="G371" s="47"/>
      <c r="H371" s="47"/>
    </row>
    <row r="372" spans="1:8">
      <c r="A372" s="47"/>
      <c r="B372" s="47"/>
      <c r="C372" s="47"/>
      <c r="D372" s="47"/>
      <c r="E372" s="47"/>
      <c r="F372" s="47"/>
      <c r="G372" s="47"/>
      <c r="H372" s="47"/>
    </row>
    <row r="373" spans="1:8">
      <c r="A373" s="47"/>
      <c r="B373" s="47"/>
      <c r="C373" s="47"/>
      <c r="D373" s="47"/>
      <c r="E373" s="47"/>
      <c r="F373" s="47"/>
      <c r="G373" s="47"/>
      <c r="H373" s="47"/>
    </row>
    <row r="374" spans="1:8">
      <c r="A374" s="47"/>
      <c r="B374" s="47"/>
      <c r="C374" s="47"/>
      <c r="D374" s="47"/>
      <c r="E374" s="47"/>
      <c r="F374" s="47"/>
      <c r="G374" s="47"/>
      <c r="H374" s="47"/>
    </row>
    <row r="375" spans="1:8">
      <c r="A375" s="47"/>
      <c r="B375" s="47"/>
      <c r="C375" s="47"/>
      <c r="D375" s="47"/>
      <c r="E375" s="47"/>
      <c r="F375" s="47"/>
      <c r="G375" s="47"/>
      <c r="H375" s="47"/>
    </row>
    <row r="376" spans="1:8">
      <c r="A376" s="47"/>
      <c r="B376" s="47"/>
      <c r="C376" s="47"/>
      <c r="D376" s="47"/>
      <c r="E376" s="47"/>
      <c r="F376" s="47"/>
      <c r="G376" s="47"/>
      <c r="H376" s="47"/>
    </row>
    <row r="377" spans="1:8">
      <c r="A377" s="47"/>
      <c r="B377" s="47"/>
      <c r="C377" s="47"/>
      <c r="D377" s="47"/>
      <c r="E377" s="47"/>
      <c r="F377" s="47"/>
      <c r="G377" s="47"/>
      <c r="H377" s="47"/>
    </row>
    <row r="378" spans="1:8">
      <c r="A378" s="47"/>
      <c r="B378" s="47"/>
      <c r="C378" s="47"/>
      <c r="D378" s="47"/>
      <c r="E378" s="47"/>
      <c r="F378" s="47"/>
      <c r="G378" s="47"/>
      <c r="H378" s="47"/>
    </row>
    <row r="379" spans="1:8">
      <c r="A379" s="47"/>
      <c r="B379" s="47"/>
      <c r="C379" s="47"/>
      <c r="D379" s="47"/>
      <c r="E379" s="47"/>
      <c r="F379" s="47"/>
      <c r="G379" s="47"/>
      <c r="H379" s="47"/>
    </row>
    <row r="380" spans="1:8">
      <c r="A380" s="47"/>
      <c r="B380" s="47"/>
      <c r="C380" s="47"/>
      <c r="D380" s="47"/>
      <c r="E380" s="47"/>
      <c r="F380" s="47"/>
      <c r="G380" s="47"/>
      <c r="H380" s="47"/>
    </row>
    <row r="381" spans="1:8">
      <c r="A381" s="47"/>
      <c r="B381" s="47"/>
      <c r="C381" s="47"/>
      <c r="D381" s="47"/>
      <c r="E381" s="47"/>
      <c r="F381" s="47"/>
      <c r="G381" s="47"/>
      <c r="H381" s="47"/>
    </row>
    <row r="382" spans="1:8">
      <c r="A382" s="47"/>
      <c r="B382" s="47"/>
      <c r="C382" s="47"/>
      <c r="D382" s="47"/>
      <c r="E382" s="47"/>
      <c r="F382" s="47"/>
      <c r="G382" s="47"/>
      <c r="H382" s="47"/>
    </row>
    <row r="383" spans="1:8">
      <c r="A383" s="47"/>
      <c r="B383" s="47"/>
      <c r="C383" s="47"/>
      <c r="D383" s="47"/>
      <c r="E383" s="47"/>
      <c r="F383" s="47"/>
      <c r="G383" s="47"/>
      <c r="H383" s="47"/>
    </row>
    <row r="384" spans="1:8">
      <c r="A384" s="47"/>
      <c r="B384" s="47"/>
      <c r="C384" s="47"/>
      <c r="D384" s="47"/>
      <c r="E384" s="47"/>
      <c r="F384" s="47"/>
      <c r="G384" s="47"/>
      <c r="H384" s="47"/>
    </row>
    <row r="385" spans="1:8">
      <c r="A385" s="47"/>
      <c r="B385" s="47"/>
      <c r="C385" s="47"/>
      <c r="D385" s="47"/>
      <c r="E385" s="47"/>
      <c r="F385" s="47"/>
      <c r="G385" s="47"/>
      <c r="H385" s="47"/>
    </row>
    <row r="386" spans="1:8">
      <c r="A386" s="47"/>
      <c r="B386" s="47"/>
      <c r="C386" s="47"/>
      <c r="D386" s="47"/>
      <c r="E386" s="47"/>
      <c r="F386" s="47"/>
      <c r="G386" s="47"/>
      <c r="H386" s="47"/>
    </row>
    <row r="387" spans="1:8">
      <c r="A387" s="47"/>
      <c r="B387" s="47"/>
      <c r="C387" s="47"/>
      <c r="D387" s="47"/>
      <c r="E387" s="47"/>
      <c r="F387" s="47"/>
      <c r="G387" s="47"/>
      <c r="H387" s="47"/>
    </row>
    <row r="388" spans="1:8">
      <c r="A388" s="47"/>
      <c r="B388" s="47"/>
      <c r="C388" s="47"/>
      <c r="D388" s="47"/>
      <c r="E388" s="47"/>
      <c r="F388" s="47"/>
      <c r="G388" s="47"/>
      <c r="H388" s="47"/>
    </row>
    <row r="389" spans="1:8">
      <c r="A389" s="47"/>
      <c r="B389" s="47"/>
      <c r="C389" s="47"/>
      <c r="D389" s="47"/>
      <c r="E389" s="47"/>
      <c r="F389" s="47"/>
      <c r="G389" s="47"/>
      <c r="H389" s="47"/>
    </row>
    <row r="390" spans="1:8">
      <c r="A390" s="47"/>
      <c r="B390" s="47"/>
      <c r="C390" s="47"/>
      <c r="D390" s="47"/>
      <c r="E390" s="47"/>
      <c r="F390" s="47"/>
      <c r="G390" s="47"/>
      <c r="H390" s="47"/>
    </row>
    <row r="391" spans="1:8">
      <c r="A391" s="47"/>
      <c r="B391" s="47"/>
      <c r="C391" s="47"/>
      <c r="D391" s="47"/>
      <c r="E391" s="47"/>
      <c r="F391" s="47"/>
      <c r="G391" s="47"/>
      <c r="H391" s="47"/>
    </row>
    <row r="392" spans="1:8">
      <c r="A392" s="47"/>
      <c r="B392" s="47"/>
      <c r="C392" s="47"/>
      <c r="D392" s="47"/>
      <c r="E392" s="47"/>
      <c r="F392" s="47"/>
      <c r="G392" s="47"/>
      <c r="H392" s="47"/>
    </row>
    <row r="393" spans="1:8">
      <c r="A393" s="47"/>
      <c r="B393" s="47"/>
      <c r="C393" s="47"/>
      <c r="D393" s="47"/>
      <c r="E393" s="47"/>
      <c r="F393" s="47"/>
      <c r="G393" s="47"/>
      <c r="H393" s="47"/>
    </row>
    <row r="394" spans="1:8">
      <c r="A394" s="47"/>
      <c r="B394" s="47"/>
      <c r="C394" s="47"/>
      <c r="D394" s="47"/>
      <c r="E394" s="47"/>
      <c r="F394" s="47"/>
      <c r="G394" s="47"/>
      <c r="H394" s="47"/>
    </row>
    <row r="395" spans="1:8">
      <c r="A395" s="47"/>
      <c r="B395" s="47"/>
      <c r="C395" s="47"/>
      <c r="D395" s="47"/>
      <c r="E395" s="47"/>
      <c r="F395" s="47"/>
      <c r="G395" s="47"/>
      <c r="H395" s="47"/>
    </row>
    <row r="396" spans="1:8">
      <c r="A396" s="47"/>
      <c r="B396" s="47"/>
      <c r="C396" s="47"/>
      <c r="D396" s="47"/>
      <c r="E396" s="47"/>
      <c r="F396" s="47"/>
      <c r="G396" s="47"/>
      <c r="H396" s="47"/>
    </row>
    <row r="397" spans="1:8">
      <c r="A397" s="47"/>
      <c r="B397" s="47"/>
      <c r="C397" s="47"/>
      <c r="D397" s="47"/>
      <c r="E397" s="47"/>
      <c r="F397" s="47"/>
      <c r="G397" s="47"/>
      <c r="H397" s="47"/>
    </row>
    <row r="398" spans="1:8">
      <c r="A398" s="47"/>
      <c r="B398" s="47"/>
      <c r="C398" s="47"/>
      <c r="D398" s="47"/>
      <c r="E398" s="47"/>
      <c r="F398" s="47"/>
      <c r="G398" s="47"/>
      <c r="H398" s="47"/>
    </row>
    <row r="399" spans="1:8">
      <c r="A399" s="47"/>
      <c r="B399" s="47"/>
      <c r="C399" s="47"/>
      <c r="D399" s="47"/>
      <c r="E399" s="47"/>
      <c r="F399" s="47"/>
      <c r="G399" s="47"/>
      <c r="H399" s="47"/>
    </row>
    <row r="400" spans="1:8">
      <c r="A400" s="47"/>
      <c r="B400" s="47"/>
      <c r="C400" s="47"/>
      <c r="D400" s="47"/>
      <c r="E400" s="47"/>
      <c r="F400" s="47"/>
      <c r="G400" s="47"/>
      <c r="H400" s="47"/>
    </row>
    <row r="401" spans="1:8">
      <c r="A401" s="47"/>
      <c r="B401" s="47"/>
      <c r="C401" s="47"/>
      <c r="D401" s="47"/>
      <c r="E401" s="47"/>
      <c r="F401" s="47"/>
      <c r="G401" s="47"/>
      <c r="H401" s="47"/>
    </row>
    <row r="402" spans="1:8">
      <c r="A402" s="47"/>
      <c r="B402" s="47"/>
      <c r="C402" s="47"/>
      <c r="D402" s="47"/>
      <c r="E402" s="47"/>
      <c r="F402" s="47"/>
      <c r="G402" s="47"/>
      <c r="H402" s="47"/>
    </row>
    <row r="403" spans="1:8">
      <c r="A403" s="47"/>
      <c r="B403" s="47"/>
      <c r="C403" s="47"/>
      <c r="D403" s="47"/>
      <c r="E403" s="47"/>
      <c r="F403" s="47"/>
      <c r="G403" s="47"/>
      <c r="H403" s="47"/>
    </row>
    <row r="404" spans="1:8">
      <c r="A404" s="47"/>
      <c r="B404" s="47"/>
      <c r="C404" s="47"/>
      <c r="D404" s="47"/>
      <c r="E404" s="47"/>
      <c r="F404" s="47"/>
      <c r="G404" s="47"/>
      <c r="H404" s="47"/>
    </row>
    <row r="405" spans="1:8">
      <c r="A405" s="47"/>
      <c r="B405" s="47"/>
      <c r="C405" s="47"/>
      <c r="D405" s="47"/>
      <c r="E405" s="47"/>
      <c r="F405" s="47"/>
      <c r="G405" s="47"/>
      <c r="H405" s="47"/>
    </row>
    <row r="406" spans="1:8">
      <c r="A406" s="47"/>
      <c r="B406" s="47"/>
      <c r="C406" s="47"/>
      <c r="D406" s="47"/>
      <c r="E406" s="47"/>
      <c r="F406" s="47"/>
      <c r="G406" s="47"/>
      <c r="H406" s="47"/>
    </row>
    <row r="407" spans="1:8">
      <c r="A407" s="47"/>
      <c r="B407" s="47"/>
      <c r="C407" s="47"/>
      <c r="D407" s="47"/>
      <c r="E407" s="47"/>
      <c r="F407" s="47"/>
      <c r="G407" s="47"/>
      <c r="H407" s="47"/>
    </row>
    <row r="408" spans="1:8">
      <c r="A408" s="47"/>
      <c r="B408" s="47"/>
      <c r="C408" s="47"/>
      <c r="D408" s="47"/>
      <c r="E408" s="47"/>
      <c r="F408" s="47"/>
      <c r="G408" s="47"/>
      <c r="H408" s="47"/>
    </row>
    <row r="409" spans="1:8">
      <c r="A409" s="47"/>
      <c r="B409" s="47"/>
      <c r="C409" s="47"/>
      <c r="D409" s="47"/>
      <c r="E409" s="47"/>
      <c r="F409" s="47"/>
      <c r="G409" s="47"/>
      <c r="H409" s="47"/>
    </row>
    <row r="410" spans="1:8">
      <c r="A410" s="47"/>
      <c r="B410" s="47"/>
      <c r="C410" s="47"/>
      <c r="D410" s="47"/>
      <c r="E410" s="47"/>
      <c r="F410" s="47"/>
      <c r="G410" s="47"/>
      <c r="H410" s="47"/>
    </row>
    <row r="411" spans="1:8">
      <c r="A411" s="47"/>
      <c r="B411" s="47"/>
      <c r="C411" s="47"/>
      <c r="D411" s="47"/>
      <c r="E411" s="47"/>
      <c r="F411" s="47"/>
      <c r="G411" s="47"/>
      <c r="H411" s="47"/>
    </row>
    <row r="412" spans="1:8">
      <c r="A412" s="47"/>
      <c r="B412" s="47"/>
      <c r="C412" s="47"/>
      <c r="D412" s="47"/>
      <c r="E412" s="47"/>
      <c r="F412" s="47"/>
      <c r="G412" s="47"/>
      <c r="H412" s="47"/>
    </row>
    <row r="413" spans="1:8">
      <c r="A413" s="47"/>
      <c r="B413" s="47"/>
      <c r="C413" s="47"/>
      <c r="D413" s="47"/>
      <c r="E413" s="47"/>
      <c r="F413" s="47"/>
      <c r="G413" s="47"/>
      <c r="H413" s="47"/>
    </row>
    <row r="414" spans="1:8">
      <c r="A414" s="47"/>
      <c r="B414" s="47"/>
      <c r="C414" s="47"/>
      <c r="D414" s="47"/>
      <c r="E414" s="47"/>
      <c r="F414" s="47"/>
      <c r="G414" s="47"/>
      <c r="H414" s="47"/>
    </row>
    <row r="415" spans="1:8">
      <c r="A415" s="47"/>
      <c r="B415" s="47"/>
      <c r="C415" s="47"/>
      <c r="D415" s="47"/>
      <c r="E415" s="47"/>
      <c r="F415" s="47"/>
      <c r="G415" s="47"/>
      <c r="H415" s="47"/>
    </row>
    <row r="416" spans="1:8">
      <c r="A416" s="47"/>
      <c r="B416" s="47"/>
      <c r="C416" s="47"/>
      <c r="D416" s="47"/>
      <c r="E416" s="47"/>
      <c r="F416" s="47"/>
      <c r="G416" s="47"/>
      <c r="H416" s="47"/>
    </row>
    <row r="417" spans="1:8">
      <c r="A417" s="47"/>
      <c r="B417" s="47"/>
      <c r="C417" s="47"/>
      <c r="D417" s="47"/>
      <c r="E417" s="47"/>
      <c r="F417" s="47"/>
      <c r="G417" s="47"/>
      <c r="H417" s="47"/>
    </row>
    <row r="418" spans="1:8">
      <c r="A418" s="47"/>
      <c r="B418" s="47"/>
      <c r="C418" s="47"/>
      <c r="D418" s="47"/>
      <c r="E418" s="47"/>
      <c r="F418" s="47"/>
      <c r="G418" s="47"/>
      <c r="H418" s="47"/>
    </row>
    <row r="419" spans="1:8">
      <c r="A419" s="47"/>
      <c r="B419" s="47"/>
      <c r="C419" s="47"/>
      <c r="D419" s="47"/>
      <c r="E419" s="47"/>
      <c r="F419" s="47"/>
      <c r="G419" s="47"/>
      <c r="H419" s="47"/>
    </row>
    <row r="420" spans="1:8">
      <c r="A420" s="47"/>
      <c r="B420" s="47"/>
      <c r="C420" s="47"/>
      <c r="D420" s="47"/>
      <c r="E420" s="47"/>
      <c r="F420" s="47"/>
      <c r="G420" s="47"/>
      <c r="H420" s="47"/>
    </row>
    <row r="421" spans="1:8">
      <c r="A421" s="47"/>
      <c r="B421" s="47"/>
      <c r="C421" s="47"/>
      <c r="D421" s="47"/>
      <c r="E421" s="47"/>
      <c r="F421" s="47"/>
      <c r="G421" s="47"/>
      <c r="H421" s="47"/>
    </row>
    <row r="422" spans="1:8">
      <c r="A422" s="47"/>
      <c r="B422" s="47"/>
      <c r="C422" s="47"/>
      <c r="D422" s="47"/>
      <c r="E422" s="47"/>
      <c r="F422" s="47"/>
      <c r="G422" s="47"/>
      <c r="H422" s="47"/>
    </row>
    <row r="423" spans="1:8">
      <c r="A423" s="47"/>
      <c r="B423" s="47"/>
      <c r="C423" s="47"/>
      <c r="D423" s="47"/>
      <c r="E423" s="47"/>
      <c r="F423" s="47"/>
      <c r="G423" s="47"/>
      <c r="H423" s="47"/>
    </row>
    <row r="424" spans="1:8">
      <c r="A424" s="47"/>
      <c r="B424" s="47"/>
      <c r="C424" s="47"/>
      <c r="D424" s="47"/>
      <c r="E424" s="47"/>
      <c r="F424" s="47"/>
      <c r="G424" s="47"/>
      <c r="H424" s="47"/>
    </row>
    <row r="425" spans="1:8">
      <c r="A425" s="47"/>
      <c r="B425" s="47"/>
      <c r="C425" s="47"/>
      <c r="D425" s="47"/>
      <c r="E425" s="47"/>
      <c r="F425" s="47"/>
      <c r="G425" s="47"/>
      <c r="H425" s="47"/>
    </row>
    <row r="426" spans="1:8">
      <c r="A426" s="47"/>
      <c r="B426" s="47"/>
      <c r="C426" s="47"/>
      <c r="D426" s="47"/>
      <c r="E426" s="47"/>
      <c r="F426" s="47"/>
      <c r="G426" s="47"/>
      <c r="H426" s="47"/>
    </row>
    <row r="427" spans="1:8">
      <c r="A427" s="47"/>
      <c r="B427" s="47"/>
      <c r="C427" s="47"/>
      <c r="D427" s="47"/>
      <c r="E427" s="47"/>
      <c r="F427" s="47"/>
      <c r="G427" s="47"/>
      <c r="H427" s="47"/>
    </row>
    <row r="428" spans="1:8">
      <c r="A428" s="47"/>
      <c r="B428" s="47"/>
      <c r="C428" s="47"/>
      <c r="D428" s="47"/>
      <c r="E428" s="47"/>
      <c r="F428" s="47"/>
      <c r="G428" s="47"/>
      <c r="H428" s="47"/>
    </row>
    <row r="429" spans="1:8">
      <c r="A429" s="47"/>
      <c r="B429" s="47"/>
      <c r="C429" s="47"/>
      <c r="D429" s="47"/>
      <c r="E429" s="47"/>
      <c r="F429" s="47"/>
      <c r="G429" s="47"/>
      <c r="H429" s="47"/>
    </row>
    <row r="430" spans="1:8">
      <c r="A430" s="47"/>
      <c r="B430" s="47"/>
      <c r="C430" s="47"/>
      <c r="D430" s="47"/>
      <c r="E430" s="47"/>
      <c r="F430" s="47"/>
      <c r="G430" s="47"/>
      <c r="H430" s="47"/>
    </row>
    <row r="431" spans="1:8">
      <c r="A431" s="47"/>
      <c r="B431" s="47"/>
      <c r="C431" s="47"/>
      <c r="D431" s="47"/>
      <c r="E431" s="47"/>
      <c r="F431" s="47"/>
      <c r="G431" s="47"/>
      <c r="H431" s="47"/>
    </row>
    <row r="432" spans="1:8">
      <c r="A432" s="47"/>
      <c r="B432" s="47"/>
      <c r="C432" s="47"/>
      <c r="D432" s="47"/>
      <c r="E432" s="47"/>
      <c r="F432" s="47"/>
      <c r="G432" s="47"/>
      <c r="H432" s="47"/>
    </row>
    <row r="433" spans="1:8">
      <c r="A433" s="47"/>
      <c r="B433" s="47"/>
      <c r="C433" s="47"/>
      <c r="D433" s="47"/>
      <c r="E433" s="47"/>
      <c r="F433" s="47"/>
      <c r="G433" s="47"/>
      <c r="H433" s="47"/>
    </row>
    <row r="434" spans="1:8">
      <c r="A434" s="47"/>
      <c r="B434" s="47"/>
      <c r="C434" s="47"/>
      <c r="D434" s="47"/>
      <c r="E434" s="47"/>
      <c r="F434" s="47"/>
      <c r="G434" s="47"/>
      <c r="H434" s="47"/>
    </row>
    <row r="435" spans="1:8">
      <c r="A435" s="47"/>
      <c r="B435" s="47"/>
      <c r="C435" s="47"/>
      <c r="D435" s="47"/>
      <c r="E435" s="47"/>
      <c r="F435" s="47"/>
      <c r="G435" s="47"/>
      <c r="H435" s="47"/>
    </row>
    <row r="436" spans="1:8">
      <c r="A436" s="47"/>
      <c r="B436" s="47"/>
      <c r="C436" s="47"/>
      <c r="D436" s="47"/>
      <c r="E436" s="47"/>
      <c r="F436" s="47"/>
      <c r="G436" s="47"/>
      <c r="H436" s="47"/>
    </row>
    <row r="437" spans="1:8">
      <c r="A437" s="47"/>
      <c r="B437" s="47"/>
      <c r="C437" s="47"/>
      <c r="D437" s="47"/>
      <c r="E437" s="47"/>
      <c r="F437" s="47"/>
      <c r="G437" s="47"/>
      <c r="H437" s="47"/>
    </row>
    <row r="438" spans="1:8">
      <c r="A438" s="47"/>
      <c r="B438" s="47"/>
      <c r="C438" s="47"/>
      <c r="D438" s="47"/>
      <c r="E438" s="47"/>
      <c r="F438" s="47"/>
      <c r="G438" s="47"/>
      <c r="H438" s="47"/>
    </row>
    <row r="439" spans="1:8">
      <c r="A439" s="47"/>
      <c r="B439" s="47"/>
      <c r="C439" s="47"/>
      <c r="D439" s="47"/>
      <c r="E439" s="47"/>
      <c r="F439" s="47"/>
      <c r="G439" s="47"/>
      <c r="H439" s="47"/>
    </row>
    <row r="440" spans="1:8">
      <c r="A440" s="47"/>
      <c r="B440" s="47"/>
      <c r="C440" s="47"/>
      <c r="D440" s="47"/>
      <c r="E440" s="47"/>
      <c r="F440" s="47"/>
      <c r="G440" s="47"/>
      <c r="H440" s="47"/>
    </row>
    <row r="441" spans="1:8">
      <c r="A441" s="47"/>
      <c r="B441" s="47"/>
      <c r="C441" s="47"/>
      <c r="D441" s="47"/>
      <c r="E441" s="47"/>
      <c r="F441" s="47"/>
      <c r="G441" s="47"/>
      <c r="H441" s="47"/>
    </row>
    <row r="442" spans="1:8">
      <c r="A442" s="47"/>
      <c r="B442" s="47"/>
      <c r="C442" s="47"/>
      <c r="D442" s="47"/>
      <c r="E442" s="47"/>
      <c r="F442" s="47"/>
      <c r="G442" s="47"/>
      <c r="H442" s="47"/>
    </row>
    <row r="443" spans="1:8">
      <c r="A443" s="47"/>
      <c r="B443" s="47"/>
      <c r="C443" s="47"/>
      <c r="D443" s="47"/>
      <c r="E443" s="47"/>
      <c r="F443" s="47"/>
      <c r="G443" s="47"/>
      <c r="H443" s="47"/>
    </row>
    <row r="444" spans="1:8">
      <c r="A444" s="47"/>
      <c r="B444" s="47"/>
      <c r="C444" s="47"/>
      <c r="D444" s="47"/>
      <c r="E444" s="47"/>
      <c r="F444" s="47"/>
      <c r="G444" s="47"/>
      <c r="H444" s="47"/>
    </row>
    <row r="445" spans="1:8">
      <c r="A445" s="47"/>
      <c r="B445" s="47"/>
      <c r="C445" s="47"/>
      <c r="D445" s="47"/>
      <c r="E445" s="47"/>
      <c r="F445" s="47"/>
      <c r="G445" s="47"/>
      <c r="H445" s="47"/>
    </row>
    <row r="446" spans="1:8">
      <c r="A446" s="47"/>
      <c r="B446" s="47"/>
      <c r="C446" s="47"/>
      <c r="D446" s="47"/>
      <c r="E446" s="47"/>
      <c r="F446" s="47"/>
      <c r="G446" s="47"/>
      <c r="H446" s="47"/>
    </row>
    <row r="447" spans="1:8">
      <c r="A447" s="47"/>
      <c r="B447" s="47"/>
      <c r="C447" s="47"/>
      <c r="D447" s="47"/>
      <c r="E447" s="47"/>
      <c r="F447" s="47"/>
      <c r="G447" s="47"/>
      <c r="H447" s="47"/>
    </row>
    <row r="448" spans="1:8">
      <c r="A448" s="47"/>
      <c r="B448" s="47"/>
      <c r="C448" s="47"/>
      <c r="D448" s="47"/>
      <c r="E448" s="47"/>
      <c r="F448" s="47"/>
      <c r="G448" s="47"/>
      <c r="H448" s="47"/>
    </row>
    <row r="449" spans="1:8">
      <c r="A449" s="47"/>
      <c r="B449" s="47"/>
      <c r="C449" s="47"/>
      <c r="D449" s="47"/>
      <c r="E449" s="47"/>
      <c r="F449" s="47"/>
      <c r="G449" s="47"/>
      <c r="H449" s="47"/>
    </row>
    <row r="450" spans="1:8">
      <c r="A450" s="47"/>
      <c r="B450" s="47"/>
      <c r="C450" s="47"/>
      <c r="D450" s="47"/>
      <c r="E450" s="47"/>
      <c r="F450" s="47"/>
      <c r="G450" s="47"/>
      <c r="H450" s="47"/>
    </row>
    <row r="451" spans="1:8">
      <c r="A451" s="47"/>
      <c r="B451" s="47"/>
      <c r="C451" s="47"/>
      <c r="D451" s="47"/>
      <c r="E451" s="47"/>
      <c r="F451" s="47"/>
      <c r="G451" s="47"/>
      <c r="H451" s="47"/>
    </row>
    <row r="452" spans="1:8">
      <c r="A452" s="47"/>
      <c r="B452" s="47"/>
      <c r="C452" s="47"/>
      <c r="D452" s="47"/>
      <c r="E452" s="47"/>
      <c r="F452" s="47"/>
      <c r="G452" s="47"/>
      <c r="H452" s="47"/>
    </row>
    <row r="453" spans="1:8">
      <c r="A453" s="47"/>
      <c r="B453" s="47"/>
      <c r="C453" s="47"/>
      <c r="D453" s="47"/>
      <c r="E453" s="47"/>
      <c r="F453" s="47"/>
      <c r="G453" s="47"/>
      <c r="H453" s="47"/>
    </row>
    <row r="454" spans="1:8">
      <c r="A454" s="47"/>
      <c r="B454" s="47"/>
      <c r="C454" s="47"/>
      <c r="D454" s="47"/>
      <c r="E454" s="47"/>
      <c r="F454" s="47"/>
      <c r="G454" s="47"/>
      <c r="H454" s="47"/>
    </row>
    <row r="455" spans="1:8">
      <c r="A455" s="47"/>
      <c r="B455" s="47"/>
      <c r="C455" s="47"/>
      <c r="D455" s="47"/>
      <c r="E455" s="47"/>
      <c r="F455" s="47"/>
      <c r="G455" s="47"/>
      <c r="H455" s="47"/>
    </row>
    <row r="456" spans="1:8">
      <c r="A456" s="47"/>
      <c r="B456" s="47"/>
      <c r="C456" s="47"/>
      <c r="D456" s="47"/>
      <c r="E456" s="47"/>
      <c r="F456" s="47"/>
      <c r="G456" s="47"/>
      <c r="H456" s="47"/>
    </row>
    <row r="457" spans="1:8">
      <c r="A457" s="47"/>
      <c r="B457" s="47"/>
      <c r="C457" s="47"/>
      <c r="D457" s="47"/>
      <c r="E457" s="47"/>
      <c r="F457" s="47"/>
      <c r="G457" s="47"/>
      <c r="H457" s="47"/>
    </row>
    <row r="458" spans="1:8">
      <c r="A458" s="47"/>
      <c r="B458" s="47"/>
      <c r="C458" s="47"/>
      <c r="D458" s="47"/>
      <c r="E458" s="47"/>
      <c r="F458" s="47"/>
      <c r="G458" s="47"/>
      <c r="H458" s="47"/>
    </row>
    <row r="459" spans="1:8">
      <c r="A459" s="47"/>
      <c r="B459" s="47"/>
      <c r="C459" s="47"/>
      <c r="D459" s="47"/>
      <c r="E459" s="47"/>
      <c r="F459" s="47"/>
      <c r="G459" s="47"/>
      <c r="H459" s="47"/>
    </row>
    <row r="460" spans="1:8">
      <c r="A460" s="47"/>
      <c r="B460" s="47"/>
      <c r="C460" s="47"/>
      <c r="D460" s="47"/>
      <c r="E460" s="47"/>
      <c r="F460" s="47"/>
      <c r="G460" s="47"/>
      <c r="H460" s="47"/>
    </row>
    <row r="461" spans="1:8">
      <c r="A461" s="47"/>
      <c r="B461" s="47"/>
      <c r="C461" s="47"/>
      <c r="D461" s="47"/>
      <c r="E461" s="47"/>
      <c r="F461" s="47"/>
      <c r="G461" s="47"/>
      <c r="H461" s="47"/>
    </row>
    <row r="462" spans="1:8">
      <c r="A462" s="47"/>
      <c r="B462" s="47"/>
      <c r="C462" s="47"/>
      <c r="D462" s="47"/>
      <c r="E462" s="47"/>
      <c r="F462" s="47"/>
      <c r="G462" s="47"/>
      <c r="H462" s="47"/>
    </row>
    <row r="463" spans="1:8">
      <c r="A463" s="47"/>
      <c r="B463" s="47"/>
      <c r="C463" s="47"/>
      <c r="D463" s="47"/>
      <c r="E463" s="47"/>
      <c r="F463" s="47"/>
      <c r="G463" s="47"/>
      <c r="H463" s="47"/>
    </row>
    <row r="464" spans="1:8">
      <c r="A464" s="47"/>
      <c r="B464" s="47"/>
      <c r="C464" s="47"/>
      <c r="D464" s="47"/>
      <c r="E464" s="47"/>
      <c r="F464" s="47"/>
      <c r="G464" s="47"/>
      <c r="H464" s="47"/>
    </row>
    <row r="465" spans="1:8">
      <c r="A465" s="47"/>
      <c r="B465" s="47"/>
      <c r="C465" s="47"/>
      <c r="D465" s="47"/>
      <c r="E465" s="47"/>
      <c r="F465" s="47"/>
      <c r="G465" s="47"/>
      <c r="H465" s="47"/>
    </row>
    <row r="466" spans="1:8">
      <c r="A466" s="47"/>
      <c r="B466" s="47"/>
      <c r="C466" s="47"/>
      <c r="D466" s="47"/>
      <c r="E466" s="47"/>
      <c r="F466" s="47"/>
      <c r="G466" s="47"/>
      <c r="H466" s="47"/>
    </row>
    <row r="467" spans="1:8">
      <c r="A467" s="47"/>
      <c r="B467" s="47"/>
      <c r="C467" s="47"/>
      <c r="D467" s="47"/>
      <c r="E467" s="47"/>
      <c r="F467" s="47"/>
      <c r="G467" s="47"/>
      <c r="H467" s="47"/>
    </row>
    <row r="468" spans="1:8">
      <c r="A468" s="47"/>
      <c r="B468" s="47"/>
      <c r="C468" s="47"/>
      <c r="D468" s="47"/>
      <c r="E468" s="47"/>
      <c r="F468" s="47"/>
      <c r="G468" s="47"/>
      <c r="H468" s="47"/>
    </row>
    <row r="469" spans="1:8">
      <c r="A469" s="47"/>
      <c r="B469" s="47"/>
      <c r="C469" s="47"/>
      <c r="D469" s="47"/>
      <c r="E469" s="47"/>
      <c r="F469" s="47"/>
      <c r="G469" s="47"/>
      <c r="H469" s="47"/>
    </row>
    <row r="470" spans="1:8">
      <c r="A470" s="47"/>
      <c r="B470" s="47"/>
      <c r="C470" s="47"/>
      <c r="D470" s="47"/>
      <c r="E470" s="47"/>
      <c r="F470" s="47"/>
      <c r="G470" s="47"/>
      <c r="H470" s="47"/>
    </row>
    <row r="471" spans="1:8">
      <c r="A471" s="47"/>
      <c r="B471" s="47"/>
      <c r="C471" s="47"/>
      <c r="D471" s="47"/>
      <c r="E471" s="47"/>
      <c r="F471" s="47"/>
      <c r="G471" s="47"/>
      <c r="H471" s="47"/>
    </row>
    <row r="472" spans="1:8">
      <c r="A472" s="47"/>
      <c r="B472" s="47"/>
      <c r="C472" s="47"/>
      <c r="D472" s="47"/>
      <c r="E472" s="47"/>
      <c r="F472" s="47"/>
      <c r="G472" s="47"/>
      <c r="H472" s="47"/>
    </row>
    <row r="473" spans="1:8">
      <c r="A473" s="47"/>
      <c r="B473" s="47"/>
      <c r="C473" s="47"/>
      <c r="D473" s="47"/>
      <c r="E473" s="47"/>
      <c r="F473" s="47"/>
      <c r="G473" s="47"/>
      <c r="H473" s="47"/>
    </row>
    <row r="474" spans="1:8">
      <c r="A474" s="47"/>
      <c r="B474" s="47"/>
      <c r="C474" s="47"/>
      <c r="D474" s="47"/>
      <c r="E474" s="47"/>
      <c r="F474" s="47"/>
      <c r="G474" s="47"/>
      <c r="H474" s="47"/>
    </row>
    <row r="475" spans="1:8">
      <c r="A475" s="47"/>
      <c r="B475" s="47"/>
      <c r="C475" s="47"/>
      <c r="D475" s="47"/>
      <c r="E475" s="47"/>
      <c r="F475" s="47"/>
      <c r="G475" s="47"/>
      <c r="H475" s="47"/>
    </row>
    <row r="476" spans="1:8">
      <c r="A476" s="47"/>
      <c r="B476" s="47"/>
      <c r="C476" s="47"/>
      <c r="D476" s="47"/>
      <c r="E476" s="47"/>
      <c r="F476" s="47"/>
      <c r="G476" s="47"/>
      <c r="H476" s="47"/>
    </row>
    <row r="477" spans="1:8">
      <c r="A477" s="47"/>
      <c r="B477" s="47"/>
      <c r="C477" s="47"/>
      <c r="D477" s="47"/>
      <c r="E477" s="47"/>
      <c r="F477" s="47"/>
      <c r="G477" s="47"/>
      <c r="H477" s="47"/>
    </row>
    <row r="478" spans="1:8">
      <c r="A478" s="47"/>
      <c r="B478" s="47"/>
      <c r="C478" s="47"/>
      <c r="D478" s="47"/>
      <c r="E478" s="47"/>
      <c r="F478" s="47"/>
      <c r="G478" s="47"/>
      <c r="H478" s="47"/>
    </row>
    <row r="479" spans="1:8">
      <c r="A479" s="47"/>
      <c r="B479" s="47"/>
      <c r="C479" s="47"/>
      <c r="D479" s="47"/>
      <c r="E479" s="47"/>
      <c r="F479" s="47"/>
      <c r="G479" s="47"/>
      <c r="H479" s="47"/>
    </row>
    <row r="480" spans="1:8">
      <c r="A480" s="47"/>
      <c r="B480" s="47"/>
      <c r="C480" s="47"/>
      <c r="D480" s="47"/>
      <c r="E480" s="47"/>
      <c r="F480" s="47"/>
      <c r="G480" s="47"/>
      <c r="H480" s="47"/>
    </row>
    <row r="481" spans="1:8">
      <c r="A481" s="47"/>
      <c r="B481" s="47"/>
      <c r="C481" s="47"/>
      <c r="D481" s="47"/>
      <c r="E481" s="47"/>
      <c r="F481" s="47"/>
      <c r="G481" s="47"/>
      <c r="H481" s="47"/>
    </row>
    <row r="482" spans="1:8">
      <c r="A482" s="47"/>
      <c r="B482" s="47"/>
      <c r="C482" s="47"/>
      <c r="D482" s="47"/>
      <c r="E482" s="47"/>
      <c r="F482" s="47"/>
      <c r="G482" s="47"/>
      <c r="H482" s="47"/>
    </row>
    <row r="483" spans="1:8">
      <c r="A483" s="47"/>
      <c r="B483" s="47"/>
      <c r="C483" s="47"/>
      <c r="D483" s="47"/>
      <c r="E483" s="47"/>
      <c r="F483" s="47"/>
      <c r="G483" s="47"/>
      <c r="H483" s="47"/>
    </row>
    <row r="484" spans="1:8">
      <c r="A484" s="47"/>
      <c r="B484" s="47"/>
      <c r="C484" s="47"/>
      <c r="D484" s="47"/>
      <c r="E484" s="47"/>
      <c r="F484" s="47"/>
      <c r="G484" s="47"/>
      <c r="H484" s="47"/>
    </row>
    <row r="485" spans="1:8">
      <c r="A485" s="47"/>
      <c r="B485" s="47"/>
      <c r="C485" s="47"/>
      <c r="D485" s="47"/>
      <c r="E485" s="47"/>
      <c r="F485" s="47"/>
      <c r="G485" s="47"/>
      <c r="H485" s="47"/>
    </row>
    <row r="486" spans="1:8">
      <c r="A486" s="47"/>
      <c r="B486" s="47"/>
      <c r="C486" s="47"/>
      <c r="D486" s="47"/>
      <c r="E486" s="47"/>
      <c r="F486" s="47"/>
      <c r="G486" s="47"/>
      <c r="H486" s="47"/>
    </row>
    <row r="487" spans="1:8">
      <c r="A487" s="47"/>
      <c r="B487" s="47"/>
      <c r="C487" s="47"/>
      <c r="D487" s="47"/>
      <c r="E487" s="47"/>
      <c r="F487" s="47"/>
      <c r="G487" s="47"/>
      <c r="H487" s="47"/>
    </row>
    <row r="488" spans="1:8">
      <c r="A488" s="47"/>
      <c r="B488" s="47"/>
      <c r="C488" s="47"/>
      <c r="D488" s="47"/>
      <c r="E488" s="47"/>
      <c r="F488" s="47"/>
      <c r="G488" s="47"/>
      <c r="H488" s="47"/>
    </row>
    <row r="489" spans="1:8">
      <c r="A489" s="47"/>
      <c r="B489" s="47"/>
      <c r="C489" s="47"/>
      <c r="D489" s="47"/>
      <c r="E489" s="47"/>
      <c r="F489" s="47"/>
      <c r="G489" s="47"/>
      <c r="H489" s="47"/>
    </row>
    <row r="490" spans="1:8">
      <c r="A490" s="47"/>
      <c r="B490" s="47"/>
      <c r="C490" s="47"/>
      <c r="D490" s="47"/>
      <c r="E490" s="47"/>
      <c r="F490" s="47"/>
      <c r="G490" s="47"/>
      <c r="H490" s="47"/>
    </row>
    <row r="491" spans="1:8">
      <c r="A491" s="47"/>
      <c r="B491" s="47"/>
      <c r="C491" s="47"/>
      <c r="D491" s="47"/>
      <c r="E491" s="47"/>
      <c r="F491" s="47"/>
      <c r="G491" s="47"/>
      <c r="H491" s="47"/>
    </row>
    <row r="492" spans="1:8">
      <c r="A492" s="47"/>
      <c r="B492" s="47"/>
      <c r="C492" s="47"/>
      <c r="D492" s="47"/>
      <c r="E492" s="47"/>
      <c r="F492" s="47"/>
      <c r="G492" s="47"/>
      <c r="H492" s="47"/>
    </row>
    <row r="493" spans="1:8">
      <c r="A493" s="47"/>
      <c r="B493" s="47"/>
      <c r="C493" s="47"/>
      <c r="D493" s="47"/>
      <c r="E493" s="47"/>
      <c r="F493" s="47"/>
      <c r="G493" s="47"/>
      <c r="H493" s="47"/>
    </row>
    <row r="494" spans="1:8">
      <c r="A494" s="47"/>
      <c r="B494" s="47"/>
      <c r="C494" s="47"/>
      <c r="D494" s="47"/>
      <c r="E494" s="47"/>
      <c r="F494" s="47"/>
      <c r="G494" s="47"/>
      <c r="H494" s="47"/>
    </row>
    <row r="495" spans="1:8">
      <c r="A495" s="47"/>
      <c r="B495" s="47"/>
      <c r="C495" s="47"/>
      <c r="D495" s="47"/>
      <c r="E495" s="47"/>
      <c r="F495" s="47"/>
      <c r="G495" s="47"/>
      <c r="H495" s="47"/>
    </row>
    <row r="496" spans="1:8">
      <c r="A496" s="47"/>
      <c r="B496" s="47"/>
      <c r="C496" s="47"/>
      <c r="D496" s="47"/>
      <c r="E496" s="47"/>
      <c r="F496" s="47"/>
      <c r="G496" s="47"/>
      <c r="H496" s="47"/>
    </row>
    <row r="497" spans="1:8">
      <c r="A497" s="47"/>
      <c r="B497" s="47"/>
      <c r="C497" s="47"/>
      <c r="D497" s="47"/>
      <c r="E497" s="47"/>
      <c r="F497" s="47"/>
      <c r="G497" s="47"/>
      <c r="H497" s="47"/>
    </row>
    <row r="498" spans="1:8">
      <c r="A498" s="47"/>
      <c r="B498" s="47"/>
      <c r="C498" s="47"/>
      <c r="D498" s="47"/>
      <c r="E498" s="47"/>
      <c r="F498" s="47"/>
      <c r="G498" s="47"/>
      <c r="H498" s="47"/>
    </row>
    <row r="499" spans="1:8">
      <c r="A499" s="47"/>
      <c r="B499" s="47"/>
      <c r="C499" s="47"/>
      <c r="D499" s="47"/>
      <c r="E499" s="47"/>
      <c r="F499" s="47"/>
      <c r="G499" s="47"/>
      <c r="H499" s="47"/>
    </row>
    <row r="500" spans="1:8">
      <c r="A500" s="47"/>
      <c r="B500" s="47"/>
      <c r="C500" s="47"/>
      <c r="D500" s="47"/>
      <c r="E500" s="47"/>
      <c r="F500" s="47"/>
      <c r="G500" s="47"/>
      <c r="H500" s="47"/>
    </row>
    <row r="501" spans="1:8">
      <c r="A501" s="47"/>
      <c r="B501" s="47"/>
      <c r="C501" s="47"/>
      <c r="D501" s="47"/>
      <c r="E501" s="47"/>
      <c r="F501" s="47"/>
      <c r="G501" s="47"/>
      <c r="H501" s="47"/>
    </row>
    <row r="502" spans="1:8">
      <c r="A502" s="47"/>
      <c r="B502" s="47"/>
      <c r="C502" s="47"/>
      <c r="D502" s="47"/>
      <c r="E502" s="47"/>
      <c r="F502" s="47"/>
      <c r="G502" s="47"/>
      <c r="H502" s="47"/>
    </row>
    <row r="503" spans="1:8">
      <c r="A503" s="47"/>
      <c r="B503" s="47"/>
      <c r="C503" s="47"/>
      <c r="D503" s="47"/>
      <c r="E503" s="47"/>
      <c r="F503" s="47"/>
      <c r="G503" s="47"/>
      <c r="H503" s="47"/>
    </row>
    <row r="504" spans="1:8">
      <c r="A504" s="47"/>
      <c r="B504" s="47"/>
      <c r="C504" s="47"/>
      <c r="D504" s="47"/>
      <c r="E504" s="47"/>
      <c r="F504" s="47"/>
      <c r="G504" s="47"/>
      <c r="H504" s="47"/>
    </row>
    <row r="505" spans="1:8">
      <c r="A505" s="47"/>
      <c r="B505" s="47"/>
      <c r="C505" s="47"/>
      <c r="D505" s="47"/>
      <c r="E505" s="47"/>
      <c r="F505" s="47"/>
      <c r="G505" s="47"/>
      <c r="H505" s="47"/>
    </row>
    <row r="506" spans="1:8">
      <c r="A506" s="47"/>
      <c r="B506" s="47"/>
      <c r="C506" s="47"/>
      <c r="D506" s="47"/>
      <c r="E506" s="47"/>
      <c r="F506" s="47"/>
      <c r="G506" s="47"/>
      <c r="H506" s="47"/>
    </row>
    <row r="507" spans="1:8">
      <c r="A507" s="47"/>
      <c r="B507" s="47"/>
      <c r="C507" s="47"/>
      <c r="D507" s="47"/>
      <c r="E507" s="47"/>
      <c r="F507" s="47"/>
      <c r="G507" s="47"/>
      <c r="H507" s="47"/>
    </row>
    <row r="508" spans="1:8">
      <c r="A508" s="47"/>
      <c r="B508" s="47"/>
      <c r="C508" s="47"/>
      <c r="D508" s="47"/>
      <c r="E508" s="47"/>
      <c r="F508" s="47"/>
      <c r="G508" s="47"/>
      <c r="H508" s="47"/>
    </row>
    <row r="509" spans="1:8">
      <c r="A509" s="47"/>
      <c r="B509" s="47"/>
      <c r="C509" s="47"/>
      <c r="D509" s="47"/>
      <c r="E509" s="47"/>
      <c r="F509" s="47"/>
      <c r="G509" s="47"/>
      <c r="H509" s="47"/>
    </row>
    <row r="510" spans="1:8">
      <c r="A510" s="47"/>
      <c r="B510" s="47"/>
      <c r="C510" s="47"/>
      <c r="D510" s="47"/>
      <c r="E510" s="47"/>
      <c r="F510" s="47"/>
      <c r="G510" s="47"/>
      <c r="H510" s="47"/>
    </row>
    <row r="511" spans="1:8">
      <c r="A511" s="47"/>
      <c r="B511" s="47"/>
      <c r="C511" s="47"/>
      <c r="D511" s="47"/>
      <c r="E511" s="47"/>
      <c r="F511" s="47"/>
      <c r="G511" s="47"/>
      <c r="H511" s="47"/>
    </row>
    <row r="512" spans="1:8">
      <c r="A512" s="47"/>
      <c r="B512" s="47"/>
      <c r="C512" s="47"/>
      <c r="D512" s="47"/>
      <c r="E512" s="47"/>
      <c r="F512" s="47"/>
      <c r="G512" s="47"/>
      <c r="H512" s="47"/>
    </row>
    <row r="513" spans="1:8">
      <c r="A513" s="47"/>
      <c r="B513" s="47"/>
      <c r="C513" s="47"/>
      <c r="D513" s="47"/>
      <c r="E513" s="47"/>
      <c r="F513" s="47"/>
      <c r="G513" s="47"/>
      <c r="H513" s="47"/>
    </row>
    <row r="514" spans="1:8">
      <c r="A514" s="47"/>
      <c r="B514" s="47"/>
      <c r="C514" s="47"/>
      <c r="D514" s="47"/>
      <c r="E514" s="47"/>
      <c r="F514" s="47"/>
      <c r="G514" s="47"/>
      <c r="H514" s="47"/>
    </row>
    <row r="515" spans="1:8">
      <c r="A515" s="47"/>
      <c r="B515" s="47"/>
      <c r="C515" s="47"/>
      <c r="D515" s="47"/>
      <c r="E515" s="47"/>
      <c r="F515" s="47"/>
      <c r="G515" s="47"/>
      <c r="H515" s="47"/>
    </row>
    <row r="516" spans="1:8">
      <c r="A516" s="47"/>
      <c r="B516" s="47"/>
      <c r="C516" s="47"/>
      <c r="D516" s="47"/>
      <c r="E516" s="47"/>
      <c r="F516" s="47"/>
      <c r="G516" s="47"/>
      <c r="H516" s="47"/>
    </row>
    <row r="517" spans="1:8">
      <c r="A517" s="47"/>
      <c r="B517" s="47"/>
      <c r="C517" s="47"/>
      <c r="D517" s="47"/>
      <c r="E517" s="47"/>
      <c r="F517" s="47"/>
      <c r="G517" s="47"/>
      <c r="H517" s="47"/>
    </row>
    <row r="518" spans="1:8">
      <c r="A518" s="47"/>
      <c r="B518" s="47"/>
      <c r="C518" s="47"/>
      <c r="D518" s="47"/>
      <c r="E518" s="47"/>
      <c r="F518" s="47"/>
      <c r="G518" s="47"/>
      <c r="H518" s="47"/>
    </row>
    <row r="519" spans="1:8">
      <c r="A519" s="47"/>
      <c r="B519" s="47"/>
      <c r="C519" s="47"/>
      <c r="D519" s="47"/>
      <c r="E519" s="47"/>
      <c r="F519" s="47"/>
      <c r="G519" s="47"/>
      <c r="H519" s="47"/>
    </row>
    <row r="520" spans="1:8">
      <c r="A520" s="47"/>
      <c r="B520" s="47"/>
      <c r="C520" s="47"/>
      <c r="D520" s="47"/>
      <c r="E520" s="47"/>
      <c r="F520" s="47"/>
      <c r="G520" s="47"/>
      <c r="H520" s="47"/>
    </row>
    <row r="521" spans="1:8">
      <c r="A521" s="47"/>
      <c r="B521" s="47"/>
      <c r="C521" s="47"/>
      <c r="D521" s="47"/>
      <c r="E521" s="47"/>
      <c r="F521" s="47"/>
      <c r="G521" s="47"/>
      <c r="H521" s="47"/>
    </row>
    <row r="522" spans="1:8">
      <c r="A522" s="47"/>
      <c r="B522" s="47"/>
      <c r="C522" s="47"/>
      <c r="D522" s="47"/>
      <c r="E522" s="47"/>
      <c r="F522" s="47"/>
      <c r="G522" s="47"/>
      <c r="H522" s="47"/>
    </row>
    <row r="523" spans="1:8">
      <c r="A523" s="47"/>
      <c r="B523" s="47"/>
      <c r="C523" s="47"/>
      <c r="D523" s="47"/>
      <c r="E523" s="47"/>
      <c r="F523" s="47"/>
      <c r="G523" s="47"/>
      <c r="H523" s="47"/>
    </row>
    <row r="524" spans="1:8">
      <c r="A524" s="47"/>
      <c r="B524" s="47"/>
      <c r="C524" s="47"/>
      <c r="D524" s="47"/>
      <c r="E524" s="47"/>
      <c r="F524" s="47"/>
      <c r="G524" s="47"/>
      <c r="H524" s="47"/>
    </row>
    <row r="525" spans="1:8">
      <c r="A525" s="47"/>
      <c r="B525" s="47"/>
      <c r="C525" s="47"/>
      <c r="D525" s="47"/>
      <c r="E525" s="47"/>
      <c r="F525" s="47"/>
      <c r="G525" s="47"/>
      <c r="H525" s="47"/>
    </row>
    <row r="526" spans="1:8">
      <c r="A526" s="47"/>
      <c r="B526" s="47"/>
      <c r="C526" s="47"/>
      <c r="D526" s="47"/>
      <c r="E526" s="47"/>
      <c r="F526" s="47"/>
      <c r="G526" s="47"/>
      <c r="H526" s="47"/>
    </row>
    <row r="527" spans="1:8">
      <c r="A527" s="47"/>
      <c r="B527" s="47"/>
      <c r="C527" s="47"/>
      <c r="D527" s="47"/>
      <c r="E527" s="47"/>
      <c r="F527" s="47"/>
      <c r="G527" s="47"/>
      <c r="H527" s="47"/>
    </row>
    <row r="528" spans="1:8">
      <c r="A528" s="47"/>
      <c r="B528" s="47"/>
      <c r="C528" s="47"/>
      <c r="D528" s="47"/>
      <c r="E528" s="47"/>
      <c r="F528" s="47"/>
      <c r="G528" s="47"/>
      <c r="H528" s="47"/>
    </row>
    <row r="529" spans="1:8">
      <c r="A529" s="47"/>
      <c r="B529" s="47"/>
      <c r="C529" s="47"/>
      <c r="D529" s="47"/>
      <c r="E529" s="47"/>
      <c r="F529" s="47"/>
      <c r="G529" s="47"/>
      <c r="H529" s="47"/>
    </row>
    <row r="530" spans="1:8">
      <c r="A530" s="47"/>
      <c r="B530" s="47"/>
      <c r="C530" s="47"/>
      <c r="D530" s="47"/>
      <c r="E530" s="47"/>
      <c r="F530" s="47"/>
      <c r="G530" s="47"/>
      <c r="H530" s="47"/>
    </row>
    <row r="531" spans="1:8">
      <c r="A531" s="47"/>
      <c r="B531" s="47"/>
      <c r="C531" s="47"/>
      <c r="D531" s="47"/>
      <c r="E531" s="47"/>
      <c r="F531" s="47"/>
      <c r="G531" s="47"/>
      <c r="H531" s="47"/>
    </row>
    <row r="532" spans="1:8">
      <c r="A532" s="47"/>
      <c r="B532" s="47"/>
      <c r="C532" s="47"/>
      <c r="D532" s="47"/>
      <c r="E532" s="47"/>
      <c r="F532" s="47"/>
      <c r="G532" s="47"/>
      <c r="H532" s="47"/>
    </row>
    <row r="533" spans="1:8">
      <c r="A533" s="47"/>
      <c r="B533" s="47"/>
      <c r="C533" s="47"/>
      <c r="D533" s="47"/>
      <c r="E533" s="47"/>
      <c r="F533" s="47"/>
      <c r="G533" s="47"/>
      <c r="H533" s="47"/>
    </row>
    <row r="534" spans="1:8">
      <c r="A534" s="47"/>
      <c r="B534" s="47"/>
      <c r="C534" s="47"/>
      <c r="D534" s="47"/>
      <c r="E534" s="47"/>
      <c r="F534" s="47"/>
      <c r="G534" s="47"/>
      <c r="H534" s="47"/>
    </row>
    <row r="535" spans="1:8">
      <c r="A535" s="47"/>
      <c r="B535" s="47"/>
      <c r="C535" s="47"/>
      <c r="D535" s="47"/>
      <c r="E535" s="47"/>
      <c r="F535" s="47"/>
      <c r="G535" s="47"/>
      <c r="H535" s="47"/>
    </row>
    <row r="536" spans="1:8">
      <c r="A536" s="47"/>
      <c r="B536" s="47"/>
      <c r="C536" s="47"/>
      <c r="D536" s="47"/>
      <c r="E536" s="47"/>
      <c r="F536" s="47"/>
      <c r="G536" s="47"/>
      <c r="H536" s="47"/>
    </row>
    <row r="537" spans="1:8">
      <c r="A537" s="47"/>
      <c r="B537" s="47"/>
      <c r="C537" s="47"/>
      <c r="D537" s="47"/>
      <c r="E537" s="47"/>
      <c r="F537" s="47"/>
      <c r="G537" s="47"/>
      <c r="H537" s="47"/>
    </row>
    <row r="538" spans="1:8">
      <c r="A538" s="47"/>
      <c r="B538" s="47"/>
      <c r="C538" s="47"/>
      <c r="D538" s="47"/>
      <c r="E538" s="47"/>
      <c r="F538" s="47"/>
      <c r="G538" s="47"/>
      <c r="H538" s="47"/>
    </row>
    <row r="539" spans="1:8">
      <c r="A539" s="47"/>
      <c r="B539" s="47"/>
      <c r="C539" s="47"/>
      <c r="D539" s="47"/>
      <c r="E539" s="47"/>
      <c r="F539" s="47"/>
      <c r="G539" s="47"/>
      <c r="H539" s="47"/>
    </row>
    <row r="540" spans="1:8">
      <c r="A540" s="47"/>
      <c r="B540" s="47"/>
      <c r="C540" s="47"/>
      <c r="D540" s="47"/>
      <c r="E540" s="47"/>
      <c r="F540" s="47"/>
      <c r="G540" s="47"/>
      <c r="H540" s="47"/>
    </row>
    <row r="541" spans="1:8">
      <c r="A541" s="47"/>
      <c r="B541" s="47"/>
      <c r="C541" s="47"/>
      <c r="D541" s="47"/>
      <c r="E541" s="47"/>
      <c r="F541" s="47"/>
      <c r="G541" s="47"/>
      <c r="H541" s="47"/>
    </row>
    <row r="542" spans="1:8">
      <c r="A542" s="47"/>
      <c r="B542" s="47"/>
      <c r="C542" s="47"/>
      <c r="D542" s="47"/>
      <c r="E542" s="47"/>
      <c r="F542" s="47"/>
      <c r="G542" s="47"/>
      <c r="H542" s="47"/>
    </row>
    <row r="543" spans="1:8">
      <c r="A543" s="47"/>
      <c r="B543" s="47"/>
      <c r="C543" s="47"/>
      <c r="D543" s="47"/>
      <c r="E543" s="47"/>
      <c r="F543" s="47"/>
      <c r="G543" s="47"/>
      <c r="H543" s="47"/>
    </row>
    <row r="544" spans="1:8">
      <c r="A544" s="47"/>
      <c r="B544" s="47"/>
      <c r="C544" s="47"/>
      <c r="D544" s="47"/>
      <c r="E544" s="47"/>
      <c r="F544" s="47"/>
      <c r="G544" s="47"/>
      <c r="H544" s="47"/>
    </row>
    <row r="545" spans="1:8">
      <c r="A545" s="47"/>
      <c r="B545" s="47"/>
      <c r="C545" s="47"/>
      <c r="D545" s="47"/>
      <c r="E545" s="47"/>
      <c r="F545" s="47"/>
      <c r="G545" s="47"/>
      <c r="H545" s="47"/>
    </row>
    <row r="546" spans="1:8">
      <c r="A546" s="47"/>
      <c r="B546" s="47"/>
      <c r="C546" s="47"/>
      <c r="D546" s="47"/>
      <c r="E546" s="47"/>
      <c r="F546" s="47"/>
      <c r="G546" s="47"/>
      <c r="H546" s="47"/>
    </row>
    <row r="547" spans="1:8">
      <c r="A547" s="47"/>
      <c r="B547" s="47"/>
      <c r="C547" s="47"/>
      <c r="D547" s="47"/>
      <c r="E547" s="47"/>
      <c r="F547" s="47"/>
      <c r="G547" s="47"/>
      <c r="H547" s="47"/>
    </row>
    <row r="548" spans="1:8">
      <c r="A548" s="47"/>
      <c r="B548" s="47"/>
      <c r="C548" s="47"/>
      <c r="D548" s="47"/>
      <c r="E548" s="47"/>
      <c r="F548" s="47"/>
      <c r="G548" s="47"/>
      <c r="H548" s="47"/>
    </row>
    <row r="549" spans="1:8">
      <c r="A549" s="47"/>
      <c r="B549" s="47"/>
      <c r="C549" s="47"/>
      <c r="D549" s="47"/>
      <c r="E549" s="47"/>
      <c r="F549" s="47"/>
      <c r="G549" s="47"/>
      <c r="H549" s="47"/>
    </row>
    <row r="550" spans="1:8">
      <c r="A550" s="47"/>
      <c r="B550" s="47"/>
      <c r="C550" s="47"/>
      <c r="D550" s="47"/>
      <c r="E550" s="47"/>
      <c r="F550" s="47"/>
      <c r="G550" s="47"/>
      <c r="H550" s="47"/>
    </row>
    <row r="551" spans="1:8">
      <c r="A551" s="47"/>
      <c r="B551" s="47"/>
      <c r="C551" s="47"/>
      <c r="D551" s="47"/>
      <c r="E551" s="47"/>
      <c r="F551" s="47"/>
      <c r="G551" s="47"/>
      <c r="H551" s="47"/>
    </row>
    <row r="552" spans="1:8">
      <c r="A552" s="47"/>
      <c r="B552" s="47"/>
      <c r="C552" s="47"/>
      <c r="D552" s="47"/>
      <c r="E552" s="47"/>
      <c r="F552" s="47"/>
      <c r="G552" s="47"/>
      <c r="H552" s="47"/>
    </row>
    <row r="553" spans="1:8">
      <c r="A553" s="47"/>
      <c r="B553" s="47"/>
      <c r="C553" s="47"/>
      <c r="D553" s="47"/>
      <c r="E553" s="47"/>
      <c r="F553" s="47"/>
      <c r="G553" s="47"/>
      <c r="H553" s="47"/>
    </row>
    <row r="554" spans="1:8">
      <c r="A554" s="47"/>
      <c r="B554" s="47"/>
      <c r="C554" s="47"/>
      <c r="D554" s="47"/>
      <c r="E554" s="47"/>
      <c r="F554" s="47"/>
      <c r="G554" s="47"/>
      <c r="H554" s="47"/>
    </row>
    <row r="555" spans="1:8">
      <c r="A555" s="47"/>
      <c r="B555" s="47"/>
      <c r="C555" s="47"/>
      <c r="D555" s="47"/>
      <c r="E555" s="47"/>
      <c r="F555" s="47"/>
      <c r="G555" s="47"/>
      <c r="H555" s="47"/>
    </row>
    <row r="556" spans="1:8">
      <c r="A556" s="47"/>
      <c r="B556" s="47"/>
      <c r="C556" s="47"/>
      <c r="D556" s="47"/>
      <c r="E556" s="47"/>
      <c r="F556" s="47"/>
      <c r="G556" s="47"/>
      <c r="H556" s="47"/>
    </row>
    <row r="557" spans="1:8">
      <c r="A557" s="47"/>
      <c r="B557" s="47"/>
      <c r="C557" s="47"/>
      <c r="D557" s="47"/>
      <c r="E557" s="47"/>
      <c r="F557" s="47"/>
      <c r="G557" s="47"/>
      <c r="H557" s="47"/>
    </row>
    <row r="558" spans="1:8">
      <c r="A558" s="47"/>
      <c r="B558" s="47"/>
      <c r="C558" s="47"/>
      <c r="D558" s="47"/>
      <c r="E558" s="47"/>
      <c r="F558" s="47"/>
      <c r="G558" s="47"/>
      <c r="H558" s="47"/>
    </row>
    <row r="559" spans="1:8">
      <c r="A559" s="47"/>
      <c r="B559" s="47"/>
      <c r="C559" s="47"/>
      <c r="D559" s="47"/>
      <c r="E559" s="47"/>
      <c r="F559" s="47"/>
      <c r="G559" s="47"/>
      <c r="H559" s="47"/>
    </row>
    <row r="560" spans="1:8">
      <c r="A560" s="47"/>
      <c r="B560" s="47"/>
      <c r="C560" s="47"/>
      <c r="D560" s="47"/>
      <c r="E560" s="47"/>
      <c r="F560" s="47"/>
      <c r="G560" s="47"/>
      <c r="H560" s="47"/>
    </row>
    <row r="561" spans="1:8">
      <c r="A561" s="47"/>
      <c r="B561" s="47"/>
      <c r="C561" s="47"/>
      <c r="D561" s="47"/>
      <c r="E561" s="47"/>
      <c r="F561" s="47"/>
      <c r="G561" s="47"/>
      <c r="H561" s="47"/>
    </row>
    <row r="562" spans="1:8">
      <c r="A562" s="47"/>
      <c r="B562" s="47"/>
      <c r="C562" s="47"/>
      <c r="D562" s="47"/>
      <c r="E562" s="47"/>
      <c r="F562" s="47"/>
      <c r="G562" s="47"/>
      <c r="H562" s="47"/>
    </row>
    <row r="563" spans="1:8">
      <c r="A563" s="47"/>
      <c r="B563" s="47"/>
      <c r="C563" s="47"/>
      <c r="D563" s="47"/>
      <c r="E563" s="47"/>
      <c r="F563" s="47"/>
      <c r="G563" s="47"/>
      <c r="H563" s="47"/>
    </row>
    <row r="564" spans="1:8">
      <c r="A564" s="47"/>
      <c r="B564" s="47"/>
      <c r="C564" s="47"/>
      <c r="D564" s="47"/>
      <c r="E564" s="47"/>
      <c r="F564" s="47"/>
      <c r="G564" s="47"/>
      <c r="H564" s="47"/>
    </row>
    <row r="565" spans="1:8">
      <c r="A565" s="47"/>
      <c r="B565" s="47"/>
      <c r="C565" s="47"/>
      <c r="D565" s="47"/>
      <c r="E565" s="47"/>
      <c r="F565" s="47"/>
      <c r="G565" s="47"/>
      <c r="H565" s="47"/>
    </row>
    <row r="566" spans="1:8">
      <c r="A566" s="47"/>
      <c r="B566" s="47"/>
      <c r="C566" s="47"/>
      <c r="D566" s="47"/>
      <c r="E566" s="47"/>
      <c r="F566" s="47"/>
      <c r="G566" s="47"/>
      <c r="H566" s="47"/>
    </row>
    <row r="567" spans="1:8">
      <c r="A567" s="47"/>
      <c r="B567" s="47"/>
      <c r="C567" s="47"/>
      <c r="D567" s="47"/>
      <c r="E567" s="47"/>
      <c r="F567" s="47"/>
      <c r="G567" s="47"/>
      <c r="H567" s="47"/>
    </row>
    <row r="568" spans="1:8">
      <c r="A568" s="47"/>
      <c r="B568" s="47"/>
      <c r="C568" s="47"/>
      <c r="D568" s="47"/>
      <c r="E568" s="47"/>
      <c r="F568" s="47"/>
      <c r="G568" s="47"/>
      <c r="H568" s="47"/>
    </row>
    <row r="569" spans="1:8">
      <c r="A569" s="47"/>
      <c r="B569" s="47"/>
      <c r="C569" s="47"/>
      <c r="D569" s="47"/>
      <c r="E569" s="47"/>
      <c r="F569" s="47"/>
      <c r="G569" s="47"/>
      <c r="H569" s="47"/>
    </row>
    <row r="570" spans="1:8">
      <c r="A570" s="47"/>
      <c r="B570" s="47"/>
      <c r="C570" s="47"/>
      <c r="D570" s="47"/>
      <c r="E570" s="47"/>
      <c r="F570" s="47"/>
      <c r="G570" s="47"/>
      <c r="H570" s="47"/>
    </row>
    <row r="571" spans="1:8">
      <c r="A571" s="47"/>
      <c r="B571" s="47"/>
      <c r="C571" s="47"/>
      <c r="D571" s="47"/>
      <c r="E571" s="47"/>
      <c r="F571" s="47"/>
      <c r="G571" s="47"/>
      <c r="H571" s="47"/>
    </row>
    <row r="572" spans="1:8">
      <c r="A572" s="47"/>
      <c r="B572" s="47"/>
      <c r="C572" s="47"/>
      <c r="D572" s="47"/>
      <c r="E572" s="47"/>
      <c r="F572" s="47"/>
      <c r="G572" s="47"/>
      <c r="H572" s="47"/>
    </row>
    <row r="573" spans="1:8">
      <c r="A573" s="47"/>
      <c r="B573" s="47"/>
      <c r="C573" s="47"/>
      <c r="D573" s="47"/>
      <c r="E573" s="47"/>
      <c r="F573" s="47"/>
      <c r="G573" s="47"/>
      <c r="H573" s="47"/>
    </row>
    <row r="574" spans="1:8">
      <c r="A574" s="47"/>
      <c r="B574" s="47"/>
      <c r="C574" s="47"/>
      <c r="D574" s="47"/>
      <c r="E574" s="47"/>
      <c r="F574" s="47"/>
      <c r="G574" s="47"/>
      <c r="H574" s="47"/>
    </row>
    <row r="575" spans="1:8">
      <c r="A575" s="47"/>
      <c r="B575" s="47"/>
      <c r="C575" s="47"/>
      <c r="D575" s="47"/>
      <c r="E575" s="47"/>
      <c r="F575" s="47"/>
      <c r="G575" s="47"/>
      <c r="H575" s="47"/>
    </row>
    <row r="576" spans="1:8">
      <c r="A576" s="47"/>
      <c r="B576" s="47"/>
      <c r="C576" s="47"/>
      <c r="D576" s="47"/>
      <c r="E576" s="47"/>
      <c r="F576" s="47"/>
      <c r="G576" s="47"/>
      <c r="H576" s="47"/>
    </row>
    <row r="577" spans="1:8">
      <c r="A577" s="47"/>
      <c r="B577" s="47"/>
      <c r="C577" s="47"/>
      <c r="D577" s="47"/>
      <c r="E577" s="47"/>
      <c r="F577" s="47"/>
      <c r="G577" s="47"/>
      <c r="H577" s="47"/>
    </row>
    <row r="578" spans="1:8">
      <c r="A578" s="47"/>
      <c r="B578" s="47"/>
      <c r="C578" s="47"/>
      <c r="D578" s="47"/>
      <c r="E578" s="47"/>
      <c r="F578" s="47"/>
      <c r="G578" s="47"/>
      <c r="H578" s="47"/>
    </row>
    <row r="579" spans="1:8">
      <c r="A579" s="47"/>
      <c r="B579" s="47"/>
      <c r="C579" s="47"/>
      <c r="D579" s="47"/>
      <c r="E579" s="47"/>
      <c r="F579" s="47"/>
      <c r="G579" s="47"/>
      <c r="H579" s="47"/>
    </row>
    <row r="580" spans="1:8">
      <c r="A580" s="47"/>
      <c r="B580" s="47"/>
      <c r="C580" s="47"/>
      <c r="D580" s="47"/>
      <c r="E580" s="47"/>
      <c r="F580" s="47"/>
      <c r="G580" s="47"/>
      <c r="H580" s="47"/>
    </row>
    <row r="581" spans="1:8">
      <c r="A581" s="47"/>
      <c r="B581" s="47"/>
      <c r="C581" s="47"/>
      <c r="D581" s="47"/>
      <c r="E581" s="47"/>
      <c r="F581" s="47"/>
      <c r="G581" s="47"/>
      <c r="H581" s="47"/>
    </row>
    <row r="582" spans="1:8">
      <c r="A582" s="47"/>
      <c r="B582" s="47"/>
      <c r="C582" s="47"/>
      <c r="D582" s="47"/>
      <c r="E582" s="47"/>
      <c r="F582" s="47"/>
      <c r="G582" s="47"/>
      <c r="H582" s="47"/>
    </row>
    <row r="583" spans="1:8">
      <c r="A583" s="47"/>
      <c r="B583" s="47"/>
      <c r="C583" s="47"/>
      <c r="D583" s="47"/>
      <c r="E583" s="47"/>
      <c r="F583" s="47"/>
      <c r="G583" s="47"/>
      <c r="H583" s="47"/>
    </row>
    <row r="584" spans="1:8">
      <c r="A584" s="47"/>
      <c r="B584" s="47"/>
      <c r="C584" s="47"/>
      <c r="D584" s="47"/>
      <c r="E584" s="47"/>
      <c r="F584" s="47"/>
      <c r="G584" s="47"/>
      <c r="H584" s="47"/>
    </row>
    <row r="585" spans="1:8">
      <c r="A585" s="47"/>
      <c r="B585" s="47"/>
      <c r="C585" s="47"/>
      <c r="D585" s="47"/>
      <c r="E585" s="47"/>
      <c r="F585" s="47"/>
      <c r="G585" s="47"/>
      <c r="H585" s="47"/>
    </row>
    <row r="586" spans="1:8">
      <c r="A586" s="47"/>
      <c r="B586" s="47"/>
      <c r="C586" s="47"/>
      <c r="D586" s="47"/>
      <c r="E586" s="47"/>
      <c r="F586" s="47"/>
      <c r="G586" s="47"/>
      <c r="H586" s="47"/>
    </row>
    <row r="587" spans="1:8">
      <c r="A587" s="47"/>
      <c r="B587" s="47"/>
      <c r="C587" s="47"/>
      <c r="D587" s="47"/>
      <c r="E587" s="47"/>
      <c r="F587" s="47"/>
      <c r="G587" s="47"/>
      <c r="H587" s="47"/>
    </row>
    <row r="588" spans="1:8">
      <c r="A588" s="47"/>
      <c r="B588" s="47"/>
      <c r="C588" s="47"/>
      <c r="D588" s="47"/>
      <c r="E588" s="47"/>
      <c r="F588" s="47"/>
      <c r="G588" s="47"/>
      <c r="H588" s="47"/>
    </row>
    <row r="589" spans="1:8">
      <c r="A589" s="47"/>
      <c r="B589" s="47"/>
      <c r="C589" s="47"/>
      <c r="D589" s="47"/>
      <c r="E589" s="47"/>
      <c r="F589" s="47"/>
      <c r="G589" s="47"/>
      <c r="H589" s="47"/>
    </row>
    <row r="590" spans="1:8">
      <c r="A590" s="47"/>
      <c r="B590" s="47"/>
      <c r="C590" s="47"/>
      <c r="D590" s="47"/>
      <c r="E590" s="47"/>
      <c r="F590" s="47"/>
      <c r="G590" s="47"/>
      <c r="H590" s="47"/>
    </row>
    <row r="591" spans="1:8">
      <c r="A591" s="47"/>
      <c r="B591" s="47"/>
      <c r="C591" s="47"/>
      <c r="D591" s="47"/>
      <c r="E591" s="47"/>
      <c r="F591" s="47"/>
      <c r="G591" s="47"/>
      <c r="H591" s="47"/>
    </row>
    <row r="592" spans="1:8">
      <c r="A592" s="47"/>
      <c r="B592" s="47"/>
      <c r="C592" s="47"/>
      <c r="D592" s="47"/>
      <c r="E592" s="47"/>
      <c r="F592" s="47"/>
      <c r="G592" s="47"/>
      <c r="H592" s="47"/>
    </row>
    <row r="593" spans="1:8">
      <c r="A593" s="47"/>
      <c r="B593" s="47"/>
      <c r="C593" s="47"/>
      <c r="D593" s="47"/>
      <c r="E593" s="47"/>
      <c r="F593" s="47"/>
      <c r="G593" s="47"/>
      <c r="H593" s="47"/>
    </row>
    <row r="594" spans="1:8">
      <c r="A594" s="47"/>
      <c r="B594" s="47"/>
      <c r="C594" s="47"/>
      <c r="D594" s="47"/>
      <c r="E594" s="47"/>
      <c r="F594" s="47"/>
      <c r="G594" s="47"/>
      <c r="H594" s="47"/>
    </row>
    <row r="595" spans="1:8">
      <c r="A595" s="47"/>
      <c r="B595" s="47"/>
      <c r="C595" s="47"/>
      <c r="D595" s="47"/>
      <c r="E595" s="47"/>
      <c r="F595" s="47"/>
      <c r="G595" s="47"/>
      <c r="H595" s="47"/>
    </row>
    <row r="596" spans="1:8">
      <c r="A596" s="47"/>
      <c r="B596" s="47"/>
      <c r="C596" s="47"/>
      <c r="D596" s="47"/>
      <c r="E596" s="47"/>
      <c r="F596" s="47"/>
      <c r="G596" s="47"/>
      <c r="H596" s="47"/>
    </row>
    <row r="597" spans="1:8">
      <c r="A597" s="47"/>
      <c r="B597" s="47"/>
      <c r="C597" s="47"/>
      <c r="D597" s="47"/>
      <c r="E597" s="47"/>
      <c r="F597" s="47"/>
      <c r="G597" s="47"/>
      <c r="H597" s="47"/>
    </row>
    <row r="598" spans="1:8">
      <c r="A598" s="47"/>
      <c r="B598" s="47"/>
      <c r="C598" s="47"/>
      <c r="D598" s="47"/>
      <c r="E598" s="47"/>
      <c r="F598" s="47"/>
      <c r="G598" s="47"/>
      <c r="H598" s="47"/>
    </row>
    <row r="599" spans="1:8">
      <c r="A599" s="47"/>
      <c r="B599" s="47"/>
      <c r="C599" s="47"/>
      <c r="D599" s="47"/>
      <c r="E599" s="47"/>
      <c r="F599" s="47"/>
      <c r="G599" s="47"/>
      <c r="H599" s="47"/>
    </row>
    <row r="600" spans="1:8">
      <c r="A600" s="47"/>
      <c r="B600" s="47"/>
      <c r="C600" s="47"/>
      <c r="D600" s="47"/>
      <c r="E600" s="47"/>
      <c r="F600" s="47"/>
      <c r="G600" s="47"/>
      <c r="H600" s="47"/>
    </row>
    <row r="601" spans="1:8">
      <c r="A601" s="47"/>
      <c r="B601" s="47"/>
      <c r="C601" s="47"/>
      <c r="D601" s="47"/>
      <c r="E601" s="47"/>
      <c r="F601" s="47"/>
      <c r="G601" s="47"/>
      <c r="H601" s="47"/>
    </row>
    <row r="602" spans="1:8">
      <c r="A602" s="47"/>
      <c r="B602" s="47"/>
      <c r="C602" s="47"/>
      <c r="D602" s="47"/>
      <c r="E602" s="47"/>
      <c r="F602" s="47"/>
      <c r="G602" s="47"/>
      <c r="H602" s="47"/>
    </row>
    <row r="603" spans="1:8">
      <c r="A603" s="47"/>
      <c r="B603" s="47"/>
      <c r="C603" s="47"/>
      <c r="D603" s="47"/>
      <c r="E603" s="47"/>
      <c r="F603" s="47"/>
      <c r="G603" s="47"/>
      <c r="H603" s="47"/>
    </row>
    <row r="604" spans="1:8">
      <c r="A604" s="47"/>
      <c r="B604" s="47"/>
      <c r="C604" s="47"/>
      <c r="D604" s="47"/>
      <c r="E604" s="47"/>
      <c r="F604" s="47"/>
      <c r="G604" s="47"/>
      <c r="H604" s="47"/>
    </row>
    <row r="605" spans="1:8">
      <c r="A605" s="47"/>
      <c r="B605" s="47"/>
      <c r="C605" s="47"/>
      <c r="D605" s="47"/>
      <c r="E605" s="47"/>
      <c r="F605" s="47"/>
      <c r="G605" s="47"/>
      <c r="H605" s="47"/>
    </row>
    <row r="606" spans="1:8">
      <c r="A606" s="47"/>
      <c r="B606" s="47"/>
      <c r="C606" s="47"/>
      <c r="D606" s="47"/>
      <c r="E606" s="47"/>
      <c r="F606" s="47"/>
      <c r="G606" s="47"/>
      <c r="H606" s="47"/>
    </row>
    <row r="607" spans="1:8">
      <c r="A607" s="47"/>
      <c r="B607" s="47"/>
      <c r="C607" s="47"/>
      <c r="D607" s="47"/>
      <c r="E607" s="47"/>
      <c r="F607" s="47"/>
      <c r="G607" s="47"/>
      <c r="H607" s="47"/>
    </row>
    <row r="608" spans="1:8">
      <c r="A608" s="47"/>
      <c r="B608" s="47"/>
      <c r="C608" s="47"/>
      <c r="D608" s="47"/>
      <c r="E608" s="47"/>
      <c r="F608" s="47"/>
      <c r="G608" s="47"/>
      <c r="H608" s="47"/>
    </row>
    <row r="609" spans="1:8">
      <c r="A609" s="47"/>
      <c r="B609" s="47"/>
      <c r="C609" s="47"/>
      <c r="D609" s="47"/>
      <c r="E609" s="47"/>
      <c r="F609" s="47"/>
      <c r="G609" s="47"/>
      <c r="H609" s="47"/>
    </row>
    <row r="610" spans="1:8">
      <c r="A610" s="47"/>
      <c r="B610" s="47"/>
      <c r="C610" s="47"/>
      <c r="D610" s="47"/>
      <c r="E610" s="47"/>
      <c r="F610" s="47"/>
      <c r="G610" s="47"/>
      <c r="H610" s="47"/>
    </row>
    <row r="611" spans="1:8">
      <c r="A611" s="47"/>
      <c r="B611" s="47"/>
      <c r="C611" s="47"/>
      <c r="D611" s="47"/>
      <c r="E611" s="47"/>
      <c r="F611" s="47"/>
      <c r="G611" s="47"/>
      <c r="H611" s="47"/>
    </row>
    <row r="612" spans="1:8">
      <c r="A612" s="47"/>
      <c r="B612" s="47"/>
      <c r="C612" s="47"/>
      <c r="D612" s="47"/>
      <c r="E612" s="47"/>
      <c r="F612" s="47"/>
      <c r="G612" s="47"/>
      <c r="H612" s="47"/>
    </row>
    <row r="613" spans="1:8">
      <c r="A613" s="47"/>
      <c r="B613" s="47"/>
      <c r="C613" s="47"/>
      <c r="D613" s="47"/>
      <c r="E613" s="47"/>
      <c r="F613" s="47"/>
      <c r="G613" s="47"/>
      <c r="H613" s="47"/>
    </row>
    <row r="614" spans="1:8">
      <c r="A614" s="47"/>
      <c r="B614" s="47"/>
      <c r="C614" s="47"/>
      <c r="D614" s="47"/>
      <c r="E614" s="47"/>
      <c r="F614" s="47"/>
      <c r="G614" s="47"/>
      <c r="H614" s="47"/>
    </row>
    <row r="615" spans="1:8">
      <c r="A615" s="47"/>
      <c r="B615" s="47"/>
      <c r="C615" s="47"/>
      <c r="D615" s="47"/>
      <c r="E615" s="47"/>
      <c r="F615" s="47"/>
      <c r="G615" s="47"/>
      <c r="H615" s="47"/>
    </row>
    <row r="616" spans="1:8">
      <c r="A616" s="47"/>
      <c r="B616" s="47"/>
      <c r="C616" s="47"/>
      <c r="D616" s="47"/>
      <c r="E616" s="47"/>
      <c r="F616" s="47"/>
      <c r="G616" s="47"/>
      <c r="H616" s="47"/>
    </row>
    <row r="617" spans="1:8">
      <c r="A617" s="47"/>
      <c r="B617" s="47"/>
      <c r="C617" s="47"/>
      <c r="D617" s="47"/>
      <c r="E617" s="47"/>
      <c r="F617" s="47"/>
      <c r="G617" s="47"/>
      <c r="H617" s="47"/>
    </row>
    <row r="618" spans="1:8">
      <c r="A618" s="47"/>
      <c r="B618" s="47"/>
      <c r="C618" s="47"/>
      <c r="D618" s="47"/>
      <c r="E618" s="47"/>
      <c r="F618" s="47"/>
      <c r="G618" s="47"/>
      <c r="H618" s="47"/>
    </row>
    <row r="619" spans="1:8">
      <c r="A619" s="47"/>
      <c r="B619" s="47"/>
      <c r="C619" s="47"/>
      <c r="D619" s="47"/>
      <c r="E619" s="47"/>
      <c r="F619" s="47"/>
      <c r="G619" s="47"/>
      <c r="H619" s="47"/>
    </row>
    <row r="620" spans="1:8">
      <c r="A620" s="47"/>
      <c r="B620" s="47"/>
      <c r="C620" s="47"/>
      <c r="D620" s="47"/>
      <c r="E620" s="47"/>
      <c r="F620" s="47"/>
      <c r="G620" s="47"/>
      <c r="H620" s="47"/>
    </row>
    <row r="621" spans="1:8">
      <c r="A621" s="47"/>
      <c r="B621" s="47"/>
      <c r="C621" s="47"/>
      <c r="D621" s="47"/>
      <c r="E621" s="47"/>
      <c r="F621" s="47"/>
      <c r="G621" s="47"/>
      <c r="H621" s="47"/>
    </row>
    <row r="622" spans="1:8">
      <c r="A622" s="47"/>
      <c r="B622" s="47"/>
      <c r="C622" s="47"/>
      <c r="D622" s="47"/>
      <c r="E622" s="47"/>
      <c r="F622" s="47"/>
      <c r="G622" s="47"/>
      <c r="H622" s="47"/>
    </row>
    <row r="623" spans="1:8">
      <c r="A623" s="47"/>
      <c r="B623" s="47"/>
      <c r="C623" s="47"/>
      <c r="D623" s="47"/>
      <c r="E623" s="47"/>
      <c r="F623" s="47"/>
      <c r="G623" s="47"/>
      <c r="H623" s="47"/>
    </row>
    <row r="624" spans="1:8">
      <c r="A624" s="47"/>
      <c r="B624" s="47"/>
      <c r="C624" s="47"/>
      <c r="D624" s="47"/>
      <c r="E624" s="47"/>
      <c r="F624" s="47"/>
      <c r="G624" s="47"/>
      <c r="H624" s="47"/>
    </row>
    <row r="625" spans="1:8">
      <c r="A625" s="47"/>
      <c r="B625" s="47"/>
      <c r="C625" s="47"/>
      <c r="D625" s="47"/>
      <c r="E625" s="47"/>
      <c r="F625" s="47"/>
      <c r="G625" s="47"/>
      <c r="H625" s="47"/>
    </row>
    <row r="626" spans="1:8">
      <c r="A626" s="47"/>
      <c r="B626" s="47"/>
      <c r="C626" s="47"/>
      <c r="D626" s="47"/>
      <c r="E626" s="47"/>
      <c r="F626" s="47"/>
      <c r="G626" s="47"/>
      <c r="H626" s="47"/>
    </row>
    <row r="627" spans="1:8">
      <c r="A627" s="47"/>
      <c r="B627" s="47"/>
      <c r="C627" s="47"/>
      <c r="D627" s="47"/>
      <c r="E627" s="47"/>
      <c r="F627" s="47"/>
      <c r="G627" s="47"/>
      <c r="H627" s="47"/>
    </row>
    <row r="628" spans="1:8">
      <c r="A628" s="47"/>
      <c r="B628" s="47"/>
      <c r="C628" s="47"/>
      <c r="D628" s="47"/>
      <c r="E628" s="47"/>
      <c r="F628" s="47"/>
      <c r="G628" s="47"/>
      <c r="H628" s="47"/>
    </row>
    <row r="629" spans="1:8">
      <c r="A629" s="47"/>
      <c r="B629" s="47"/>
      <c r="C629" s="47"/>
      <c r="D629" s="47"/>
      <c r="E629" s="47"/>
      <c r="F629" s="47"/>
      <c r="G629" s="47"/>
      <c r="H629" s="47"/>
    </row>
    <row r="630" spans="1:8">
      <c r="A630" s="47"/>
      <c r="B630" s="47"/>
      <c r="C630" s="47"/>
      <c r="D630" s="47"/>
      <c r="E630" s="47"/>
      <c r="F630" s="47"/>
      <c r="G630" s="47"/>
      <c r="H630" s="47"/>
    </row>
    <row r="631" spans="1:8">
      <c r="A631" s="47"/>
      <c r="B631" s="47"/>
      <c r="C631" s="47"/>
      <c r="D631" s="47"/>
      <c r="E631" s="47"/>
      <c r="F631" s="47"/>
      <c r="G631" s="47"/>
      <c r="H631" s="47"/>
    </row>
    <row r="632" spans="1:8">
      <c r="A632" s="47"/>
      <c r="B632" s="47"/>
      <c r="C632" s="47"/>
      <c r="D632" s="47"/>
      <c r="E632" s="47"/>
      <c r="F632" s="47"/>
      <c r="G632" s="47"/>
      <c r="H632" s="47"/>
    </row>
    <row r="633" spans="1:8">
      <c r="A633" s="47"/>
      <c r="B633" s="47"/>
      <c r="C633" s="47"/>
      <c r="D633" s="47"/>
      <c r="E633" s="47"/>
      <c r="F633" s="47"/>
      <c r="G633" s="47"/>
      <c r="H633" s="47"/>
    </row>
    <row r="634" spans="1:8">
      <c r="A634" s="47"/>
      <c r="B634" s="47"/>
      <c r="C634" s="47"/>
      <c r="D634" s="47"/>
      <c r="E634" s="47"/>
      <c r="F634" s="47"/>
      <c r="G634" s="47"/>
      <c r="H634" s="47"/>
    </row>
    <row r="635" spans="1:8">
      <c r="A635" s="47"/>
      <c r="B635" s="47"/>
      <c r="C635" s="47"/>
      <c r="D635" s="47"/>
      <c r="E635" s="47"/>
      <c r="F635" s="47"/>
      <c r="G635" s="47"/>
      <c r="H635" s="47"/>
    </row>
    <row r="636" spans="1:8">
      <c r="A636" s="47"/>
      <c r="B636" s="47"/>
      <c r="C636" s="47"/>
      <c r="D636" s="47"/>
      <c r="E636" s="47"/>
      <c r="F636" s="47"/>
      <c r="G636" s="47"/>
      <c r="H636" s="47"/>
    </row>
    <row r="637" spans="1:8">
      <c r="A637" s="47"/>
      <c r="B637" s="47"/>
      <c r="C637" s="47"/>
      <c r="D637" s="47"/>
      <c r="E637" s="47"/>
      <c r="F637" s="47"/>
      <c r="G637" s="47"/>
      <c r="H637" s="47"/>
    </row>
    <row r="638" spans="1:8">
      <c r="A638" s="47"/>
      <c r="B638" s="47"/>
      <c r="C638" s="47"/>
      <c r="D638" s="47"/>
      <c r="E638" s="47"/>
      <c r="F638" s="47"/>
      <c r="G638" s="47"/>
      <c r="H638" s="47"/>
    </row>
    <row r="639" spans="1:8">
      <c r="A639" s="47"/>
      <c r="B639" s="47"/>
      <c r="C639" s="47"/>
      <c r="D639" s="47"/>
      <c r="E639" s="47"/>
      <c r="F639" s="47"/>
      <c r="G639" s="47"/>
      <c r="H639" s="47"/>
    </row>
    <row r="640" spans="1:8">
      <c r="A640" s="47"/>
      <c r="B640" s="47"/>
      <c r="C640" s="47"/>
      <c r="D640" s="47"/>
      <c r="E640" s="47"/>
      <c r="F640" s="47"/>
      <c r="G640" s="47"/>
      <c r="H640" s="47"/>
    </row>
    <row r="641" spans="1:8">
      <c r="A641" s="47"/>
      <c r="B641" s="47"/>
      <c r="C641" s="47"/>
      <c r="D641" s="47"/>
      <c r="E641" s="47"/>
      <c r="F641" s="47"/>
      <c r="G641" s="47"/>
      <c r="H641" s="47"/>
    </row>
    <row r="642" spans="1:8">
      <c r="A642" s="47"/>
      <c r="B642" s="47"/>
      <c r="C642" s="47"/>
      <c r="D642" s="47"/>
      <c r="E642" s="47"/>
      <c r="F642" s="47"/>
      <c r="G642" s="47"/>
      <c r="H642" s="47"/>
    </row>
    <row r="643" spans="1:8">
      <c r="A643" s="47"/>
      <c r="B643" s="47"/>
      <c r="C643" s="47"/>
      <c r="D643" s="47"/>
      <c r="E643" s="47"/>
      <c r="F643" s="47"/>
      <c r="G643" s="47"/>
      <c r="H643" s="47"/>
    </row>
    <row r="644" spans="1:8">
      <c r="A644" s="47"/>
      <c r="B644" s="47"/>
      <c r="C644" s="47"/>
      <c r="D644" s="47"/>
      <c r="E644" s="47"/>
      <c r="F644" s="47"/>
      <c r="G644" s="47"/>
      <c r="H644" s="47"/>
    </row>
    <row r="645" spans="1:8">
      <c r="A645" s="47"/>
      <c r="B645" s="47"/>
      <c r="C645" s="47"/>
      <c r="D645" s="47"/>
      <c r="E645" s="47"/>
      <c r="F645" s="47"/>
      <c r="G645" s="47"/>
      <c r="H645" s="47"/>
    </row>
    <row r="646" spans="1:8">
      <c r="A646" s="47"/>
      <c r="B646" s="47"/>
      <c r="C646" s="47"/>
      <c r="D646" s="47"/>
      <c r="E646" s="47"/>
      <c r="F646" s="47"/>
      <c r="G646" s="47"/>
      <c r="H646" s="47"/>
    </row>
    <row r="647" spans="1:8">
      <c r="A647" s="47"/>
      <c r="B647" s="47"/>
      <c r="C647" s="47"/>
      <c r="D647" s="47"/>
      <c r="E647" s="47"/>
      <c r="F647" s="47"/>
      <c r="G647" s="47"/>
      <c r="H647" s="47"/>
    </row>
    <row r="648" spans="1:8">
      <c r="A648" s="47"/>
      <c r="B648" s="47"/>
      <c r="C648" s="47"/>
      <c r="D648" s="47"/>
      <c r="E648" s="47"/>
      <c r="F648" s="47"/>
      <c r="G648" s="47"/>
      <c r="H648" s="47"/>
    </row>
    <row r="649" spans="1:8">
      <c r="A649" s="47"/>
      <c r="B649" s="47"/>
      <c r="C649" s="47"/>
      <c r="D649" s="47"/>
      <c r="E649" s="47"/>
      <c r="F649" s="47"/>
      <c r="G649" s="47"/>
      <c r="H649" s="47"/>
    </row>
    <row r="650" spans="1:8">
      <c r="A650" s="47"/>
      <c r="B650" s="47"/>
      <c r="C650" s="47"/>
      <c r="D650" s="47"/>
      <c r="E650" s="47"/>
      <c r="F650" s="47"/>
      <c r="G650" s="47"/>
      <c r="H650" s="47"/>
    </row>
    <row r="651" spans="1:8">
      <c r="A651" s="47"/>
      <c r="B651" s="47"/>
      <c r="C651" s="47"/>
      <c r="D651" s="47"/>
      <c r="E651" s="47"/>
      <c r="F651" s="47"/>
      <c r="G651" s="47"/>
      <c r="H651" s="47"/>
    </row>
    <row r="652" spans="1:8">
      <c r="A652" s="47"/>
      <c r="B652" s="47"/>
      <c r="C652" s="47"/>
      <c r="D652" s="47"/>
      <c r="E652" s="47"/>
      <c r="F652" s="47"/>
      <c r="G652" s="47"/>
      <c r="H652" s="47"/>
    </row>
    <row r="653" spans="1:8">
      <c r="A653" s="47"/>
      <c r="B653" s="47"/>
      <c r="C653" s="47"/>
      <c r="D653" s="47"/>
      <c r="E653" s="47"/>
      <c r="F653" s="47"/>
      <c r="G653" s="47"/>
      <c r="H653" s="47"/>
    </row>
    <row r="654" spans="1:8">
      <c r="A654" s="47"/>
      <c r="B654" s="47"/>
      <c r="C654" s="47"/>
      <c r="D654" s="47"/>
      <c r="E654" s="47"/>
      <c r="F654" s="47"/>
      <c r="G654" s="47"/>
      <c r="H654" s="47"/>
    </row>
    <row r="655" spans="1:8">
      <c r="A655" s="47"/>
      <c r="B655" s="47"/>
      <c r="C655" s="47"/>
      <c r="D655" s="47"/>
      <c r="E655" s="47"/>
      <c r="F655" s="47"/>
      <c r="G655" s="47"/>
      <c r="H655" s="47"/>
    </row>
    <row r="656" spans="1:8">
      <c r="A656" s="47"/>
      <c r="B656" s="47"/>
      <c r="C656" s="47"/>
      <c r="D656" s="47"/>
      <c r="E656" s="47"/>
      <c r="F656" s="47"/>
      <c r="G656" s="47"/>
      <c r="H656" s="47"/>
    </row>
    <row r="657" spans="1:8">
      <c r="A657" s="47"/>
      <c r="B657" s="47"/>
      <c r="C657" s="47"/>
      <c r="D657" s="47"/>
      <c r="E657" s="47"/>
      <c r="F657" s="47"/>
      <c r="G657" s="47"/>
      <c r="H657" s="47"/>
    </row>
    <row r="658" spans="1:8">
      <c r="A658" s="47"/>
      <c r="B658" s="47"/>
      <c r="C658" s="47"/>
      <c r="D658" s="47"/>
      <c r="E658" s="47"/>
      <c r="F658" s="47"/>
      <c r="G658" s="47"/>
      <c r="H658" s="47"/>
    </row>
    <row r="659" spans="1:8">
      <c r="A659" s="47"/>
      <c r="B659" s="47"/>
      <c r="C659" s="47"/>
      <c r="D659" s="47"/>
      <c r="E659" s="47"/>
      <c r="F659" s="47"/>
      <c r="G659" s="47"/>
      <c r="H659" s="47"/>
    </row>
    <row r="660" spans="1:8">
      <c r="A660" s="47"/>
      <c r="B660" s="47"/>
      <c r="C660" s="47"/>
      <c r="D660" s="47"/>
      <c r="E660" s="47"/>
      <c r="F660" s="47"/>
      <c r="G660" s="47"/>
      <c r="H660" s="47"/>
    </row>
    <row r="661" spans="1:8">
      <c r="A661" s="47"/>
      <c r="B661" s="47"/>
      <c r="C661" s="47"/>
      <c r="D661" s="47"/>
      <c r="E661" s="47"/>
      <c r="F661" s="47"/>
      <c r="G661" s="47"/>
      <c r="H661" s="47"/>
    </row>
    <row r="662" spans="1:8">
      <c r="A662" s="47"/>
      <c r="B662" s="47"/>
      <c r="C662" s="47"/>
      <c r="D662" s="47"/>
      <c r="E662" s="47"/>
      <c r="F662" s="47"/>
      <c r="G662" s="47"/>
      <c r="H662" s="47"/>
    </row>
    <row r="663" spans="1:8">
      <c r="A663" s="47"/>
      <c r="B663" s="47"/>
      <c r="C663" s="47"/>
      <c r="D663" s="47"/>
      <c r="E663" s="47"/>
      <c r="F663" s="47"/>
      <c r="G663" s="47"/>
      <c r="H663" s="47"/>
    </row>
    <row r="664" spans="1:8">
      <c r="A664" s="47"/>
      <c r="B664" s="47"/>
      <c r="C664" s="47"/>
      <c r="D664" s="47"/>
      <c r="E664" s="47"/>
      <c r="F664" s="47"/>
      <c r="G664" s="47"/>
      <c r="H664" s="47"/>
    </row>
    <row r="665" spans="1:8">
      <c r="A665" s="47"/>
      <c r="B665" s="47"/>
      <c r="C665" s="47"/>
      <c r="D665" s="47"/>
      <c r="E665" s="47"/>
      <c r="F665" s="47"/>
      <c r="G665" s="47"/>
      <c r="H665" s="47"/>
    </row>
    <row r="666" spans="1:8">
      <c r="A666" s="47"/>
      <c r="B666" s="47"/>
      <c r="C666" s="47"/>
      <c r="D666" s="47"/>
      <c r="E666" s="47"/>
      <c r="F666" s="47"/>
      <c r="G666" s="47"/>
      <c r="H666" s="47"/>
    </row>
    <row r="667" spans="1:8">
      <c r="A667" s="47"/>
      <c r="B667" s="47"/>
      <c r="C667" s="47"/>
      <c r="D667" s="47"/>
      <c r="E667" s="47"/>
      <c r="F667" s="47"/>
      <c r="G667" s="47"/>
      <c r="H667" s="47"/>
    </row>
    <row r="668" spans="1:8">
      <c r="A668" s="47"/>
      <c r="B668" s="47"/>
      <c r="C668" s="47"/>
      <c r="D668" s="47"/>
      <c r="E668" s="47"/>
      <c r="F668" s="47"/>
      <c r="G668" s="47"/>
      <c r="H668" s="47"/>
    </row>
    <row r="669" spans="1:8">
      <c r="A669" s="47"/>
      <c r="B669" s="47"/>
      <c r="C669" s="47"/>
      <c r="D669" s="47"/>
      <c r="E669" s="47"/>
      <c r="F669" s="47"/>
      <c r="G669" s="47"/>
      <c r="H669" s="47"/>
    </row>
    <row r="670" spans="1:8">
      <c r="A670" s="47"/>
      <c r="B670" s="47"/>
      <c r="C670" s="47"/>
      <c r="D670" s="47"/>
      <c r="E670" s="47"/>
      <c r="F670" s="47"/>
      <c r="G670" s="47"/>
      <c r="H670" s="47"/>
    </row>
    <row r="671" spans="1:8">
      <c r="A671" s="47"/>
      <c r="B671" s="47"/>
      <c r="C671" s="47"/>
      <c r="D671" s="47"/>
      <c r="E671" s="47"/>
      <c r="F671" s="47"/>
      <c r="G671" s="47"/>
      <c r="H671" s="47"/>
    </row>
    <row r="672" spans="1:8">
      <c r="A672" s="47"/>
      <c r="B672" s="47"/>
      <c r="C672" s="47"/>
      <c r="D672" s="47"/>
      <c r="E672" s="47"/>
      <c r="F672" s="47"/>
      <c r="G672" s="47"/>
      <c r="H672" s="47"/>
    </row>
    <row r="673" spans="1:8">
      <c r="A673" s="47"/>
      <c r="B673" s="47"/>
      <c r="C673" s="47"/>
      <c r="D673" s="47"/>
      <c r="E673" s="47"/>
      <c r="F673" s="47"/>
      <c r="G673" s="47"/>
      <c r="H673" s="47"/>
    </row>
    <row r="674" spans="1:8">
      <c r="A674" s="47"/>
      <c r="B674" s="47"/>
      <c r="C674" s="47"/>
      <c r="D674" s="47"/>
      <c r="E674" s="47"/>
      <c r="F674" s="47"/>
      <c r="G674" s="47"/>
      <c r="H674" s="47"/>
    </row>
    <row r="675" spans="1:8">
      <c r="A675" s="47"/>
      <c r="B675" s="47"/>
      <c r="C675" s="47"/>
      <c r="D675" s="47"/>
      <c r="E675" s="47"/>
      <c r="F675" s="47"/>
      <c r="G675" s="47"/>
      <c r="H675" s="47"/>
    </row>
    <row r="676" spans="1:8">
      <c r="A676" s="47"/>
      <c r="B676" s="47"/>
      <c r="C676" s="47"/>
      <c r="D676" s="47"/>
      <c r="E676" s="47"/>
      <c r="F676" s="47"/>
      <c r="G676" s="47"/>
      <c r="H676" s="47"/>
    </row>
    <row r="677" spans="1:8">
      <c r="A677" s="47"/>
      <c r="B677" s="47"/>
      <c r="C677" s="47"/>
      <c r="D677" s="47"/>
      <c r="E677" s="47"/>
      <c r="F677" s="47"/>
      <c r="G677" s="47"/>
      <c r="H677" s="47"/>
    </row>
    <row r="678" spans="1:8">
      <c r="A678" s="47"/>
      <c r="B678" s="47"/>
      <c r="C678" s="47"/>
      <c r="D678" s="47"/>
      <c r="E678" s="47"/>
      <c r="F678" s="47"/>
      <c r="G678" s="47"/>
      <c r="H678" s="47"/>
    </row>
    <row r="679" spans="1:8">
      <c r="A679" s="47"/>
      <c r="B679" s="47"/>
      <c r="C679" s="47"/>
      <c r="D679" s="47"/>
      <c r="E679" s="47"/>
      <c r="F679" s="47"/>
      <c r="G679" s="47"/>
      <c r="H679" s="47"/>
    </row>
    <row r="680" spans="1:8">
      <c r="A680" s="47"/>
      <c r="B680" s="47"/>
      <c r="C680" s="47"/>
      <c r="D680" s="47"/>
      <c r="E680" s="47"/>
      <c r="F680" s="47"/>
      <c r="G680" s="47"/>
      <c r="H680" s="47"/>
    </row>
    <row r="681" spans="1:8">
      <c r="A681" s="47"/>
      <c r="B681" s="47"/>
      <c r="C681" s="47"/>
      <c r="D681" s="47"/>
      <c r="E681" s="47"/>
      <c r="F681" s="47"/>
      <c r="G681" s="47"/>
      <c r="H681" s="47"/>
    </row>
    <row r="682" spans="1:8">
      <c r="A682" s="47"/>
      <c r="B682" s="47"/>
      <c r="C682" s="47"/>
      <c r="D682" s="47"/>
      <c r="E682" s="47"/>
      <c r="F682" s="47"/>
      <c r="G682" s="47"/>
      <c r="H682" s="47"/>
    </row>
    <row r="683" spans="1:8">
      <c r="A683" s="47"/>
      <c r="B683" s="47"/>
      <c r="C683" s="47"/>
      <c r="D683" s="47"/>
      <c r="E683" s="47"/>
      <c r="F683" s="47"/>
      <c r="G683" s="47"/>
      <c r="H683" s="47"/>
    </row>
    <row r="684" spans="1:8">
      <c r="A684" s="47"/>
      <c r="B684" s="47"/>
      <c r="C684" s="47"/>
      <c r="D684" s="47"/>
      <c r="E684" s="47"/>
      <c r="F684" s="47"/>
      <c r="G684" s="47"/>
      <c r="H684" s="47"/>
    </row>
    <row r="685" spans="1:8">
      <c r="A685" s="47"/>
      <c r="B685" s="47"/>
      <c r="C685" s="47"/>
      <c r="D685" s="47"/>
      <c r="E685" s="47"/>
      <c r="F685" s="47"/>
      <c r="G685" s="47"/>
      <c r="H685" s="47"/>
    </row>
    <row r="686" spans="1:8">
      <c r="A686" s="47"/>
      <c r="B686" s="47"/>
      <c r="C686" s="47"/>
      <c r="D686" s="47"/>
      <c r="E686" s="47"/>
      <c r="F686" s="47"/>
      <c r="G686" s="47"/>
      <c r="H686" s="47"/>
    </row>
    <row r="687" spans="1:8">
      <c r="A687" s="47"/>
      <c r="B687" s="47"/>
      <c r="C687" s="47"/>
      <c r="D687" s="47"/>
      <c r="E687" s="47"/>
      <c r="F687" s="47"/>
      <c r="G687" s="47"/>
      <c r="H687" s="47"/>
    </row>
    <row r="688" spans="1:8">
      <c r="A688" s="47"/>
      <c r="B688" s="47"/>
      <c r="C688" s="47"/>
      <c r="D688" s="47"/>
      <c r="E688" s="47"/>
      <c r="F688" s="47"/>
      <c r="G688" s="47"/>
      <c r="H688" s="47"/>
    </row>
    <row r="689" spans="1:8">
      <c r="A689" s="47"/>
      <c r="B689" s="47"/>
      <c r="C689" s="47"/>
      <c r="D689" s="47"/>
      <c r="E689" s="47"/>
      <c r="F689" s="47"/>
      <c r="G689" s="47"/>
      <c r="H689" s="47"/>
    </row>
    <row r="690" spans="1:8">
      <c r="A690" s="47"/>
      <c r="B690" s="47"/>
      <c r="C690" s="47"/>
      <c r="D690" s="47"/>
      <c r="E690" s="47"/>
      <c r="F690" s="47"/>
      <c r="G690" s="47"/>
      <c r="H690" s="47"/>
    </row>
    <row r="691" spans="1:8">
      <c r="A691" s="47"/>
      <c r="B691" s="47"/>
      <c r="C691" s="47"/>
      <c r="D691" s="47"/>
      <c r="E691" s="47"/>
      <c r="F691" s="47"/>
      <c r="G691" s="47"/>
      <c r="H691" s="47"/>
    </row>
    <row r="692" spans="1:8">
      <c r="A692" s="47"/>
      <c r="B692" s="47"/>
      <c r="C692" s="47"/>
      <c r="D692" s="47"/>
      <c r="E692" s="47"/>
      <c r="F692" s="47"/>
      <c r="G692" s="47"/>
      <c r="H692" s="47"/>
    </row>
    <row r="693" spans="1:8">
      <c r="A693" s="47"/>
      <c r="B693" s="47"/>
      <c r="C693" s="47"/>
      <c r="D693" s="47"/>
      <c r="E693" s="47"/>
      <c r="F693" s="47"/>
      <c r="G693" s="47"/>
      <c r="H693" s="47"/>
    </row>
    <row r="694" spans="1:8">
      <c r="A694" s="47"/>
      <c r="B694" s="47"/>
      <c r="C694" s="47"/>
      <c r="D694" s="47"/>
      <c r="E694" s="47"/>
      <c r="F694" s="47"/>
      <c r="G694" s="47"/>
      <c r="H694" s="47"/>
    </row>
    <row r="695" spans="1:8">
      <c r="A695" s="47"/>
      <c r="B695" s="47"/>
      <c r="C695" s="47"/>
      <c r="D695" s="47"/>
      <c r="E695" s="47"/>
      <c r="F695" s="47"/>
      <c r="G695" s="47"/>
      <c r="H695" s="47"/>
    </row>
    <row r="696" spans="1:8">
      <c r="A696" s="47"/>
      <c r="B696" s="47"/>
      <c r="C696" s="47"/>
      <c r="D696" s="47"/>
      <c r="E696" s="47"/>
      <c r="F696" s="47"/>
      <c r="G696" s="47"/>
      <c r="H696" s="47"/>
    </row>
    <row r="697" spans="1:8">
      <c r="A697" s="47"/>
      <c r="B697" s="47"/>
      <c r="C697" s="47"/>
      <c r="D697" s="47"/>
      <c r="E697" s="47"/>
      <c r="F697" s="47"/>
      <c r="G697" s="47"/>
      <c r="H697" s="47"/>
    </row>
    <row r="698" spans="1:8">
      <c r="A698" s="47"/>
      <c r="B698" s="47"/>
      <c r="C698" s="47"/>
      <c r="D698" s="47"/>
      <c r="E698" s="47"/>
      <c r="F698" s="47"/>
      <c r="G698" s="47"/>
      <c r="H698" s="47"/>
    </row>
    <row r="699" spans="1:8">
      <c r="A699" s="47"/>
      <c r="B699" s="47"/>
      <c r="C699" s="47"/>
      <c r="D699" s="47"/>
      <c r="E699" s="47"/>
      <c r="F699" s="47"/>
      <c r="G699" s="47"/>
      <c r="H699" s="47"/>
    </row>
    <row r="700" spans="1:8">
      <c r="A700" s="47"/>
      <c r="B700" s="47"/>
      <c r="C700" s="47"/>
      <c r="D700" s="47"/>
      <c r="E700" s="47"/>
      <c r="F700" s="47"/>
      <c r="G700" s="47"/>
      <c r="H700" s="47"/>
    </row>
    <row r="701" spans="1:8">
      <c r="A701" s="47"/>
      <c r="B701" s="47"/>
      <c r="C701" s="47"/>
      <c r="D701" s="47"/>
      <c r="E701" s="47"/>
      <c r="F701" s="47"/>
      <c r="G701" s="47"/>
      <c r="H701" s="47"/>
    </row>
    <row r="702" spans="1:8">
      <c r="A702" s="47"/>
      <c r="B702" s="47"/>
      <c r="C702" s="47"/>
      <c r="D702" s="47"/>
      <c r="E702" s="47"/>
      <c r="F702" s="47"/>
      <c r="G702" s="47"/>
      <c r="H702" s="47"/>
    </row>
    <row r="703" spans="1:8">
      <c r="A703" s="47"/>
      <c r="B703" s="47"/>
      <c r="C703" s="47"/>
      <c r="D703" s="47"/>
      <c r="E703" s="47"/>
      <c r="F703" s="47"/>
      <c r="G703" s="47"/>
      <c r="H703" s="47"/>
    </row>
    <row r="704" spans="1:8">
      <c r="A704" s="47"/>
      <c r="B704" s="47"/>
      <c r="C704" s="47"/>
      <c r="D704" s="47"/>
      <c r="E704" s="47"/>
      <c r="F704" s="47"/>
      <c r="G704" s="47"/>
      <c r="H704" s="47"/>
    </row>
    <row r="705" spans="1:8">
      <c r="A705" s="47"/>
      <c r="B705" s="47"/>
      <c r="C705" s="47"/>
      <c r="D705" s="47"/>
      <c r="E705" s="47"/>
      <c r="F705" s="47"/>
      <c r="G705" s="47"/>
      <c r="H705" s="47"/>
    </row>
    <row r="706" spans="1:8">
      <c r="A706" s="47"/>
      <c r="B706" s="47"/>
      <c r="C706" s="47"/>
      <c r="D706" s="47"/>
      <c r="E706" s="47"/>
      <c r="F706" s="47"/>
      <c r="G706" s="47"/>
      <c r="H706" s="47"/>
    </row>
    <row r="707" spans="1:8">
      <c r="A707" s="47"/>
      <c r="B707" s="47"/>
      <c r="C707" s="47"/>
      <c r="D707" s="47"/>
      <c r="E707" s="47"/>
      <c r="F707" s="47"/>
      <c r="G707" s="47"/>
      <c r="H707" s="47"/>
    </row>
    <row r="708" spans="1:8">
      <c r="A708" s="47"/>
      <c r="B708" s="47"/>
      <c r="C708" s="47"/>
      <c r="D708" s="47"/>
      <c r="E708" s="47"/>
      <c r="F708" s="47"/>
      <c r="G708" s="47"/>
      <c r="H708" s="47"/>
    </row>
    <row r="709" spans="1:8">
      <c r="A709" s="47"/>
      <c r="B709" s="47"/>
      <c r="C709" s="47"/>
      <c r="D709" s="47"/>
      <c r="E709" s="47"/>
      <c r="F709" s="47"/>
      <c r="G709" s="47"/>
      <c r="H709" s="47"/>
    </row>
    <row r="710" spans="1:8">
      <c r="A710" s="47"/>
      <c r="B710" s="47"/>
      <c r="C710" s="47"/>
      <c r="D710" s="47"/>
      <c r="E710" s="47"/>
      <c r="F710" s="47"/>
      <c r="G710" s="47"/>
      <c r="H710" s="47"/>
    </row>
    <row r="711" spans="1:8">
      <c r="A711" s="47"/>
      <c r="B711" s="47"/>
      <c r="C711" s="47"/>
      <c r="D711" s="47"/>
      <c r="E711" s="47"/>
      <c r="F711" s="47"/>
      <c r="G711" s="47"/>
      <c r="H711" s="47"/>
    </row>
    <row r="712" spans="1:8">
      <c r="A712" s="47"/>
      <c r="B712" s="47"/>
      <c r="C712" s="47"/>
      <c r="D712" s="47"/>
      <c r="E712" s="47"/>
      <c r="F712" s="47"/>
      <c r="G712" s="47"/>
      <c r="H712" s="47"/>
    </row>
    <row r="713" spans="1:8">
      <c r="A713" s="47"/>
      <c r="B713" s="47"/>
      <c r="C713" s="47"/>
      <c r="D713" s="47"/>
      <c r="E713" s="47"/>
      <c r="F713" s="47"/>
      <c r="G713" s="47"/>
      <c r="H713" s="47"/>
    </row>
    <row r="714" spans="1:8">
      <c r="A714" s="47"/>
      <c r="B714" s="47"/>
      <c r="C714" s="47"/>
      <c r="D714" s="47"/>
      <c r="E714" s="47"/>
      <c r="F714" s="47"/>
      <c r="G714" s="47"/>
      <c r="H714" s="47"/>
    </row>
    <row r="715" spans="1:8">
      <c r="A715" s="47"/>
      <c r="B715" s="47"/>
      <c r="C715" s="47"/>
      <c r="D715" s="47"/>
      <c r="E715" s="47"/>
      <c r="F715" s="47"/>
      <c r="G715" s="47"/>
      <c r="H715" s="47"/>
    </row>
    <row r="716" spans="1:8">
      <c r="A716" s="47"/>
      <c r="B716" s="47"/>
      <c r="C716" s="47"/>
      <c r="D716" s="47"/>
      <c r="E716" s="47"/>
      <c r="F716" s="47"/>
      <c r="G716" s="47"/>
      <c r="H716" s="47"/>
    </row>
    <row r="717" spans="1:8">
      <c r="A717" s="47"/>
      <c r="B717" s="47"/>
      <c r="C717" s="47"/>
      <c r="D717" s="47"/>
      <c r="E717" s="47"/>
      <c r="F717" s="47"/>
      <c r="G717" s="47"/>
      <c r="H717" s="47"/>
    </row>
    <row r="718" spans="1:8">
      <c r="A718" s="47"/>
      <c r="B718" s="47"/>
      <c r="C718" s="47"/>
      <c r="D718" s="47"/>
      <c r="E718" s="47"/>
      <c r="F718" s="47"/>
      <c r="G718" s="47"/>
      <c r="H718" s="47"/>
    </row>
    <row r="719" spans="1:8">
      <c r="A719" s="47"/>
      <c r="B719" s="47"/>
      <c r="C719" s="47"/>
      <c r="D719" s="47"/>
      <c r="E719" s="47"/>
      <c r="F719" s="47"/>
      <c r="G719" s="47"/>
      <c r="H719" s="47"/>
    </row>
    <row r="720" spans="1:8">
      <c r="A720" s="47"/>
      <c r="B720" s="47"/>
      <c r="C720" s="47"/>
      <c r="D720" s="47"/>
      <c r="E720" s="47"/>
      <c r="F720" s="47"/>
      <c r="G720" s="47"/>
      <c r="H720" s="47"/>
    </row>
    <row r="721" spans="1:8">
      <c r="A721" s="47"/>
      <c r="B721" s="47"/>
      <c r="C721" s="47"/>
      <c r="D721" s="47"/>
      <c r="E721" s="47"/>
      <c r="F721" s="47"/>
      <c r="G721" s="47"/>
      <c r="H721" s="47"/>
    </row>
    <row r="722" spans="1:8">
      <c r="A722" s="47"/>
      <c r="B722" s="47"/>
      <c r="C722" s="47"/>
      <c r="D722" s="47"/>
      <c r="E722" s="47"/>
      <c r="F722" s="47"/>
      <c r="G722" s="47"/>
      <c r="H722" s="47"/>
    </row>
    <row r="723" spans="1:8">
      <c r="A723" s="47"/>
      <c r="B723" s="47"/>
      <c r="C723" s="47"/>
      <c r="D723" s="47"/>
      <c r="E723" s="47"/>
      <c r="F723" s="47"/>
      <c r="G723" s="47"/>
      <c r="H723" s="47"/>
    </row>
    <row r="724" spans="1:8">
      <c r="A724" s="47"/>
      <c r="B724" s="47"/>
      <c r="C724" s="47"/>
      <c r="D724" s="47"/>
      <c r="E724" s="47"/>
      <c r="F724" s="47"/>
      <c r="G724" s="47"/>
      <c r="H724" s="47"/>
    </row>
    <row r="725" spans="1:8">
      <c r="A725" s="47"/>
      <c r="B725" s="47"/>
      <c r="C725" s="47"/>
      <c r="D725" s="47"/>
      <c r="E725" s="47"/>
      <c r="F725" s="47"/>
      <c r="G725" s="47"/>
      <c r="H725" s="47"/>
    </row>
    <row r="726" spans="1:8">
      <c r="A726" s="47"/>
      <c r="B726" s="47"/>
      <c r="C726" s="47"/>
      <c r="D726" s="47"/>
      <c r="E726" s="47"/>
      <c r="F726" s="47"/>
      <c r="G726" s="47"/>
      <c r="H726" s="47"/>
    </row>
    <row r="727" spans="1:8">
      <c r="A727" s="47"/>
      <c r="B727" s="47"/>
      <c r="C727" s="47"/>
      <c r="D727" s="47"/>
      <c r="E727" s="47"/>
      <c r="F727" s="47"/>
      <c r="G727" s="47"/>
      <c r="H727" s="47"/>
    </row>
    <row r="728" spans="1:8">
      <c r="A728" s="47"/>
      <c r="B728" s="47"/>
      <c r="C728" s="47"/>
      <c r="D728" s="47"/>
      <c r="E728" s="47"/>
      <c r="F728" s="47"/>
      <c r="G728" s="47"/>
      <c r="H728" s="47"/>
    </row>
    <row r="729" spans="1:8">
      <c r="A729" s="47"/>
      <c r="B729" s="47"/>
      <c r="C729" s="47"/>
      <c r="D729" s="47"/>
      <c r="E729" s="47"/>
      <c r="F729" s="47"/>
      <c r="G729" s="47"/>
      <c r="H729" s="47"/>
    </row>
    <row r="730" spans="1:8">
      <c r="A730" s="47"/>
      <c r="B730" s="47"/>
      <c r="C730" s="47"/>
      <c r="D730" s="47"/>
      <c r="E730" s="47"/>
      <c r="F730" s="47"/>
      <c r="G730" s="47"/>
      <c r="H730" s="47"/>
    </row>
    <row r="731" spans="1:8">
      <c r="A731" s="47"/>
      <c r="B731" s="47"/>
      <c r="C731" s="47"/>
      <c r="D731" s="47"/>
      <c r="E731" s="47"/>
      <c r="F731" s="47"/>
      <c r="G731" s="47"/>
      <c r="H731" s="47"/>
    </row>
    <row r="732" spans="1:8">
      <c r="A732" s="47"/>
      <c r="B732" s="47"/>
      <c r="C732" s="47"/>
      <c r="D732" s="47"/>
      <c r="E732" s="47"/>
      <c r="F732" s="47"/>
      <c r="G732" s="47"/>
      <c r="H732" s="47"/>
    </row>
    <row r="733" spans="1:8">
      <c r="A733" s="47"/>
      <c r="B733" s="47"/>
      <c r="C733" s="47"/>
      <c r="D733" s="47"/>
      <c r="E733" s="47"/>
      <c r="F733" s="47"/>
      <c r="G733" s="47"/>
      <c r="H733" s="47"/>
    </row>
    <row r="734" spans="1:8">
      <c r="A734" s="47"/>
      <c r="B734" s="47"/>
      <c r="C734" s="47"/>
      <c r="D734" s="47"/>
      <c r="E734" s="47"/>
      <c r="F734" s="47"/>
      <c r="G734" s="47"/>
      <c r="H734" s="47"/>
    </row>
    <row r="735" spans="1:8">
      <c r="A735" s="47"/>
      <c r="B735" s="47"/>
      <c r="C735" s="47"/>
      <c r="D735" s="47"/>
      <c r="E735" s="47"/>
      <c r="F735" s="47"/>
      <c r="G735" s="47"/>
      <c r="H735" s="47"/>
    </row>
    <row r="736" spans="1:8">
      <c r="A736" s="47"/>
      <c r="B736" s="47"/>
      <c r="C736" s="47"/>
      <c r="D736" s="47"/>
      <c r="E736" s="47"/>
      <c r="F736" s="47"/>
      <c r="G736" s="47"/>
      <c r="H736" s="47"/>
    </row>
    <row r="737" spans="1:8">
      <c r="A737" s="47"/>
      <c r="B737" s="47"/>
      <c r="C737" s="47"/>
      <c r="D737" s="47"/>
      <c r="E737" s="47"/>
      <c r="F737" s="47"/>
      <c r="G737" s="47"/>
      <c r="H737" s="47"/>
    </row>
    <row r="738" spans="1:8">
      <c r="A738" s="47"/>
      <c r="B738" s="47"/>
      <c r="C738" s="47"/>
      <c r="D738" s="47"/>
      <c r="E738" s="47"/>
      <c r="F738" s="47"/>
      <c r="G738" s="47"/>
      <c r="H738" s="47"/>
    </row>
    <row r="739" spans="1:8">
      <c r="A739" s="47"/>
      <c r="B739" s="47"/>
      <c r="C739" s="47"/>
      <c r="D739" s="47"/>
      <c r="E739" s="47"/>
      <c r="F739" s="47"/>
      <c r="G739" s="47"/>
      <c r="H739" s="47"/>
    </row>
    <row r="740" spans="1:8">
      <c r="A740" s="47"/>
      <c r="B740" s="47"/>
      <c r="C740" s="47"/>
      <c r="D740" s="47"/>
      <c r="E740" s="47"/>
      <c r="F740" s="47"/>
      <c r="G740" s="47"/>
      <c r="H740" s="47"/>
    </row>
    <row r="741" spans="1:8">
      <c r="A741" s="47"/>
      <c r="B741" s="47"/>
      <c r="C741" s="47"/>
      <c r="D741" s="47"/>
      <c r="E741" s="47"/>
      <c r="F741" s="47"/>
      <c r="G741" s="47"/>
      <c r="H741" s="47"/>
    </row>
    <row r="742" spans="1:8">
      <c r="A742" s="47"/>
      <c r="B742" s="47"/>
      <c r="C742" s="47"/>
      <c r="D742" s="47"/>
      <c r="E742" s="47"/>
      <c r="F742" s="47"/>
      <c r="G742" s="47"/>
      <c r="H742" s="47"/>
    </row>
    <row r="743" spans="1:8">
      <c r="A743" s="47"/>
      <c r="B743" s="47"/>
      <c r="C743" s="47"/>
      <c r="D743" s="47"/>
      <c r="E743" s="47"/>
      <c r="F743" s="47"/>
      <c r="G743" s="47"/>
      <c r="H743" s="47"/>
    </row>
    <row r="744" spans="1:8">
      <c r="A744" s="47"/>
      <c r="B744" s="47"/>
      <c r="C744" s="47"/>
      <c r="D744" s="47"/>
      <c r="E744" s="47"/>
      <c r="F744" s="47"/>
      <c r="G744" s="47"/>
      <c r="H744" s="47"/>
    </row>
    <row r="745" spans="1:8">
      <c r="A745" s="47"/>
      <c r="B745" s="47"/>
      <c r="C745" s="47"/>
      <c r="D745" s="47"/>
      <c r="E745" s="47"/>
      <c r="F745" s="47"/>
      <c r="G745" s="47"/>
      <c r="H745" s="47"/>
    </row>
    <row r="746" spans="1:8">
      <c r="A746" s="47"/>
      <c r="B746" s="47"/>
      <c r="C746" s="47"/>
      <c r="D746" s="47"/>
      <c r="E746" s="47"/>
      <c r="F746" s="47"/>
      <c r="G746" s="47"/>
      <c r="H746" s="47"/>
    </row>
    <row r="747" spans="1:8">
      <c r="A747" s="47"/>
      <c r="B747" s="47"/>
      <c r="C747" s="47"/>
      <c r="D747" s="47"/>
      <c r="E747" s="47"/>
      <c r="F747" s="47"/>
      <c r="G747" s="47"/>
      <c r="H747" s="47"/>
    </row>
    <row r="748" spans="1:8">
      <c r="A748" s="47"/>
      <c r="B748" s="47"/>
      <c r="C748" s="47"/>
      <c r="D748" s="47"/>
      <c r="E748" s="47"/>
      <c r="F748" s="47"/>
      <c r="G748" s="47"/>
      <c r="H748" s="47"/>
    </row>
    <row r="749" spans="1:8">
      <c r="A749" s="47"/>
      <c r="B749" s="47"/>
      <c r="C749" s="47"/>
      <c r="D749" s="47"/>
      <c r="E749" s="47"/>
      <c r="F749" s="47"/>
      <c r="G749" s="47"/>
      <c r="H749" s="47"/>
    </row>
    <row r="750" spans="1:8">
      <c r="A750" s="47"/>
      <c r="B750" s="47"/>
      <c r="C750" s="47"/>
      <c r="D750" s="47"/>
      <c r="E750" s="47"/>
      <c r="F750" s="47"/>
      <c r="G750" s="47"/>
      <c r="H750" s="47"/>
    </row>
    <row r="751" spans="1:8">
      <c r="A751" s="47"/>
      <c r="B751" s="47"/>
      <c r="C751" s="47"/>
      <c r="D751" s="47"/>
      <c r="E751" s="47"/>
      <c r="F751" s="47"/>
      <c r="G751" s="47"/>
      <c r="H751" s="47"/>
    </row>
    <row r="752" spans="1:8">
      <c r="A752" s="47"/>
      <c r="B752" s="47"/>
      <c r="C752" s="47"/>
      <c r="D752" s="47"/>
      <c r="E752" s="47"/>
      <c r="F752" s="47"/>
      <c r="G752" s="47"/>
      <c r="H752" s="47"/>
    </row>
    <row r="753" spans="1:8">
      <c r="A753" s="47"/>
      <c r="B753" s="47"/>
      <c r="C753" s="47"/>
      <c r="D753" s="47"/>
      <c r="E753" s="47"/>
      <c r="F753" s="47"/>
      <c r="G753" s="47"/>
      <c r="H753" s="47"/>
    </row>
    <row r="754" spans="1:8">
      <c r="A754" s="47"/>
      <c r="B754" s="47"/>
      <c r="C754" s="47"/>
      <c r="D754" s="47"/>
      <c r="E754" s="47"/>
      <c r="F754" s="47"/>
      <c r="G754" s="47"/>
      <c r="H754" s="47"/>
    </row>
    <row r="755" spans="1:8">
      <c r="A755" s="47"/>
      <c r="B755" s="47"/>
      <c r="C755" s="47"/>
      <c r="D755" s="47"/>
      <c r="E755" s="47"/>
      <c r="F755" s="47"/>
      <c r="G755" s="47"/>
      <c r="H755" s="47"/>
    </row>
    <row r="756" spans="1:8">
      <c r="A756" s="47"/>
      <c r="B756" s="47"/>
      <c r="C756" s="47"/>
      <c r="D756" s="47"/>
      <c r="E756" s="47"/>
      <c r="F756" s="47"/>
      <c r="G756" s="47"/>
      <c r="H756" s="47"/>
    </row>
    <row r="757" spans="1:8">
      <c r="A757" s="47"/>
      <c r="B757" s="47"/>
      <c r="C757" s="47"/>
      <c r="D757" s="47"/>
      <c r="E757" s="47"/>
      <c r="F757" s="47"/>
      <c r="G757" s="47"/>
      <c r="H757" s="47"/>
    </row>
    <row r="758" spans="1:8">
      <c r="A758" s="47"/>
      <c r="B758" s="47"/>
      <c r="C758" s="47"/>
      <c r="D758" s="47"/>
      <c r="E758" s="47"/>
      <c r="F758" s="47"/>
      <c r="G758" s="47"/>
      <c r="H758" s="47"/>
    </row>
    <row r="759" spans="1:8">
      <c r="A759" s="47"/>
      <c r="B759" s="47"/>
      <c r="C759" s="47"/>
      <c r="D759" s="47"/>
      <c r="E759" s="47"/>
      <c r="F759" s="47"/>
      <c r="G759" s="47"/>
      <c r="H759" s="47"/>
    </row>
    <row r="760" spans="1:8">
      <c r="A760" s="47"/>
      <c r="B760" s="47"/>
      <c r="C760" s="47"/>
      <c r="D760" s="47"/>
      <c r="E760" s="47"/>
      <c r="F760" s="47"/>
      <c r="G760" s="47"/>
      <c r="H760" s="47"/>
    </row>
    <row r="761" spans="1:8">
      <c r="A761" s="47"/>
      <c r="B761" s="47"/>
      <c r="C761" s="47"/>
      <c r="D761" s="47"/>
      <c r="E761" s="47"/>
      <c r="F761" s="47"/>
      <c r="G761" s="47"/>
      <c r="H761" s="47"/>
    </row>
    <row r="762" spans="1:8">
      <c r="A762" s="47"/>
      <c r="B762" s="47"/>
      <c r="C762" s="47"/>
      <c r="D762" s="47"/>
      <c r="E762" s="47"/>
      <c r="F762" s="47"/>
      <c r="G762" s="47"/>
      <c r="H762" s="47"/>
    </row>
    <row r="763" spans="1:8">
      <c r="A763" s="47"/>
      <c r="B763" s="47"/>
      <c r="C763" s="47"/>
      <c r="D763" s="47"/>
      <c r="E763" s="47"/>
      <c r="F763" s="47"/>
      <c r="G763" s="47"/>
      <c r="H763" s="47"/>
    </row>
    <row r="764" spans="1:8">
      <c r="A764" s="47"/>
      <c r="B764" s="47"/>
      <c r="C764" s="47"/>
      <c r="D764" s="47"/>
      <c r="E764" s="47"/>
      <c r="F764" s="47"/>
      <c r="G764" s="47"/>
      <c r="H764" s="47"/>
    </row>
    <row r="765" spans="1:8">
      <c r="A765" s="47"/>
      <c r="B765" s="47"/>
      <c r="C765" s="47"/>
      <c r="D765" s="47"/>
      <c r="E765" s="47"/>
      <c r="F765" s="47"/>
      <c r="G765" s="47"/>
      <c r="H765" s="47"/>
    </row>
    <row r="766" spans="1:8">
      <c r="A766" s="47"/>
      <c r="B766" s="47"/>
      <c r="C766" s="47"/>
      <c r="D766" s="47"/>
      <c r="E766" s="47"/>
      <c r="F766" s="47"/>
      <c r="G766" s="47"/>
      <c r="H766" s="47"/>
    </row>
    <row r="767" spans="1:8">
      <c r="A767" s="47"/>
      <c r="B767" s="47"/>
      <c r="C767" s="47"/>
      <c r="D767" s="47"/>
      <c r="E767" s="47"/>
      <c r="F767" s="47"/>
      <c r="G767" s="47"/>
      <c r="H767" s="47"/>
    </row>
    <row r="768" spans="1:8">
      <c r="A768" s="47"/>
      <c r="B768" s="47"/>
      <c r="C768" s="47"/>
      <c r="D768" s="47"/>
      <c r="E768" s="47"/>
      <c r="F768" s="47"/>
      <c r="G768" s="47"/>
      <c r="H768" s="47"/>
    </row>
    <row r="769" spans="1:8">
      <c r="A769" s="47"/>
      <c r="B769" s="47"/>
      <c r="C769" s="47"/>
      <c r="D769" s="47"/>
      <c r="E769" s="47"/>
      <c r="F769" s="47"/>
      <c r="G769" s="47"/>
      <c r="H769" s="47"/>
    </row>
    <row r="770" spans="1:8">
      <c r="A770" s="47"/>
      <c r="B770" s="47"/>
      <c r="C770" s="47"/>
      <c r="D770" s="47"/>
      <c r="E770" s="47"/>
      <c r="F770" s="47"/>
      <c r="G770" s="47"/>
      <c r="H770" s="47"/>
    </row>
    <row r="771" spans="1:8">
      <c r="A771" s="47"/>
      <c r="B771" s="47"/>
      <c r="C771" s="47"/>
      <c r="D771" s="47"/>
      <c r="E771" s="47"/>
      <c r="F771" s="47"/>
      <c r="G771" s="47"/>
      <c r="H771" s="47"/>
    </row>
    <row r="772" spans="1:8">
      <c r="A772" s="47"/>
      <c r="B772" s="47"/>
      <c r="C772" s="47"/>
      <c r="D772" s="47"/>
      <c r="E772" s="47"/>
      <c r="F772" s="47"/>
      <c r="G772" s="47"/>
      <c r="H772" s="47"/>
    </row>
    <row r="773" spans="1:8">
      <c r="A773" s="47"/>
      <c r="B773" s="47"/>
      <c r="C773" s="47"/>
      <c r="D773" s="47"/>
      <c r="E773" s="47"/>
      <c r="F773" s="47"/>
      <c r="G773" s="47"/>
      <c r="H773" s="47"/>
    </row>
    <row r="774" spans="1:8">
      <c r="A774" s="47"/>
      <c r="B774" s="47"/>
      <c r="C774" s="47"/>
      <c r="D774" s="47"/>
      <c r="E774" s="47"/>
      <c r="F774" s="47"/>
      <c r="G774" s="47"/>
      <c r="H774" s="47"/>
    </row>
    <row r="775" spans="1:8">
      <c r="A775" s="47"/>
      <c r="B775" s="47"/>
      <c r="C775" s="47"/>
      <c r="D775" s="47"/>
      <c r="E775" s="47"/>
      <c r="F775" s="47"/>
      <c r="G775" s="47"/>
      <c r="H775" s="47"/>
    </row>
    <row r="776" spans="1:8">
      <c r="A776" s="47"/>
      <c r="B776" s="47"/>
      <c r="C776" s="47"/>
      <c r="D776" s="47"/>
      <c r="E776" s="47"/>
      <c r="F776" s="47"/>
      <c r="G776" s="47"/>
      <c r="H776" s="47"/>
    </row>
    <row r="777" spans="1:8">
      <c r="A777" s="47"/>
      <c r="B777" s="47"/>
      <c r="C777" s="47"/>
      <c r="D777" s="47"/>
      <c r="E777" s="47"/>
      <c r="F777" s="47"/>
      <c r="G777" s="47"/>
      <c r="H777" s="47"/>
    </row>
    <row r="778" spans="1:8">
      <c r="A778" s="47"/>
      <c r="B778" s="47"/>
      <c r="C778" s="47"/>
      <c r="D778" s="47"/>
      <c r="E778" s="47"/>
      <c r="F778" s="47"/>
      <c r="G778" s="47"/>
      <c r="H778" s="47"/>
    </row>
    <row r="779" spans="1:8">
      <c r="A779" s="47"/>
      <c r="B779" s="47"/>
      <c r="C779" s="47"/>
      <c r="D779" s="47"/>
      <c r="E779" s="47"/>
      <c r="F779" s="47"/>
      <c r="G779" s="47"/>
      <c r="H779" s="47"/>
    </row>
    <row r="780" spans="1:8">
      <c r="A780" s="47"/>
      <c r="B780" s="47"/>
      <c r="C780" s="47"/>
      <c r="D780" s="47"/>
      <c r="E780" s="47"/>
      <c r="F780" s="47"/>
      <c r="G780" s="47"/>
      <c r="H780" s="47"/>
    </row>
    <row r="781" spans="1:8">
      <c r="A781" s="47"/>
      <c r="B781" s="47"/>
      <c r="C781" s="47"/>
      <c r="D781" s="47"/>
      <c r="E781" s="47"/>
      <c r="F781" s="47"/>
      <c r="G781" s="47"/>
      <c r="H781" s="47"/>
    </row>
    <row r="782" spans="1:8">
      <c r="A782" s="47"/>
      <c r="B782" s="47"/>
      <c r="C782" s="47"/>
      <c r="D782" s="47"/>
      <c r="E782" s="47"/>
      <c r="F782" s="47"/>
      <c r="G782" s="47"/>
      <c r="H782" s="47"/>
    </row>
    <row r="783" spans="1:8">
      <c r="A783" s="47"/>
      <c r="B783" s="47"/>
      <c r="C783" s="47"/>
      <c r="D783" s="47"/>
      <c r="E783" s="47"/>
      <c r="F783" s="47"/>
      <c r="G783" s="47"/>
      <c r="H783" s="47"/>
    </row>
    <row r="784" spans="1:8">
      <c r="A784" s="47"/>
      <c r="B784" s="47"/>
      <c r="C784" s="47"/>
      <c r="D784" s="47"/>
      <c r="E784" s="47"/>
      <c r="F784" s="47"/>
      <c r="G784" s="47"/>
      <c r="H784" s="47"/>
    </row>
    <row r="785" spans="1:8">
      <c r="A785" s="47"/>
      <c r="B785" s="47"/>
      <c r="C785" s="47"/>
      <c r="D785" s="47"/>
      <c r="E785" s="47"/>
      <c r="F785" s="47"/>
      <c r="G785" s="47"/>
      <c r="H785" s="47"/>
    </row>
    <row r="786" spans="1:8">
      <c r="A786" s="47"/>
      <c r="B786" s="47"/>
      <c r="C786" s="47"/>
      <c r="D786" s="47"/>
      <c r="E786" s="47"/>
      <c r="F786" s="47"/>
      <c r="G786" s="47"/>
      <c r="H786" s="47"/>
    </row>
    <row r="787" spans="1:8">
      <c r="A787" s="47"/>
      <c r="B787" s="47"/>
      <c r="C787" s="47"/>
      <c r="D787" s="47"/>
      <c r="E787" s="47"/>
      <c r="F787" s="47"/>
      <c r="G787" s="47"/>
      <c r="H787" s="47"/>
    </row>
    <row r="788" spans="1:8">
      <c r="A788" s="47"/>
      <c r="B788" s="47"/>
      <c r="C788" s="47"/>
      <c r="D788" s="47"/>
      <c r="E788" s="47"/>
      <c r="F788" s="47"/>
      <c r="G788" s="47"/>
      <c r="H788" s="47"/>
    </row>
    <row r="789" spans="1:8">
      <c r="A789" s="47"/>
      <c r="B789" s="47"/>
      <c r="C789" s="47"/>
      <c r="D789" s="47"/>
      <c r="E789" s="47"/>
      <c r="F789" s="47"/>
      <c r="G789" s="47"/>
      <c r="H789" s="47"/>
    </row>
    <row r="790" spans="1:8">
      <c r="A790" s="47"/>
      <c r="B790" s="47"/>
      <c r="C790" s="47"/>
      <c r="D790" s="47"/>
      <c r="E790" s="47"/>
      <c r="F790" s="47"/>
      <c r="G790" s="47"/>
      <c r="H790" s="47"/>
    </row>
    <row r="791" spans="1:8">
      <c r="A791" s="47"/>
      <c r="B791" s="47"/>
      <c r="C791" s="47"/>
      <c r="D791" s="47"/>
      <c r="E791" s="47"/>
      <c r="F791" s="47"/>
      <c r="G791" s="47"/>
      <c r="H791" s="47"/>
    </row>
    <row r="792" spans="1:8">
      <c r="A792" s="47"/>
      <c r="B792" s="47"/>
      <c r="C792" s="47"/>
      <c r="D792" s="47"/>
      <c r="E792" s="47"/>
      <c r="F792" s="47"/>
      <c r="G792" s="47"/>
      <c r="H792" s="47"/>
    </row>
    <row r="793" spans="1:8">
      <c r="A793" s="47"/>
      <c r="B793" s="47"/>
      <c r="C793" s="47"/>
      <c r="D793" s="47"/>
      <c r="E793" s="47"/>
      <c r="F793" s="47"/>
      <c r="G793" s="47"/>
      <c r="H793" s="47"/>
    </row>
    <row r="794" spans="1:8">
      <c r="A794" s="47"/>
      <c r="B794" s="47"/>
      <c r="C794" s="47"/>
      <c r="D794" s="47"/>
      <c r="E794" s="47"/>
      <c r="F794" s="47"/>
      <c r="G794" s="47"/>
      <c r="H794" s="47"/>
    </row>
    <row r="795" spans="1:8">
      <c r="A795" s="47"/>
      <c r="B795" s="47"/>
      <c r="C795" s="47"/>
      <c r="D795" s="47"/>
      <c r="E795" s="47"/>
      <c r="F795" s="47"/>
      <c r="G795" s="47"/>
      <c r="H795" s="47"/>
    </row>
    <row r="796" spans="1:8">
      <c r="A796" s="47"/>
      <c r="B796" s="47"/>
      <c r="C796" s="47"/>
      <c r="D796" s="47"/>
      <c r="E796" s="47"/>
      <c r="F796" s="47"/>
      <c r="G796" s="47"/>
      <c r="H796" s="47"/>
    </row>
    <row r="797" spans="1:8">
      <c r="A797" s="47"/>
      <c r="B797" s="47"/>
      <c r="C797" s="47"/>
      <c r="D797" s="47"/>
      <c r="E797" s="47"/>
      <c r="F797" s="47"/>
      <c r="G797" s="47"/>
      <c r="H797" s="47"/>
    </row>
    <row r="798" spans="1:8">
      <c r="A798" s="47"/>
      <c r="B798" s="47"/>
      <c r="C798" s="47"/>
      <c r="D798" s="47"/>
      <c r="E798" s="47"/>
      <c r="F798" s="47"/>
      <c r="G798" s="47"/>
      <c r="H798" s="47"/>
    </row>
    <row r="799" spans="1:8">
      <c r="A799" s="47"/>
      <c r="B799" s="47"/>
      <c r="C799" s="47"/>
      <c r="D799" s="47"/>
      <c r="E799" s="47"/>
      <c r="F799" s="47"/>
      <c r="G799" s="47"/>
      <c r="H799" s="47"/>
    </row>
    <row r="800" spans="1:8">
      <c r="A800" s="47"/>
      <c r="B800" s="47"/>
      <c r="C800" s="47"/>
      <c r="D800" s="47"/>
      <c r="E800" s="47"/>
      <c r="F800" s="47"/>
      <c r="G800" s="47"/>
      <c r="H800" s="47"/>
    </row>
    <row r="801" spans="1:8">
      <c r="A801" s="47"/>
      <c r="B801" s="47"/>
      <c r="C801" s="47"/>
      <c r="D801" s="47"/>
      <c r="E801" s="47"/>
      <c r="F801" s="47"/>
      <c r="G801" s="47"/>
      <c r="H801" s="47"/>
    </row>
    <row r="802" spans="1:8">
      <c r="A802" s="47"/>
      <c r="B802" s="47"/>
      <c r="C802" s="47"/>
      <c r="D802" s="47"/>
      <c r="E802" s="47"/>
      <c r="F802" s="47"/>
      <c r="G802" s="47"/>
      <c r="H802" s="47"/>
    </row>
    <row r="803" spans="1:8">
      <c r="A803" s="47"/>
      <c r="B803" s="47"/>
      <c r="C803" s="47"/>
      <c r="D803" s="47"/>
      <c r="E803" s="47"/>
      <c r="F803" s="47"/>
      <c r="G803" s="47"/>
      <c r="H803" s="47"/>
    </row>
    <row r="804" spans="1:8">
      <c r="A804" s="47"/>
      <c r="B804" s="47"/>
      <c r="C804" s="47"/>
      <c r="D804" s="47"/>
      <c r="E804" s="47"/>
      <c r="F804" s="47"/>
      <c r="G804" s="47"/>
      <c r="H804" s="47"/>
    </row>
    <row r="805" spans="1:8">
      <c r="A805" s="47"/>
      <c r="B805" s="47"/>
      <c r="C805" s="47"/>
      <c r="D805" s="47"/>
      <c r="E805" s="47"/>
      <c r="F805" s="47"/>
      <c r="G805" s="47"/>
      <c r="H805" s="47"/>
    </row>
    <row r="806" spans="1:8">
      <c r="A806" s="47"/>
      <c r="B806" s="47"/>
      <c r="C806" s="47"/>
      <c r="D806" s="47"/>
      <c r="E806" s="47"/>
      <c r="F806" s="47"/>
      <c r="G806" s="47"/>
      <c r="H806" s="47"/>
    </row>
    <row r="807" spans="1:8">
      <c r="A807" s="47"/>
      <c r="B807" s="47"/>
      <c r="C807" s="47"/>
      <c r="D807" s="47"/>
      <c r="E807" s="47"/>
      <c r="F807" s="47"/>
      <c r="G807" s="47"/>
      <c r="H807" s="47"/>
    </row>
    <row r="808" spans="1:8">
      <c r="A808" s="47"/>
      <c r="B808" s="47"/>
      <c r="C808" s="47"/>
      <c r="D808" s="47"/>
      <c r="E808" s="47"/>
      <c r="F808" s="47"/>
      <c r="G808" s="47"/>
      <c r="H808" s="47"/>
    </row>
    <row r="809" spans="1:8">
      <c r="A809" s="47"/>
      <c r="B809" s="47"/>
      <c r="C809" s="47"/>
      <c r="D809" s="47"/>
      <c r="E809" s="47"/>
      <c r="F809" s="47"/>
      <c r="G809" s="47"/>
      <c r="H809" s="47"/>
    </row>
    <row r="810" spans="1:8">
      <c r="A810" s="47"/>
      <c r="B810" s="47"/>
      <c r="C810" s="47"/>
      <c r="D810" s="47"/>
      <c r="E810" s="47"/>
      <c r="F810" s="47"/>
      <c r="G810" s="47"/>
      <c r="H810" s="47"/>
    </row>
    <row r="811" spans="1:8">
      <c r="A811" s="47"/>
      <c r="B811" s="47"/>
      <c r="C811" s="47"/>
      <c r="D811" s="47"/>
      <c r="E811" s="47"/>
      <c r="F811" s="47"/>
      <c r="G811" s="47"/>
      <c r="H811" s="47"/>
    </row>
    <row r="812" spans="1:8">
      <c r="A812" s="47"/>
      <c r="B812" s="47"/>
      <c r="C812" s="47"/>
      <c r="D812" s="47"/>
      <c r="E812" s="47"/>
      <c r="F812" s="47"/>
      <c r="G812" s="47"/>
      <c r="H812" s="47"/>
    </row>
    <row r="813" spans="1:8">
      <c r="A813" s="47"/>
      <c r="B813" s="47"/>
      <c r="C813" s="47"/>
      <c r="D813" s="47"/>
      <c r="E813" s="47"/>
      <c r="F813" s="47"/>
      <c r="G813" s="47"/>
      <c r="H813" s="47"/>
    </row>
    <row r="814" spans="1:8">
      <c r="A814" s="47"/>
      <c r="B814" s="47"/>
      <c r="C814" s="47"/>
      <c r="D814" s="47"/>
      <c r="E814" s="47"/>
      <c r="F814" s="47"/>
      <c r="G814" s="47"/>
      <c r="H814" s="47"/>
    </row>
    <row r="815" spans="1:8">
      <c r="A815" s="47"/>
      <c r="B815" s="47"/>
      <c r="C815" s="47"/>
      <c r="D815" s="47"/>
      <c r="E815" s="47"/>
      <c r="F815" s="47"/>
      <c r="G815" s="47"/>
      <c r="H815" s="47"/>
    </row>
    <row r="816" spans="1:8">
      <c r="A816" s="47"/>
      <c r="B816" s="47"/>
      <c r="C816" s="47"/>
      <c r="D816" s="47"/>
      <c r="E816" s="47"/>
      <c r="F816" s="47"/>
      <c r="G816" s="47"/>
      <c r="H816" s="47"/>
    </row>
    <row r="817" spans="1:8">
      <c r="A817" s="47"/>
      <c r="B817" s="47"/>
      <c r="C817" s="47"/>
      <c r="D817" s="47"/>
      <c r="E817" s="47"/>
      <c r="F817" s="47"/>
      <c r="G817" s="47"/>
      <c r="H817" s="47"/>
    </row>
    <row r="818" spans="1:8">
      <c r="A818" s="47"/>
      <c r="B818" s="47"/>
      <c r="C818" s="47"/>
      <c r="D818" s="47"/>
      <c r="E818" s="47"/>
      <c r="F818" s="47"/>
      <c r="G818" s="47"/>
      <c r="H818" s="47"/>
    </row>
    <row r="819" spans="1:8">
      <c r="A819" s="47"/>
      <c r="B819" s="47"/>
      <c r="C819" s="47"/>
      <c r="D819" s="47"/>
      <c r="E819" s="47"/>
      <c r="F819" s="47"/>
      <c r="G819" s="47"/>
      <c r="H819" s="47"/>
    </row>
    <row r="820" spans="1:8">
      <c r="A820" s="47"/>
      <c r="B820" s="47"/>
      <c r="C820" s="47"/>
      <c r="D820" s="47"/>
      <c r="E820" s="47"/>
      <c r="F820" s="47"/>
      <c r="G820" s="47"/>
      <c r="H820" s="47"/>
    </row>
    <row r="821" spans="1:8">
      <c r="A821" s="47"/>
      <c r="B821" s="47"/>
      <c r="C821" s="47"/>
      <c r="D821" s="47"/>
      <c r="E821" s="47"/>
      <c r="F821" s="47"/>
      <c r="G821" s="47"/>
      <c r="H821" s="47"/>
    </row>
    <row r="822" spans="1:8">
      <c r="A822" s="47"/>
      <c r="B822" s="47"/>
      <c r="C822" s="47"/>
      <c r="D822" s="47"/>
      <c r="E822" s="47"/>
      <c r="F822" s="47"/>
      <c r="G822" s="47"/>
      <c r="H822" s="47"/>
    </row>
    <row r="823" spans="1:8">
      <c r="A823" s="47"/>
      <c r="B823" s="47"/>
      <c r="C823" s="47"/>
      <c r="D823" s="47"/>
      <c r="E823" s="47"/>
      <c r="F823" s="47"/>
      <c r="G823" s="47"/>
      <c r="H823" s="47"/>
    </row>
    <row r="824" spans="1:8">
      <c r="A824" s="47"/>
      <c r="B824" s="47"/>
      <c r="C824" s="47"/>
      <c r="D824" s="47"/>
      <c r="E824" s="47"/>
      <c r="F824" s="47"/>
      <c r="G824" s="47"/>
      <c r="H824" s="47"/>
    </row>
    <row r="825" spans="1:8">
      <c r="A825" s="47"/>
      <c r="B825" s="47"/>
      <c r="C825" s="47"/>
      <c r="D825" s="47"/>
      <c r="E825" s="47"/>
      <c r="F825" s="47"/>
      <c r="G825" s="47"/>
      <c r="H825" s="47"/>
    </row>
    <row r="826" spans="1:8">
      <c r="A826" s="47"/>
      <c r="B826" s="47"/>
      <c r="C826" s="47"/>
      <c r="D826" s="47"/>
      <c r="E826" s="47"/>
      <c r="F826" s="47"/>
      <c r="G826" s="47"/>
      <c r="H826" s="47"/>
    </row>
    <row r="827" spans="1:8">
      <c r="A827" s="47"/>
      <c r="B827" s="47"/>
      <c r="C827" s="47"/>
      <c r="D827" s="47"/>
      <c r="E827" s="47"/>
      <c r="F827" s="47"/>
      <c r="G827" s="47"/>
      <c r="H827" s="47"/>
    </row>
    <row r="828" spans="1:8">
      <c r="A828" s="47"/>
      <c r="B828" s="47"/>
      <c r="C828" s="47"/>
      <c r="D828" s="47"/>
      <c r="E828" s="47"/>
      <c r="F828" s="47"/>
      <c r="G828" s="47"/>
      <c r="H828" s="47"/>
    </row>
    <row r="829" spans="1:8">
      <c r="A829" s="47"/>
      <c r="B829" s="47"/>
      <c r="C829" s="47"/>
      <c r="D829" s="47"/>
      <c r="E829" s="47"/>
      <c r="F829" s="47"/>
      <c r="G829" s="47"/>
      <c r="H829" s="47"/>
    </row>
    <row r="830" spans="1:8">
      <c r="A830" s="47"/>
      <c r="B830" s="47"/>
      <c r="C830" s="47"/>
      <c r="D830" s="47"/>
      <c r="E830" s="47"/>
      <c r="F830" s="47"/>
      <c r="G830" s="47"/>
      <c r="H830" s="47"/>
    </row>
    <row r="831" spans="1:8">
      <c r="A831" s="47"/>
      <c r="B831" s="47"/>
      <c r="C831" s="47"/>
      <c r="D831" s="47"/>
      <c r="E831" s="47"/>
      <c r="F831" s="47"/>
      <c r="G831" s="47"/>
      <c r="H831" s="47"/>
    </row>
    <row r="832" spans="1:8">
      <c r="A832" s="47"/>
      <c r="B832" s="47"/>
      <c r="C832" s="47"/>
      <c r="D832" s="47"/>
      <c r="E832" s="47"/>
      <c r="F832" s="47"/>
      <c r="G832" s="47"/>
      <c r="H832" s="47"/>
    </row>
    <row r="833" spans="1:8">
      <c r="A833" s="47"/>
      <c r="B833" s="47"/>
      <c r="C833" s="47"/>
      <c r="D833" s="47"/>
      <c r="E833" s="47"/>
      <c r="F833" s="47"/>
      <c r="G833" s="47"/>
      <c r="H833" s="47"/>
    </row>
    <row r="834" spans="1:8">
      <c r="A834" s="47"/>
      <c r="B834" s="47"/>
      <c r="C834" s="47"/>
      <c r="D834" s="47"/>
      <c r="E834" s="47"/>
      <c r="F834" s="47"/>
      <c r="G834" s="47"/>
      <c r="H834" s="47"/>
    </row>
    <row r="835" spans="1:8">
      <c r="A835" s="47"/>
      <c r="B835" s="47"/>
      <c r="C835" s="47"/>
      <c r="D835" s="47"/>
      <c r="E835" s="47"/>
      <c r="F835" s="47"/>
      <c r="G835" s="47"/>
      <c r="H835" s="47"/>
    </row>
    <row r="836" spans="1:8">
      <c r="A836" s="47"/>
      <c r="B836" s="47"/>
      <c r="C836" s="47"/>
      <c r="D836" s="47"/>
      <c r="E836" s="47"/>
      <c r="F836" s="47"/>
      <c r="G836" s="47"/>
      <c r="H836" s="47"/>
    </row>
    <row r="837" spans="1:8">
      <c r="A837" s="47"/>
      <c r="B837" s="47"/>
      <c r="C837" s="47"/>
      <c r="D837" s="47"/>
      <c r="E837" s="47"/>
      <c r="F837" s="47"/>
      <c r="G837" s="47"/>
      <c r="H837" s="47"/>
    </row>
    <row r="838" spans="1:8">
      <c r="A838" s="47"/>
      <c r="B838" s="47"/>
      <c r="C838" s="47"/>
      <c r="D838" s="47"/>
      <c r="E838" s="47"/>
      <c r="F838" s="47"/>
      <c r="G838" s="47"/>
      <c r="H838" s="47"/>
    </row>
    <row r="839" spans="1:8">
      <c r="A839" s="47"/>
      <c r="B839" s="47"/>
      <c r="C839" s="47"/>
      <c r="D839" s="47"/>
      <c r="E839" s="47"/>
      <c r="F839" s="47"/>
      <c r="G839" s="47"/>
      <c r="H839" s="47"/>
    </row>
    <row r="840" spans="1:8">
      <c r="A840" s="47"/>
      <c r="B840" s="47"/>
      <c r="C840" s="47"/>
      <c r="D840" s="47"/>
      <c r="E840" s="47"/>
      <c r="F840" s="47"/>
      <c r="G840" s="47"/>
      <c r="H840" s="47"/>
    </row>
    <row r="841" spans="1:8">
      <c r="A841" s="47"/>
      <c r="B841" s="47"/>
      <c r="C841" s="47"/>
      <c r="D841" s="47"/>
      <c r="E841" s="47"/>
      <c r="F841" s="47"/>
      <c r="G841" s="47"/>
      <c r="H841" s="47"/>
    </row>
    <row r="842" spans="1:8">
      <c r="A842" s="47"/>
      <c r="B842" s="47"/>
      <c r="C842" s="47"/>
      <c r="D842" s="47"/>
      <c r="E842" s="47"/>
      <c r="F842" s="47"/>
      <c r="G842" s="47"/>
      <c r="H842" s="47"/>
    </row>
    <row r="843" spans="1:8">
      <c r="A843" s="47"/>
      <c r="B843" s="47"/>
      <c r="C843" s="47"/>
      <c r="D843" s="47"/>
      <c r="E843" s="47"/>
      <c r="F843" s="47"/>
      <c r="G843" s="47"/>
      <c r="H843" s="47"/>
    </row>
    <row r="844" spans="1:8">
      <c r="A844" s="47"/>
      <c r="B844" s="47"/>
      <c r="C844" s="47"/>
      <c r="D844" s="47"/>
      <c r="E844" s="47"/>
      <c r="F844" s="47"/>
      <c r="G844" s="47"/>
      <c r="H844" s="47"/>
    </row>
    <row r="845" spans="1:8">
      <c r="A845" s="47"/>
      <c r="B845" s="47"/>
      <c r="C845" s="47"/>
      <c r="D845" s="47"/>
      <c r="E845" s="47"/>
      <c r="F845" s="47"/>
      <c r="G845" s="47"/>
      <c r="H845" s="47"/>
    </row>
    <row r="846" spans="1:8">
      <c r="A846" s="47"/>
      <c r="B846" s="47"/>
      <c r="C846" s="47"/>
      <c r="D846" s="47"/>
      <c r="E846" s="47"/>
      <c r="F846" s="47"/>
      <c r="G846" s="47"/>
      <c r="H846" s="47"/>
    </row>
    <row r="847" spans="1:8">
      <c r="A847" s="47"/>
      <c r="B847" s="47"/>
      <c r="C847" s="47"/>
      <c r="D847" s="47"/>
      <c r="E847" s="47"/>
      <c r="F847" s="47"/>
      <c r="G847" s="47"/>
      <c r="H847" s="47"/>
    </row>
    <row r="848" spans="1:8">
      <c r="A848" s="47"/>
      <c r="B848" s="47"/>
      <c r="C848" s="47"/>
      <c r="D848" s="47"/>
      <c r="E848" s="47"/>
      <c r="F848" s="47"/>
      <c r="G848" s="47"/>
      <c r="H848" s="47"/>
    </row>
    <row r="849" spans="1:8">
      <c r="A849" s="47"/>
      <c r="B849" s="47"/>
      <c r="C849" s="47"/>
      <c r="D849" s="47"/>
      <c r="E849" s="47"/>
      <c r="F849" s="47"/>
      <c r="G849" s="47"/>
      <c r="H849" s="47"/>
    </row>
    <row r="850" spans="1:8">
      <c r="A850" s="47"/>
      <c r="B850" s="47"/>
      <c r="C850" s="47"/>
      <c r="D850" s="47"/>
      <c r="E850" s="47"/>
      <c r="F850" s="47"/>
      <c r="G850" s="47"/>
      <c r="H850" s="47"/>
    </row>
    <row r="851" spans="1:8">
      <c r="A851" s="47"/>
      <c r="B851" s="47"/>
      <c r="C851" s="47"/>
      <c r="D851" s="47"/>
      <c r="E851" s="47"/>
      <c r="F851" s="47"/>
      <c r="G851" s="47"/>
      <c r="H851" s="47"/>
    </row>
    <row r="852" spans="1:8">
      <c r="A852" s="47"/>
      <c r="B852" s="47"/>
      <c r="C852" s="47"/>
      <c r="D852" s="47"/>
      <c r="E852" s="47"/>
      <c r="F852" s="47"/>
      <c r="G852" s="47"/>
      <c r="H852" s="47"/>
    </row>
    <row r="853" spans="1:8">
      <c r="A853" s="47"/>
      <c r="B853" s="47"/>
      <c r="C853" s="47"/>
      <c r="D853" s="47"/>
      <c r="E853" s="47"/>
      <c r="F853" s="47"/>
      <c r="G853" s="47"/>
      <c r="H853" s="47"/>
    </row>
    <row r="854" spans="1:8">
      <c r="A854" s="47"/>
      <c r="B854" s="47"/>
      <c r="C854" s="47"/>
      <c r="D854" s="47"/>
      <c r="E854" s="47"/>
      <c r="F854" s="47"/>
      <c r="G854" s="47"/>
      <c r="H854" s="47"/>
    </row>
    <row r="855" spans="1:8">
      <c r="A855" s="47"/>
      <c r="B855" s="47"/>
      <c r="C855" s="47"/>
      <c r="D855" s="47"/>
      <c r="E855" s="47"/>
      <c r="F855" s="47"/>
      <c r="G855" s="47"/>
      <c r="H855" s="47"/>
    </row>
    <row r="856" spans="1:8">
      <c r="A856" s="47"/>
      <c r="B856" s="47"/>
      <c r="C856" s="47"/>
      <c r="D856" s="47"/>
      <c r="E856" s="47"/>
      <c r="F856" s="47"/>
      <c r="G856" s="47"/>
      <c r="H856" s="47"/>
    </row>
    <row r="857" spans="1:8">
      <c r="A857" s="47"/>
      <c r="B857" s="47"/>
      <c r="C857" s="47"/>
      <c r="D857" s="47"/>
      <c r="E857" s="47"/>
      <c r="F857" s="47"/>
      <c r="G857" s="47"/>
      <c r="H857" s="47"/>
    </row>
    <row r="858" spans="1:8">
      <c r="A858" s="47"/>
      <c r="B858" s="47"/>
      <c r="C858" s="47"/>
      <c r="D858" s="47"/>
      <c r="E858" s="47"/>
      <c r="F858" s="47"/>
      <c r="G858" s="47"/>
      <c r="H858" s="47"/>
    </row>
    <row r="859" spans="1:8">
      <c r="A859" s="47"/>
      <c r="B859" s="47"/>
      <c r="C859" s="47"/>
      <c r="D859" s="47"/>
      <c r="E859" s="47"/>
      <c r="F859" s="47"/>
      <c r="G859" s="47"/>
      <c r="H859" s="47"/>
    </row>
    <row r="860" spans="1:8">
      <c r="A860" s="47"/>
      <c r="B860" s="47"/>
      <c r="C860" s="47"/>
      <c r="D860" s="47"/>
      <c r="E860" s="47"/>
      <c r="F860" s="47"/>
      <c r="G860" s="47"/>
      <c r="H860" s="47"/>
    </row>
    <row r="861" spans="1:8">
      <c r="A861" s="47"/>
      <c r="B861" s="47"/>
      <c r="C861" s="47"/>
      <c r="D861" s="47"/>
      <c r="E861" s="47"/>
      <c r="F861" s="47"/>
      <c r="G861" s="47"/>
      <c r="H861" s="47"/>
    </row>
    <row r="862" spans="1:8">
      <c r="A862" s="47"/>
      <c r="B862" s="47"/>
      <c r="C862" s="47"/>
      <c r="D862" s="47"/>
      <c r="E862" s="47"/>
      <c r="F862" s="47"/>
      <c r="G862" s="47"/>
      <c r="H862" s="47"/>
    </row>
    <row r="863" spans="1:8">
      <c r="A863" s="47"/>
      <c r="B863" s="47"/>
      <c r="C863" s="47"/>
      <c r="D863" s="47"/>
      <c r="E863" s="47"/>
      <c r="F863" s="47"/>
      <c r="G863" s="47"/>
      <c r="H863" s="47"/>
    </row>
    <row r="864" spans="1:8">
      <c r="A864" s="47"/>
      <c r="B864" s="47"/>
      <c r="C864" s="47"/>
      <c r="D864" s="47"/>
      <c r="E864" s="47"/>
      <c r="F864" s="47"/>
      <c r="G864" s="47"/>
      <c r="H864" s="47"/>
    </row>
    <row r="865" spans="1:8">
      <c r="A865" s="47"/>
      <c r="B865" s="47"/>
      <c r="C865" s="47"/>
      <c r="D865" s="47"/>
      <c r="E865" s="47"/>
      <c r="F865" s="47"/>
      <c r="G865" s="47"/>
      <c r="H865" s="47"/>
    </row>
    <row r="866" spans="1:8">
      <c r="A866" s="47"/>
      <c r="B866" s="47"/>
      <c r="C866" s="47"/>
      <c r="D866" s="47"/>
      <c r="E866" s="47"/>
      <c r="F866" s="47"/>
      <c r="G866" s="47"/>
      <c r="H866" s="47"/>
    </row>
    <row r="867" spans="1:8">
      <c r="A867" s="47"/>
      <c r="B867" s="47"/>
      <c r="C867" s="47"/>
      <c r="D867" s="47"/>
      <c r="E867" s="47"/>
      <c r="F867" s="47"/>
      <c r="G867" s="47"/>
      <c r="H867" s="47"/>
    </row>
    <row r="868" spans="1:8">
      <c r="A868" s="47"/>
      <c r="B868" s="47"/>
      <c r="C868" s="47"/>
      <c r="D868" s="47"/>
      <c r="E868" s="47"/>
      <c r="F868" s="47"/>
      <c r="G868" s="47"/>
      <c r="H868" s="47"/>
    </row>
    <row r="869" spans="1:8">
      <c r="A869" s="47"/>
      <c r="B869" s="47"/>
      <c r="C869" s="47"/>
      <c r="D869" s="47"/>
      <c r="E869" s="47"/>
      <c r="F869" s="47"/>
      <c r="G869" s="47"/>
      <c r="H869" s="47"/>
    </row>
    <row r="870" spans="1:8">
      <c r="A870" s="47"/>
      <c r="B870" s="47"/>
      <c r="C870" s="47"/>
      <c r="D870" s="47"/>
      <c r="E870" s="47"/>
      <c r="F870" s="47"/>
      <c r="G870" s="47"/>
      <c r="H870" s="47"/>
    </row>
    <row r="871" spans="1:8">
      <c r="A871" s="47"/>
      <c r="B871" s="47"/>
      <c r="C871" s="47"/>
      <c r="D871" s="47"/>
      <c r="E871" s="47"/>
      <c r="F871" s="47"/>
      <c r="G871" s="47"/>
      <c r="H871" s="47"/>
    </row>
    <row r="872" spans="1:8">
      <c r="A872" s="47"/>
      <c r="B872" s="47"/>
      <c r="C872" s="47"/>
      <c r="D872" s="47"/>
      <c r="E872" s="47"/>
      <c r="F872" s="47"/>
      <c r="G872" s="47"/>
      <c r="H872" s="47"/>
    </row>
    <row r="873" spans="1:8">
      <c r="A873" s="47"/>
      <c r="B873" s="47"/>
      <c r="C873" s="47"/>
      <c r="D873" s="47"/>
      <c r="E873" s="47"/>
      <c r="F873" s="47"/>
      <c r="G873" s="47"/>
      <c r="H873" s="47"/>
    </row>
    <row r="874" spans="1:8">
      <c r="A874" s="47"/>
      <c r="B874" s="47"/>
      <c r="C874" s="47"/>
      <c r="D874" s="47"/>
      <c r="E874" s="47"/>
      <c r="F874" s="47"/>
      <c r="G874" s="47"/>
      <c r="H874" s="47"/>
    </row>
    <row r="875" spans="1:8">
      <c r="A875" s="47"/>
      <c r="B875" s="47"/>
      <c r="C875" s="47"/>
      <c r="D875" s="47"/>
      <c r="E875" s="47"/>
      <c r="F875" s="47"/>
      <c r="G875" s="47"/>
      <c r="H875" s="47"/>
    </row>
    <row r="876" spans="1:8">
      <c r="A876" s="47"/>
      <c r="B876" s="47"/>
      <c r="C876" s="47"/>
      <c r="D876" s="47"/>
      <c r="E876" s="47"/>
      <c r="F876" s="47"/>
      <c r="G876" s="47"/>
      <c r="H876" s="47"/>
    </row>
    <row r="877" spans="1:8">
      <c r="A877" s="47"/>
      <c r="B877" s="47"/>
      <c r="C877" s="47"/>
      <c r="D877" s="47"/>
      <c r="E877" s="47"/>
      <c r="F877" s="47"/>
      <c r="G877" s="47"/>
      <c r="H877" s="47"/>
    </row>
    <row r="878" spans="1:8">
      <c r="A878" s="47"/>
      <c r="B878" s="47"/>
      <c r="C878" s="47"/>
      <c r="D878" s="47"/>
      <c r="E878" s="47"/>
      <c r="F878" s="47"/>
      <c r="G878" s="47"/>
      <c r="H878" s="47"/>
    </row>
    <row r="879" spans="1:8">
      <c r="A879" s="47"/>
      <c r="B879" s="47"/>
      <c r="C879" s="47"/>
      <c r="D879" s="47"/>
      <c r="E879" s="47"/>
      <c r="F879" s="47"/>
      <c r="G879" s="47"/>
      <c r="H879" s="47"/>
    </row>
    <row r="880" spans="1:8">
      <c r="A880" s="47"/>
      <c r="B880" s="47"/>
      <c r="C880" s="47"/>
      <c r="D880" s="47"/>
      <c r="E880" s="47"/>
      <c r="F880" s="47"/>
      <c r="G880" s="47"/>
      <c r="H880" s="47"/>
    </row>
    <row r="881" spans="1:8">
      <c r="A881" s="47"/>
      <c r="B881" s="47"/>
      <c r="C881" s="47"/>
      <c r="D881" s="47"/>
      <c r="E881" s="47"/>
      <c r="F881" s="47"/>
      <c r="G881" s="47"/>
      <c r="H881" s="47"/>
    </row>
    <row r="882" spans="1:8">
      <c r="A882" s="47"/>
      <c r="B882" s="47"/>
      <c r="C882" s="47"/>
      <c r="D882" s="47"/>
      <c r="E882" s="47"/>
      <c r="F882" s="47"/>
      <c r="G882" s="47"/>
      <c r="H882" s="47"/>
    </row>
    <row r="883" spans="1:8">
      <c r="A883" s="47"/>
      <c r="B883" s="47"/>
      <c r="C883" s="47"/>
      <c r="D883" s="47"/>
      <c r="E883" s="47"/>
      <c r="F883" s="47"/>
      <c r="G883" s="47"/>
      <c r="H883" s="47"/>
    </row>
    <row r="884" spans="1:8">
      <c r="A884" s="47"/>
      <c r="B884" s="47"/>
      <c r="C884" s="47"/>
      <c r="D884" s="47"/>
      <c r="E884" s="47"/>
      <c r="F884" s="47"/>
      <c r="G884" s="47"/>
      <c r="H884" s="47"/>
    </row>
    <row r="885" spans="1:8">
      <c r="A885" s="47"/>
      <c r="B885" s="47"/>
      <c r="C885" s="47"/>
      <c r="D885" s="47"/>
      <c r="E885" s="47"/>
      <c r="F885" s="47"/>
      <c r="G885" s="47"/>
      <c r="H885" s="47"/>
    </row>
    <row r="886" spans="1:8">
      <c r="A886" s="47"/>
      <c r="B886" s="47"/>
      <c r="C886" s="47"/>
      <c r="D886" s="47"/>
      <c r="E886" s="47"/>
      <c r="F886" s="47"/>
      <c r="G886" s="47"/>
      <c r="H886" s="47"/>
    </row>
    <row r="887" spans="1:8">
      <c r="A887" s="47"/>
      <c r="B887" s="47"/>
      <c r="C887" s="47"/>
      <c r="D887" s="47"/>
      <c r="E887" s="47"/>
      <c r="F887" s="47"/>
      <c r="G887" s="47"/>
      <c r="H887" s="47"/>
    </row>
    <row r="888" spans="1:8">
      <c r="A888" s="47"/>
      <c r="B888" s="47"/>
      <c r="C888" s="47"/>
      <c r="D888" s="47"/>
      <c r="E888" s="47"/>
      <c r="F888" s="47"/>
      <c r="G888" s="47"/>
      <c r="H888" s="47"/>
    </row>
    <row r="889" spans="1:8">
      <c r="A889" s="47"/>
      <c r="B889" s="47"/>
      <c r="C889" s="47"/>
      <c r="D889" s="47"/>
      <c r="E889" s="47"/>
      <c r="F889" s="47"/>
      <c r="G889" s="47"/>
      <c r="H889" s="47"/>
    </row>
    <row r="890" spans="1:8">
      <c r="A890" s="47"/>
      <c r="B890" s="47"/>
      <c r="C890" s="47"/>
      <c r="D890" s="47"/>
      <c r="E890" s="47"/>
      <c r="F890" s="47"/>
      <c r="G890" s="47"/>
      <c r="H890" s="47"/>
    </row>
    <row r="891" spans="1:8">
      <c r="A891" s="47"/>
      <c r="B891" s="47"/>
      <c r="C891" s="47"/>
      <c r="D891" s="47"/>
      <c r="E891" s="47"/>
      <c r="F891" s="47"/>
      <c r="G891" s="47"/>
      <c r="H891" s="47"/>
    </row>
    <row r="892" spans="1:8">
      <c r="A892" s="47"/>
      <c r="B892" s="47"/>
      <c r="C892" s="47"/>
      <c r="D892" s="47"/>
      <c r="E892" s="47"/>
      <c r="F892" s="47"/>
      <c r="G892" s="47"/>
      <c r="H892" s="47"/>
    </row>
    <row r="893" spans="1:8">
      <c r="A893" s="47"/>
      <c r="B893" s="47"/>
      <c r="C893" s="47"/>
      <c r="D893" s="47"/>
      <c r="E893" s="47"/>
      <c r="F893" s="47"/>
      <c r="G893" s="47"/>
      <c r="H893" s="47"/>
    </row>
    <row r="894" spans="1:8">
      <c r="A894" s="47"/>
      <c r="B894" s="47"/>
      <c r="C894" s="47"/>
      <c r="D894" s="47"/>
      <c r="E894" s="47"/>
      <c r="F894" s="47"/>
      <c r="G894" s="47"/>
      <c r="H894" s="47"/>
    </row>
    <row r="895" spans="1:8">
      <c r="A895" s="47"/>
      <c r="B895" s="47"/>
      <c r="C895" s="47"/>
      <c r="D895" s="47"/>
      <c r="E895" s="47"/>
      <c r="F895" s="47"/>
      <c r="G895" s="47"/>
      <c r="H895" s="47"/>
    </row>
    <row r="896" spans="1:8">
      <c r="A896" s="47"/>
      <c r="B896" s="47"/>
      <c r="C896" s="47"/>
      <c r="D896" s="47"/>
      <c r="E896" s="47"/>
      <c r="F896" s="47"/>
      <c r="G896" s="47"/>
      <c r="H896" s="47"/>
    </row>
    <row r="897" spans="1:8">
      <c r="A897" s="47"/>
      <c r="B897" s="47"/>
      <c r="C897" s="47"/>
      <c r="D897" s="47"/>
      <c r="E897" s="47"/>
      <c r="F897" s="47"/>
      <c r="G897" s="47"/>
      <c r="H897" s="47"/>
    </row>
    <row r="898" spans="1:8">
      <c r="A898" s="47"/>
      <c r="B898" s="47"/>
      <c r="C898" s="47"/>
      <c r="D898" s="47"/>
      <c r="E898" s="47"/>
      <c r="F898" s="47"/>
      <c r="G898" s="47"/>
      <c r="H898" s="47"/>
    </row>
    <row r="899" spans="1:8">
      <c r="A899" s="47"/>
      <c r="B899" s="47"/>
      <c r="C899" s="47"/>
      <c r="D899" s="47"/>
      <c r="E899" s="47"/>
      <c r="F899" s="47"/>
      <c r="G899" s="47"/>
      <c r="H899" s="47"/>
    </row>
    <row r="900" spans="1:8">
      <c r="A900" s="47"/>
      <c r="B900" s="47"/>
      <c r="C900" s="47"/>
      <c r="D900" s="47"/>
      <c r="E900" s="47"/>
      <c r="F900" s="47"/>
      <c r="G900" s="47"/>
      <c r="H900" s="47"/>
    </row>
    <row r="901" spans="1:8">
      <c r="A901" s="47"/>
      <c r="B901" s="47"/>
      <c r="C901" s="47"/>
      <c r="D901" s="47"/>
      <c r="E901" s="47"/>
      <c r="F901" s="47"/>
      <c r="G901" s="47"/>
      <c r="H901" s="47"/>
    </row>
    <row r="902" spans="1:8">
      <c r="A902" s="47"/>
      <c r="B902" s="47"/>
      <c r="C902" s="47"/>
      <c r="D902" s="47"/>
      <c r="E902" s="47"/>
      <c r="F902" s="47"/>
      <c r="G902" s="47"/>
      <c r="H902" s="47"/>
    </row>
    <row r="903" spans="1:8">
      <c r="A903" s="47"/>
      <c r="B903" s="47"/>
      <c r="C903" s="47"/>
      <c r="D903" s="47"/>
      <c r="E903" s="47"/>
      <c r="F903" s="47"/>
      <c r="G903" s="47"/>
      <c r="H903" s="47"/>
    </row>
    <row r="904" spans="1:8">
      <c r="A904" s="47"/>
      <c r="B904" s="47"/>
      <c r="C904" s="47"/>
      <c r="D904" s="47"/>
      <c r="E904" s="47"/>
      <c r="F904" s="47"/>
      <c r="G904" s="47"/>
      <c r="H904" s="47"/>
    </row>
    <row r="905" spans="1:8">
      <c r="A905" s="47"/>
      <c r="B905" s="47"/>
      <c r="C905" s="47"/>
      <c r="D905" s="47"/>
      <c r="E905" s="47"/>
      <c r="F905" s="47"/>
      <c r="G905" s="47"/>
      <c r="H905" s="47"/>
    </row>
    <row r="906" spans="1:8">
      <c r="A906" s="47"/>
      <c r="B906" s="47"/>
      <c r="C906" s="47"/>
      <c r="D906" s="47"/>
      <c r="E906" s="47"/>
      <c r="F906" s="47"/>
      <c r="G906" s="47"/>
      <c r="H906" s="47"/>
    </row>
    <row r="907" spans="1:8">
      <c r="A907" s="47"/>
      <c r="B907" s="47"/>
      <c r="C907" s="47"/>
      <c r="D907" s="47"/>
      <c r="E907" s="47"/>
      <c r="F907" s="47"/>
      <c r="G907" s="47"/>
      <c r="H907" s="47"/>
    </row>
    <row r="908" spans="1:8">
      <c r="A908" s="47"/>
      <c r="B908" s="47"/>
      <c r="C908" s="47"/>
      <c r="D908" s="47"/>
      <c r="E908" s="47"/>
      <c r="F908" s="47"/>
      <c r="G908" s="47"/>
      <c r="H908" s="47"/>
    </row>
    <row r="909" spans="1:8">
      <c r="A909" s="47"/>
      <c r="B909" s="47"/>
      <c r="C909" s="47"/>
      <c r="D909" s="47"/>
      <c r="E909" s="47"/>
      <c r="F909" s="47"/>
      <c r="G909" s="47"/>
      <c r="H909" s="47"/>
    </row>
    <row r="910" spans="1:8">
      <c r="A910" s="47"/>
      <c r="B910" s="47"/>
      <c r="C910" s="47"/>
      <c r="D910" s="47"/>
      <c r="E910" s="47"/>
      <c r="F910" s="47"/>
      <c r="G910" s="47"/>
      <c r="H910" s="47"/>
    </row>
    <row r="911" spans="1:8">
      <c r="A911" s="47"/>
      <c r="B911" s="47"/>
      <c r="C911" s="47"/>
      <c r="D911" s="47"/>
      <c r="E911" s="47"/>
      <c r="F911" s="47"/>
      <c r="G911" s="47"/>
      <c r="H911" s="47"/>
    </row>
    <row r="912" spans="1:8">
      <c r="A912" s="47"/>
      <c r="B912" s="47"/>
      <c r="C912" s="47"/>
      <c r="D912" s="47"/>
      <c r="E912" s="47"/>
      <c r="F912" s="47"/>
      <c r="G912" s="47"/>
      <c r="H912" s="47"/>
    </row>
    <row r="913" spans="1:8">
      <c r="A913" s="47"/>
      <c r="B913" s="47"/>
      <c r="C913" s="47"/>
      <c r="D913" s="47"/>
      <c r="E913" s="47"/>
      <c r="F913" s="47"/>
      <c r="G913" s="47"/>
      <c r="H913" s="47"/>
    </row>
    <row r="914" spans="1:8">
      <c r="A914" s="47"/>
      <c r="B914" s="47"/>
      <c r="C914" s="47"/>
      <c r="D914" s="47"/>
      <c r="E914" s="47"/>
      <c r="F914" s="47"/>
      <c r="G914" s="47"/>
      <c r="H914" s="47"/>
    </row>
    <row r="915" spans="1:8">
      <c r="A915" s="47"/>
      <c r="B915" s="47"/>
      <c r="C915" s="47"/>
      <c r="D915" s="47"/>
      <c r="E915" s="47"/>
      <c r="F915" s="47"/>
      <c r="G915" s="47"/>
      <c r="H915" s="47"/>
    </row>
    <row r="916" spans="1:8">
      <c r="A916" s="47"/>
      <c r="B916" s="47"/>
      <c r="C916" s="47"/>
      <c r="D916" s="47"/>
      <c r="E916" s="47"/>
      <c r="F916" s="47"/>
      <c r="G916" s="47"/>
      <c r="H916" s="47"/>
    </row>
    <row r="917" spans="1:8">
      <c r="A917" s="47"/>
      <c r="B917" s="47"/>
      <c r="C917" s="47"/>
      <c r="D917" s="47"/>
      <c r="E917" s="47"/>
      <c r="F917" s="47"/>
      <c r="G917" s="47"/>
      <c r="H917" s="47"/>
    </row>
    <row r="918" spans="1:8">
      <c r="A918" s="47"/>
      <c r="B918" s="47"/>
      <c r="C918" s="47"/>
      <c r="D918" s="47"/>
      <c r="E918" s="47"/>
      <c r="F918" s="47"/>
      <c r="G918" s="47"/>
      <c r="H918" s="47"/>
    </row>
    <row r="919" spans="1:8">
      <c r="A919" s="47"/>
      <c r="B919" s="47"/>
      <c r="C919" s="47"/>
      <c r="D919" s="47"/>
      <c r="E919" s="47"/>
      <c r="F919" s="47"/>
      <c r="G919" s="47"/>
      <c r="H919" s="47"/>
    </row>
    <row r="920" spans="1:8">
      <c r="A920" s="47"/>
      <c r="B920" s="47"/>
      <c r="C920" s="47"/>
      <c r="D920" s="47"/>
      <c r="E920" s="47"/>
      <c r="F920" s="47"/>
      <c r="G920" s="47"/>
      <c r="H920" s="47"/>
    </row>
    <row r="921" spans="1:8">
      <c r="A921" s="47"/>
      <c r="B921" s="47"/>
      <c r="C921" s="47"/>
      <c r="D921" s="47"/>
      <c r="E921" s="47"/>
      <c r="F921" s="47"/>
      <c r="G921" s="47"/>
      <c r="H921" s="47"/>
    </row>
    <row r="922" spans="1:8">
      <c r="A922" s="47"/>
      <c r="B922" s="47"/>
      <c r="C922" s="47"/>
      <c r="D922" s="47"/>
      <c r="E922" s="47"/>
      <c r="F922" s="47"/>
      <c r="G922" s="47"/>
      <c r="H922" s="47"/>
    </row>
    <row r="923" spans="1:8">
      <c r="A923" s="47"/>
      <c r="B923" s="47"/>
      <c r="C923" s="47"/>
      <c r="D923" s="47"/>
      <c r="E923" s="47"/>
      <c r="F923" s="47"/>
      <c r="G923" s="47"/>
      <c r="H923" s="47"/>
    </row>
    <row r="924" spans="1:8">
      <c r="A924" s="47"/>
      <c r="B924" s="47"/>
      <c r="C924" s="47"/>
      <c r="D924" s="47"/>
      <c r="E924" s="47"/>
      <c r="F924" s="47"/>
      <c r="G924" s="47"/>
      <c r="H924" s="47"/>
    </row>
    <row r="925" spans="1:8">
      <c r="A925" s="47"/>
      <c r="B925" s="47"/>
      <c r="C925" s="47"/>
      <c r="D925" s="47"/>
      <c r="E925" s="47"/>
      <c r="F925" s="47"/>
      <c r="G925" s="47"/>
      <c r="H925" s="47"/>
    </row>
    <row r="926" spans="1:8">
      <c r="A926" s="47"/>
      <c r="B926" s="47"/>
      <c r="C926" s="47"/>
      <c r="D926" s="47"/>
      <c r="E926" s="47"/>
      <c r="F926" s="47"/>
      <c r="G926" s="47"/>
      <c r="H926" s="47"/>
    </row>
    <row r="927" spans="1:8">
      <c r="A927" s="47"/>
      <c r="B927" s="47"/>
      <c r="C927" s="47"/>
      <c r="D927" s="47"/>
      <c r="E927" s="47"/>
      <c r="F927" s="47"/>
      <c r="G927" s="47"/>
      <c r="H927" s="47"/>
    </row>
    <row r="928" spans="1:8">
      <c r="A928" s="47"/>
      <c r="B928" s="47"/>
      <c r="C928" s="47"/>
      <c r="D928" s="47"/>
      <c r="E928" s="47"/>
      <c r="F928" s="47"/>
      <c r="G928" s="47"/>
      <c r="H928" s="47"/>
    </row>
    <row r="929" spans="1:8">
      <c r="A929" s="47"/>
      <c r="B929" s="47"/>
      <c r="C929" s="47"/>
      <c r="D929" s="47"/>
      <c r="E929" s="47"/>
      <c r="F929" s="47"/>
      <c r="G929" s="47"/>
      <c r="H929" s="47"/>
    </row>
    <row r="930" spans="1:8">
      <c r="A930" s="47"/>
      <c r="B930" s="47"/>
      <c r="C930" s="47"/>
      <c r="D930" s="47"/>
      <c r="E930" s="47"/>
      <c r="F930" s="47"/>
      <c r="G930" s="47"/>
      <c r="H930" s="47"/>
    </row>
    <row r="931" spans="1:8">
      <c r="A931" s="47"/>
      <c r="B931" s="47"/>
      <c r="C931" s="47"/>
      <c r="D931" s="47"/>
      <c r="E931" s="47"/>
      <c r="F931" s="47"/>
      <c r="G931" s="47"/>
      <c r="H931" s="47"/>
    </row>
    <row r="932" spans="1:8">
      <c r="A932" s="47"/>
      <c r="B932" s="47"/>
      <c r="C932" s="47"/>
      <c r="D932" s="47"/>
      <c r="E932" s="47"/>
      <c r="F932" s="47"/>
      <c r="G932" s="47"/>
      <c r="H932" s="47"/>
    </row>
    <row r="933" spans="1:8">
      <c r="A933" s="47"/>
      <c r="B933" s="47"/>
      <c r="C933" s="47"/>
      <c r="D933" s="47"/>
      <c r="E933" s="47"/>
      <c r="F933" s="47"/>
      <c r="G933" s="47"/>
      <c r="H933" s="47"/>
    </row>
    <row r="934" spans="1:8">
      <c r="A934" s="47"/>
      <c r="B934" s="47"/>
      <c r="C934" s="47"/>
      <c r="D934" s="47"/>
      <c r="E934" s="47"/>
      <c r="F934" s="47"/>
      <c r="G934" s="47"/>
      <c r="H934" s="47"/>
    </row>
    <row r="935" spans="1:8">
      <c r="A935" s="47"/>
      <c r="B935" s="47"/>
      <c r="C935" s="47"/>
      <c r="D935" s="47"/>
      <c r="E935" s="47"/>
      <c r="F935" s="47"/>
      <c r="G935" s="47"/>
      <c r="H935" s="47"/>
    </row>
    <row r="936" spans="1:8">
      <c r="A936" s="47"/>
      <c r="B936" s="47"/>
      <c r="C936" s="47"/>
      <c r="D936" s="47"/>
      <c r="E936" s="47"/>
      <c r="F936" s="47"/>
      <c r="G936" s="47"/>
      <c r="H936" s="47"/>
    </row>
    <row r="937" spans="1:8">
      <c r="A937" s="47"/>
      <c r="B937" s="47"/>
      <c r="C937" s="47"/>
      <c r="D937" s="47"/>
      <c r="E937" s="47"/>
      <c r="F937" s="47"/>
      <c r="G937" s="47"/>
      <c r="H937" s="47"/>
    </row>
    <row r="938" spans="1:8">
      <c r="A938" s="47"/>
      <c r="B938" s="47"/>
      <c r="C938" s="47"/>
      <c r="D938" s="47"/>
      <c r="E938" s="47"/>
      <c r="F938" s="47"/>
      <c r="G938" s="47"/>
      <c r="H938" s="47"/>
    </row>
    <row r="939" spans="1:8">
      <c r="A939" s="47"/>
      <c r="B939" s="47"/>
      <c r="C939" s="47"/>
      <c r="D939" s="47"/>
      <c r="E939" s="47"/>
      <c r="F939" s="47"/>
      <c r="G939" s="47"/>
      <c r="H939" s="47"/>
    </row>
    <row r="940" spans="1:8">
      <c r="A940" s="47"/>
      <c r="B940" s="47"/>
      <c r="C940" s="47"/>
      <c r="D940" s="47"/>
      <c r="E940" s="47"/>
      <c r="F940" s="47"/>
      <c r="G940" s="47"/>
      <c r="H940" s="47"/>
    </row>
    <row r="941" spans="1:8">
      <c r="A941" s="47"/>
      <c r="B941" s="47"/>
      <c r="C941" s="47"/>
      <c r="D941" s="47"/>
      <c r="E941" s="47"/>
      <c r="F941" s="47"/>
      <c r="G941" s="47"/>
      <c r="H941" s="47"/>
    </row>
    <row r="942" spans="1:8">
      <c r="A942" s="47"/>
      <c r="B942" s="47"/>
      <c r="C942" s="47"/>
      <c r="D942" s="47"/>
      <c r="E942" s="47"/>
      <c r="F942" s="47"/>
      <c r="G942" s="47"/>
      <c r="H942" s="47"/>
    </row>
    <row r="943" spans="1:8">
      <c r="A943" s="47"/>
      <c r="B943" s="47"/>
      <c r="C943" s="47"/>
      <c r="D943" s="47"/>
      <c r="E943" s="47"/>
      <c r="F943" s="47"/>
      <c r="G943" s="47"/>
      <c r="H943" s="47"/>
    </row>
    <row r="944" spans="1:8">
      <c r="A944" s="47"/>
      <c r="B944" s="47"/>
      <c r="C944" s="47"/>
      <c r="D944" s="47"/>
      <c r="E944" s="47"/>
      <c r="F944" s="47"/>
      <c r="G944" s="47"/>
      <c r="H944" s="47"/>
    </row>
    <row r="945" spans="1:8">
      <c r="A945" s="47"/>
      <c r="B945" s="47"/>
      <c r="C945" s="47"/>
      <c r="D945" s="47"/>
      <c r="E945" s="47"/>
      <c r="F945" s="47"/>
      <c r="G945" s="47"/>
      <c r="H945" s="47"/>
    </row>
    <row r="946" spans="1:8">
      <c r="A946" s="47"/>
      <c r="B946" s="47"/>
      <c r="C946" s="47"/>
      <c r="D946" s="47"/>
      <c r="E946" s="47"/>
      <c r="F946" s="47"/>
      <c r="G946" s="47"/>
      <c r="H946" s="47"/>
    </row>
    <row r="947" spans="1:8">
      <c r="A947" s="47"/>
      <c r="B947" s="47"/>
      <c r="C947" s="47"/>
      <c r="D947" s="47"/>
      <c r="E947" s="47"/>
      <c r="F947" s="47"/>
      <c r="G947" s="47"/>
      <c r="H947" s="47"/>
    </row>
    <row r="948" spans="1:8">
      <c r="A948" s="47"/>
      <c r="B948" s="47"/>
      <c r="C948" s="47"/>
      <c r="D948" s="47"/>
      <c r="E948" s="47"/>
      <c r="F948" s="47"/>
      <c r="G948" s="47"/>
      <c r="H948" s="47"/>
    </row>
    <row r="949" spans="1:8">
      <c r="A949" s="47"/>
      <c r="B949" s="47"/>
      <c r="C949" s="47"/>
      <c r="D949" s="47"/>
      <c r="E949" s="47"/>
      <c r="F949" s="47"/>
      <c r="G949" s="47"/>
      <c r="H949" s="47"/>
    </row>
    <row r="950" spans="1:8">
      <c r="A950" s="47"/>
      <c r="B950" s="47"/>
      <c r="C950" s="47"/>
      <c r="D950" s="47"/>
      <c r="E950" s="47"/>
      <c r="F950" s="47"/>
      <c r="G950" s="47"/>
      <c r="H950" s="47"/>
    </row>
    <row r="951" spans="1:8">
      <c r="A951" s="47"/>
      <c r="B951" s="47"/>
      <c r="C951" s="47"/>
      <c r="D951" s="47"/>
      <c r="E951" s="47"/>
      <c r="F951" s="47"/>
      <c r="G951" s="47"/>
      <c r="H951" s="47"/>
    </row>
    <row r="952" spans="1:8">
      <c r="A952" s="47"/>
      <c r="B952" s="47"/>
      <c r="C952" s="47"/>
      <c r="D952" s="47"/>
      <c r="E952" s="47"/>
      <c r="F952" s="47"/>
      <c r="G952" s="47"/>
      <c r="H952" s="47"/>
    </row>
    <row r="953" spans="1:8">
      <c r="A953" s="47"/>
      <c r="B953" s="47"/>
      <c r="C953" s="47"/>
      <c r="D953" s="47"/>
      <c r="E953" s="47"/>
      <c r="F953" s="47"/>
      <c r="G953" s="47"/>
      <c r="H953" s="47"/>
    </row>
    <row r="954" spans="1:8">
      <c r="A954" s="47"/>
      <c r="B954" s="47"/>
      <c r="C954" s="47"/>
      <c r="D954" s="47"/>
      <c r="E954" s="47"/>
      <c r="F954" s="47"/>
      <c r="G954" s="47"/>
      <c r="H954" s="47"/>
    </row>
    <row r="955" spans="1:8">
      <c r="A955" s="47"/>
      <c r="B955" s="47"/>
      <c r="C955" s="47"/>
      <c r="D955" s="47"/>
      <c r="E955" s="47"/>
      <c r="F955" s="47"/>
      <c r="G955" s="47"/>
      <c r="H955" s="47"/>
    </row>
    <row r="956" spans="1:8">
      <c r="A956" s="47"/>
      <c r="B956" s="47"/>
      <c r="C956" s="47"/>
      <c r="D956" s="47"/>
      <c r="E956" s="47"/>
      <c r="F956" s="47"/>
      <c r="G956" s="47"/>
      <c r="H956" s="47"/>
    </row>
    <row r="957" spans="1:8">
      <c r="A957" s="47"/>
      <c r="B957" s="47"/>
      <c r="C957" s="47"/>
      <c r="D957" s="47"/>
      <c r="E957" s="47"/>
      <c r="F957" s="47"/>
      <c r="G957" s="47"/>
      <c r="H957" s="47"/>
    </row>
    <row r="958" spans="1:8">
      <c r="A958" s="47"/>
      <c r="B958" s="47"/>
      <c r="C958" s="47"/>
      <c r="D958" s="47"/>
      <c r="E958" s="47"/>
      <c r="F958" s="47"/>
      <c r="G958" s="47"/>
      <c r="H958" s="47"/>
    </row>
    <row r="959" spans="1:8">
      <c r="A959" s="47"/>
      <c r="B959" s="47"/>
      <c r="C959" s="47"/>
      <c r="D959" s="47"/>
      <c r="E959" s="47"/>
      <c r="F959" s="47"/>
      <c r="G959" s="47"/>
      <c r="H959" s="47"/>
    </row>
    <row r="960" spans="1:8">
      <c r="A960" s="47"/>
      <c r="B960" s="47"/>
      <c r="C960" s="47"/>
      <c r="D960" s="47"/>
      <c r="E960" s="47"/>
      <c r="F960" s="47"/>
      <c r="G960" s="47"/>
      <c r="H960" s="47"/>
    </row>
    <row r="961" spans="1:8">
      <c r="A961" s="47"/>
      <c r="B961" s="47"/>
      <c r="C961" s="47"/>
      <c r="D961" s="47"/>
      <c r="E961" s="47"/>
      <c r="F961" s="47"/>
      <c r="G961" s="47"/>
      <c r="H961" s="47"/>
    </row>
    <row r="962" spans="1:8">
      <c r="A962" s="47"/>
      <c r="B962" s="47"/>
      <c r="C962" s="47"/>
      <c r="D962" s="47"/>
      <c r="E962" s="47"/>
      <c r="F962" s="47"/>
      <c r="G962" s="47"/>
      <c r="H962" s="47"/>
    </row>
    <row r="963" spans="1:8">
      <c r="A963" s="47"/>
      <c r="B963" s="47"/>
      <c r="C963" s="47"/>
      <c r="D963" s="47"/>
      <c r="E963" s="47"/>
      <c r="F963" s="47"/>
      <c r="G963" s="47"/>
      <c r="H963" s="47"/>
    </row>
    <row r="964" spans="1:8">
      <c r="A964" s="47"/>
      <c r="B964" s="47"/>
      <c r="C964" s="47"/>
      <c r="D964" s="47"/>
      <c r="E964" s="47"/>
      <c r="F964" s="47"/>
      <c r="G964" s="47"/>
      <c r="H964" s="47"/>
    </row>
    <row r="965" spans="1:8">
      <c r="A965" s="47"/>
      <c r="B965" s="47"/>
      <c r="C965" s="47"/>
      <c r="D965" s="47"/>
      <c r="E965" s="47"/>
      <c r="F965" s="47"/>
      <c r="G965" s="47"/>
      <c r="H965" s="47"/>
    </row>
    <row r="966" spans="1:8">
      <c r="A966" s="47"/>
      <c r="B966" s="47"/>
      <c r="C966" s="47"/>
      <c r="D966" s="47"/>
      <c r="E966" s="47"/>
      <c r="F966" s="47"/>
      <c r="G966" s="47"/>
      <c r="H966" s="47"/>
    </row>
    <row r="967" spans="1:8">
      <c r="A967" s="47"/>
      <c r="B967" s="47"/>
      <c r="C967" s="47"/>
      <c r="D967" s="47"/>
      <c r="E967" s="47"/>
      <c r="F967" s="47"/>
      <c r="G967" s="47"/>
      <c r="H967" s="47"/>
    </row>
    <row r="968" spans="1:8">
      <c r="A968" s="47"/>
      <c r="B968" s="47"/>
      <c r="C968" s="47"/>
      <c r="D968" s="47"/>
      <c r="E968" s="47"/>
      <c r="F968" s="47"/>
      <c r="G968" s="47"/>
      <c r="H968" s="47"/>
    </row>
    <row r="969" spans="1:8">
      <c r="A969" s="47"/>
      <c r="B969" s="47"/>
      <c r="C969" s="47"/>
      <c r="D969" s="47"/>
      <c r="E969" s="47"/>
      <c r="F969" s="47"/>
      <c r="G969" s="47"/>
      <c r="H969" s="47"/>
    </row>
    <row r="970" spans="1:8">
      <c r="A970" s="47"/>
      <c r="B970" s="47"/>
      <c r="C970" s="47"/>
      <c r="D970" s="47"/>
      <c r="E970" s="47"/>
      <c r="F970" s="47"/>
      <c r="G970" s="47"/>
      <c r="H970" s="47"/>
    </row>
    <row r="971" spans="1:8">
      <c r="A971" s="47"/>
      <c r="B971" s="47"/>
      <c r="C971" s="47"/>
      <c r="D971" s="47"/>
      <c r="E971" s="47"/>
      <c r="F971" s="47"/>
      <c r="G971" s="47"/>
      <c r="H971" s="47"/>
    </row>
    <row r="972" spans="1:8">
      <c r="A972" s="47"/>
      <c r="B972" s="47"/>
      <c r="C972" s="47"/>
      <c r="D972" s="47"/>
      <c r="E972" s="47"/>
      <c r="F972" s="47"/>
      <c r="G972" s="47"/>
      <c r="H972" s="47"/>
    </row>
    <row r="973" spans="1:8">
      <c r="A973" s="47"/>
      <c r="B973" s="47"/>
      <c r="C973" s="47"/>
      <c r="D973" s="47"/>
      <c r="E973" s="47"/>
      <c r="F973" s="47"/>
      <c r="G973" s="47"/>
      <c r="H973" s="47"/>
    </row>
    <row r="974" spans="1:8">
      <c r="A974" s="47"/>
      <c r="B974" s="47"/>
      <c r="C974" s="47"/>
      <c r="D974" s="47"/>
      <c r="E974" s="47"/>
      <c r="F974" s="47"/>
      <c r="G974" s="47"/>
      <c r="H974" s="47"/>
    </row>
    <row r="975" spans="1:8">
      <c r="A975" s="47"/>
      <c r="B975" s="47"/>
      <c r="C975" s="47"/>
      <c r="D975" s="47"/>
      <c r="E975" s="47"/>
      <c r="F975" s="47"/>
      <c r="G975" s="47"/>
      <c r="H975" s="47"/>
    </row>
    <row r="976" spans="1:8">
      <c r="A976" s="47"/>
      <c r="B976" s="47"/>
      <c r="C976" s="47"/>
      <c r="D976" s="47"/>
      <c r="E976" s="47"/>
      <c r="F976" s="47"/>
      <c r="G976" s="47"/>
      <c r="H976" s="47"/>
    </row>
    <row r="977" spans="1:8">
      <c r="A977" s="47"/>
      <c r="B977" s="47"/>
      <c r="C977" s="47"/>
      <c r="D977" s="47"/>
      <c r="E977" s="47"/>
      <c r="F977" s="47"/>
      <c r="G977" s="47"/>
      <c r="H977" s="47"/>
    </row>
    <row r="978" spans="1:8">
      <c r="A978" s="47"/>
      <c r="B978" s="47"/>
      <c r="C978" s="47"/>
      <c r="D978" s="47"/>
      <c r="E978" s="47"/>
      <c r="F978" s="47"/>
      <c r="G978" s="47"/>
      <c r="H978" s="47"/>
    </row>
    <row r="979" spans="1:8">
      <c r="A979" s="47"/>
      <c r="B979" s="47"/>
      <c r="C979" s="47"/>
      <c r="D979" s="47"/>
      <c r="E979" s="47"/>
      <c r="F979" s="47"/>
      <c r="G979" s="47"/>
      <c r="H979" s="47"/>
    </row>
    <row r="980" spans="1:8">
      <c r="A980" s="47"/>
      <c r="B980" s="47"/>
      <c r="C980" s="47"/>
      <c r="D980" s="47"/>
      <c r="E980" s="47"/>
      <c r="F980" s="47"/>
      <c r="G980" s="47"/>
      <c r="H980" s="47"/>
    </row>
    <row r="981" spans="1:8">
      <c r="A981" s="47"/>
      <c r="B981" s="47"/>
      <c r="C981" s="47"/>
      <c r="D981" s="47"/>
      <c r="E981" s="47"/>
      <c r="F981" s="47"/>
      <c r="G981" s="47"/>
      <c r="H981" s="47"/>
    </row>
    <row r="982" spans="1:8">
      <c r="A982" s="47"/>
      <c r="B982" s="47"/>
      <c r="C982" s="47"/>
      <c r="D982" s="47"/>
      <c r="E982" s="47"/>
      <c r="F982" s="47"/>
      <c r="G982" s="47"/>
      <c r="H982" s="47"/>
    </row>
    <row r="983" spans="1:8">
      <c r="A983" s="47"/>
      <c r="B983" s="47"/>
      <c r="C983" s="47"/>
      <c r="D983" s="47"/>
      <c r="E983" s="47"/>
      <c r="F983" s="47"/>
      <c r="G983" s="47"/>
      <c r="H983" s="47"/>
    </row>
    <row r="984" spans="1:8">
      <c r="A984" s="47"/>
      <c r="B984" s="47"/>
      <c r="C984" s="47"/>
      <c r="D984" s="47"/>
      <c r="E984" s="47"/>
      <c r="F984" s="47"/>
      <c r="G984" s="47"/>
      <c r="H984" s="47"/>
    </row>
    <row r="985" spans="1:8">
      <c r="A985" s="47"/>
      <c r="B985" s="47"/>
      <c r="C985" s="47"/>
      <c r="D985" s="47"/>
      <c r="E985" s="47"/>
      <c r="F985" s="47"/>
      <c r="G985" s="47"/>
      <c r="H985" s="47"/>
    </row>
    <row r="986" spans="1:8">
      <c r="A986" s="47"/>
      <c r="B986" s="47"/>
      <c r="C986" s="47"/>
      <c r="D986" s="47"/>
      <c r="E986" s="47"/>
      <c r="F986" s="47"/>
      <c r="G986" s="47"/>
      <c r="H986" s="47"/>
    </row>
    <row r="987" spans="1:8">
      <c r="A987" s="47"/>
      <c r="B987" s="47"/>
      <c r="C987" s="47"/>
      <c r="D987" s="47"/>
      <c r="E987" s="47"/>
      <c r="F987" s="47"/>
      <c r="G987" s="47"/>
      <c r="H987" s="47"/>
    </row>
    <row r="988" spans="1:8">
      <c r="A988" s="47"/>
      <c r="B988" s="47"/>
      <c r="C988" s="47"/>
      <c r="D988" s="47"/>
      <c r="E988" s="47"/>
      <c r="F988" s="47"/>
      <c r="G988" s="47"/>
      <c r="H988" s="47"/>
    </row>
    <row r="989" spans="1:8">
      <c r="A989" s="47"/>
      <c r="B989" s="47"/>
      <c r="C989" s="47"/>
      <c r="D989" s="47"/>
      <c r="E989" s="47"/>
      <c r="F989" s="47"/>
      <c r="G989" s="47"/>
      <c r="H989" s="47"/>
    </row>
    <row r="990" spans="1:8">
      <c r="A990" s="47"/>
      <c r="B990" s="47"/>
      <c r="C990" s="47"/>
      <c r="D990" s="47"/>
      <c r="E990" s="47"/>
      <c r="F990" s="47"/>
      <c r="G990" s="47"/>
      <c r="H990" s="47"/>
    </row>
    <row r="991" spans="1:8">
      <c r="A991" s="47"/>
      <c r="B991" s="47"/>
      <c r="C991" s="47"/>
      <c r="D991" s="47"/>
      <c r="E991" s="47"/>
      <c r="F991" s="47"/>
      <c r="G991" s="47"/>
      <c r="H991" s="47"/>
    </row>
    <row r="992" spans="1:8">
      <c r="A992" s="47"/>
      <c r="B992" s="47"/>
      <c r="C992" s="47"/>
      <c r="D992" s="47"/>
      <c r="E992" s="47"/>
      <c r="F992" s="47"/>
      <c r="G992" s="47"/>
      <c r="H992" s="47"/>
    </row>
    <row r="993" spans="1:8">
      <c r="A993" s="47"/>
      <c r="B993" s="47"/>
      <c r="C993" s="47"/>
      <c r="D993" s="47"/>
      <c r="E993" s="47"/>
      <c r="F993" s="47"/>
      <c r="G993" s="47"/>
      <c r="H993" s="47"/>
    </row>
    <row r="994" spans="1:8">
      <c r="A994" s="47"/>
      <c r="B994" s="47"/>
      <c r="C994" s="47"/>
      <c r="D994" s="47"/>
      <c r="E994" s="47"/>
      <c r="F994" s="47"/>
      <c r="G994" s="47"/>
      <c r="H994" s="47"/>
    </row>
    <row r="995" spans="1:8">
      <c r="A995" s="47"/>
      <c r="B995" s="47"/>
      <c r="C995" s="47"/>
      <c r="D995" s="47"/>
      <c r="E995" s="47"/>
      <c r="F995" s="47"/>
      <c r="G995" s="47"/>
      <c r="H995" s="47"/>
    </row>
    <row r="996" spans="1:8">
      <c r="A996" s="47"/>
      <c r="B996" s="47"/>
      <c r="C996" s="47"/>
      <c r="D996" s="47"/>
      <c r="E996" s="47"/>
      <c r="F996" s="47"/>
      <c r="G996" s="47"/>
      <c r="H996" s="47"/>
    </row>
    <row r="997" spans="1:8">
      <c r="A997" s="47"/>
      <c r="B997" s="47"/>
      <c r="C997" s="47"/>
      <c r="D997" s="47"/>
      <c r="E997" s="47"/>
      <c r="F997" s="47"/>
      <c r="G997" s="47"/>
      <c r="H997" s="47"/>
    </row>
    <row r="998" spans="1:8">
      <c r="A998" s="47"/>
      <c r="B998" s="47"/>
      <c r="C998" s="47"/>
      <c r="D998" s="47"/>
      <c r="E998" s="47"/>
      <c r="F998" s="47"/>
      <c r="G998" s="47"/>
      <c r="H998" s="47"/>
    </row>
    <row r="999" spans="1:8">
      <c r="A999" s="47"/>
      <c r="B999" s="47"/>
      <c r="C999" s="47"/>
      <c r="D999" s="47"/>
      <c r="E999" s="47"/>
      <c r="F999" s="47"/>
      <c r="G999" s="47"/>
      <c r="H999" s="47"/>
    </row>
    <row r="1000" spans="1:8">
      <c r="A1000" s="47"/>
      <c r="B1000" s="47"/>
      <c r="C1000" s="47"/>
      <c r="D1000" s="47"/>
      <c r="E1000" s="47"/>
      <c r="F1000" s="47"/>
      <c r="G1000" s="47"/>
      <c r="H1000" s="47"/>
    </row>
    <row r="1001" spans="1:8">
      <c r="A1001" s="47"/>
      <c r="B1001" s="47"/>
      <c r="C1001" s="47"/>
      <c r="D1001" s="47"/>
      <c r="E1001" s="47"/>
      <c r="F1001" s="47"/>
      <c r="G1001" s="47"/>
      <c r="H1001" s="47"/>
    </row>
    <row r="1002" spans="1:8">
      <c r="A1002" s="47"/>
      <c r="B1002" s="47"/>
      <c r="C1002" s="47"/>
      <c r="D1002" s="47"/>
      <c r="E1002" s="47"/>
      <c r="F1002" s="47"/>
      <c r="G1002" s="47"/>
      <c r="H1002" s="47"/>
    </row>
    <row r="1003" spans="1:8">
      <c r="A1003" s="47"/>
      <c r="B1003" s="47"/>
      <c r="C1003" s="47"/>
      <c r="D1003" s="47"/>
      <c r="E1003" s="47"/>
      <c r="F1003" s="47"/>
      <c r="G1003" s="47"/>
      <c r="H1003" s="47"/>
    </row>
    <row r="1004" spans="1:8">
      <c r="A1004" s="47"/>
      <c r="B1004" s="47"/>
      <c r="C1004" s="47"/>
      <c r="D1004" s="47"/>
      <c r="E1004" s="47"/>
      <c r="F1004" s="47"/>
      <c r="G1004" s="47"/>
      <c r="H1004" s="47"/>
    </row>
    <row r="1005" spans="1:8">
      <c r="A1005" s="47"/>
      <c r="B1005" s="47"/>
      <c r="C1005" s="47"/>
      <c r="D1005" s="47"/>
      <c r="E1005" s="47"/>
      <c r="F1005" s="47"/>
      <c r="G1005" s="47"/>
      <c r="H1005" s="47"/>
    </row>
    <row r="1006" spans="1:8">
      <c r="A1006" s="47"/>
      <c r="B1006" s="47"/>
      <c r="C1006" s="47"/>
      <c r="D1006" s="47"/>
      <c r="E1006" s="47"/>
      <c r="F1006" s="47"/>
      <c r="G1006" s="47"/>
      <c r="H1006" s="47"/>
    </row>
    <row r="1007" spans="1:8">
      <c r="A1007" s="47"/>
      <c r="B1007" s="47"/>
      <c r="C1007" s="47"/>
      <c r="D1007" s="47"/>
      <c r="E1007" s="47"/>
      <c r="F1007" s="47"/>
      <c r="G1007" s="47"/>
      <c r="H1007" s="47"/>
    </row>
    <row r="1008" spans="1:8">
      <c r="A1008" s="47"/>
      <c r="B1008" s="47"/>
      <c r="C1008" s="47"/>
      <c r="D1008" s="47"/>
      <c r="E1008" s="47"/>
      <c r="F1008" s="47"/>
      <c r="G1008" s="47"/>
      <c r="H1008" s="47"/>
    </row>
    <row r="1009" spans="1:8">
      <c r="A1009" s="47"/>
      <c r="B1009" s="47"/>
      <c r="C1009" s="47"/>
      <c r="D1009" s="47"/>
      <c r="E1009" s="47"/>
      <c r="F1009" s="47"/>
      <c r="G1009" s="47"/>
      <c r="H1009" s="47"/>
    </row>
    <row r="1010" spans="1:8">
      <c r="A1010" s="47"/>
      <c r="B1010" s="47"/>
      <c r="C1010" s="47"/>
      <c r="D1010" s="47"/>
      <c r="E1010" s="47"/>
      <c r="F1010" s="47"/>
      <c r="G1010" s="47"/>
      <c r="H1010" s="47"/>
    </row>
    <row r="1011" spans="1:8">
      <c r="A1011" s="47"/>
      <c r="B1011" s="47"/>
      <c r="C1011" s="47"/>
      <c r="D1011" s="47"/>
      <c r="E1011" s="47"/>
      <c r="F1011" s="47"/>
      <c r="G1011" s="47"/>
      <c r="H1011" s="47"/>
    </row>
    <row r="1012" spans="1:8">
      <c r="A1012" s="47"/>
      <c r="B1012" s="47"/>
      <c r="C1012" s="47"/>
      <c r="D1012" s="47"/>
      <c r="E1012" s="47"/>
      <c r="F1012" s="47"/>
      <c r="G1012" s="47"/>
      <c r="H1012" s="47"/>
    </row>
    <row r="1013" spans="1:8">
      <c r="A1013" s="47"/>
      <c r="B1013" s="47"/>
      <c r="C1013" s="47"/>
      <c r="D1013" s="47"/>
      <c r="E1013" s="47"/>
      <c r="F1013" s="47"/>
      <c r="G1013" s="47"/>
      <c r="H1013" s="47"/>
    </row>
    <row r="1014" spans="1:8">
      <c r="A1014" s="47"/>
      <c r="B1014" s="47"/>
      <c r="C1014" s="47"/>
      <c r="D1014" s="47"/>
      <c r="E1014" s="47"/>
      <c r="F1014" s="47"/>
      <c r="G1014" s="47"/>
      <c r="H1014" s="47"/>
    </row>
    <row r="1015" spans="1:8">
      <c r="A1015" s="47"/>
      <c r="B1015" s="47"/>
      <c r="C1015" s="47"/>
      <c r="D1015" s="47"/>
      <c r="E1015" s="47"/>
      <c r="F1015" s="47"/>
      <c r="G1015" s="47"/>
      <c r="H1015" s="47"/>
    </row>
    <row r="1016" spans="1:8">
      <c r="A1016" s="47"/>
      <c r="B1016" s="47"/>
      <c r="C1016" s="47"/>
      <c r="D1016" s="47"/>
      <c r="E1016" s="47"/>
      <c r="F1016" s="47"/>
      <c r="G1016" s="47"/>
      <c r="H1016" s="47"/>
    </row>
    <row r="1017" spans="1:8">
      <c r="A1017" s="47"/>
      <c r="B1017" s="47"/>
      <c r="C1017" s="47"/>
      <c r="D1017" s="47"/>
      <c r="E1017" s="47"/>
      <c r="F1017" s="47"/>
      <c r="G1017" s="47"/>
      <c r="H1017" s="47"/>
    </row>
    <row r="1018" spans="1:8">
      <c r="A1018" s="47"/>
      <c r="B1018" s="47"/>
      <c r="C1018" s="47"/>
      <c r="D1018" s="47"/>
      <c r="E1018" s="47"/>
      <c r="F1018" s="47"/>
      <c r="G1018" s="47"/>
      <c r="H1018" s="47"/>
    </row>
    <row r="1019" spans="1:8">
      <c r="A1019" s="47"/>
      <c r="B1019" s="47"/>
      <c r="C1019" s="47"/>
      <c r="D1019" s="47"/>
      <c r="E1019" s="47"/>
      <c r="F1019" s="47"/>
      <c r="G1019" s="47"/>
      <c r="H1019" s="47"/>
    </row>
    <row r="1020" spans="1:8">
      <c r="A1020" s="47"/>
      <c r="B1020" s="47"/>
      <c r="C1020" s="47"/>
      <c r="D1020" s="47"/>
      <c r="E1020" s="47"/>
      <c r="F1020" s="47"/>
      <c r="G1020" s="47"/>
      <c r="H1020" s="47"/>
    </row>
    <row r="1021" spans="1:8">
      <c r="A1021" s="47"/>
      <c r="B1021" s="47"/>
      <c r="C1021" s="47"/>
      <c r="D1021" s="47"/>
      <c r="E1021" s="47"/>
      <c r="F1021" s="47"/>
      <c r="G1021" s="47"/>
      <c r="H1021" s="47"/>
    </row>
    <row r="1022" spans="1:8">
      <c r="A1022" s="47"/>
      <c r="B1022" s="47"/>
      <c r="C1022" s="47"/>
      <c r="D1022" s="47"/>
      <c r="E1022" s="47"/>
      <c r="F1022" s="47"/>
      <c r="G1022" s="47"/>
      <c r="H1022" s="47"/>
    </row>
    <row r="1023" spans="1:8">
      <c r="A1023" s="47"/>
      <c r="B1023" s="47"/>
      <c r="C1023" s="47"/>
      <c r="D1023" s="47"/>
      <c r="E1023" s="47"/>
      <c r="F1023" s="47"/>
      <c r="G1023" s="47"/>
      <c r="H1023" s="47"/>
    </row>
    <row r="1024" spans="1:8">
      <c r="A1024" s="47"/>
      <c r="B1024" s="47"/>
      <c r="C1024" s="47"/>
      <c r="D1024" s="47"/>
      <c r="E1024" s="47"/>
      <c r="F1024" s="47"/>
      <c r="G1024" s="47"/>
      <c r="H1024" s="47"/>
    </row>
    <row r="1025" spans="1:8">
      <c r="A1025" s="47"/>
      <c r="B1025" s="47"/>
      <c r="C1025" s="47"/>
      <c r="D1025" s="47"/>
      <c r="E1025" s="47"/>
      <c r="F1025" s="47"/>
      <c r="G1025" s="47"/>
      <c r="H1025" s="47"/>
    </row>
    <row r="1026" spans="1:8">
      <c r="A1026" s="47"/>
      <c r="B1026" s="47"/>
      <c r="C1026" s="47"/>
      <c r="D1026" s="47"/>
      <c r="E1026" s="47"/>
      <c r="F1026" s="47"/>
      <c r="G1026" s="47"/>
      <c r="H1026" s="47"/>
    </row>
    <row r="1027" spans="1:8">
      <c r="A1027" s="47"/>
      <c r="B1027" s="47"/>
      <c r="C1027" s="47"/>
      <c r="D1027" s="47"/>
      <c r="E1027" s="47"/>
      <c r="F1027" s="47"/>
      <c r="G1027" s="47"/>
      <c r="H1027" s="47"/>
    </row>
    <row r="1028" spans="1:8">
      <c r="A1028" s="47"/>
      <c r="B1028" s="47"/>
      <c r="C1028" s="47"/>
      <c r="D1028" s="47"/>
      <c r="E1028" s="47"/>
      <c r="F1028" s="47"/>
      <c r="G1028" s="47"/>
      <c r="H1028" s="47"/>
    </row>
    <row r="1029" spans="1:8">
      <c r="A1029" s="47"/>
      <c r="B1029" s="47"/>
      <c r="C1029" s="47"/>
      <c r="D1029" s="47"/>
      <c r="E1029" s="47"/>
      <c r="F1029" s="47"/>
      <c r="G1029" s="47"/>
      <c r="H1029" s="47"/>
    </row>
    <row r="1030" spans="1:8">
      <c r="A1030" s="47"/>
      <c r="B1030" s="47"/>
      <c r="C1030" s="47"/>
      <c r="D1030" s="47"/>
      <c r="E1030" s="47"/>
      <c r="F1030" s="47"/>
      <c r="G1030" s="47"/>
      <c r="H1030" s="47"/>
    </row>
    <row r="1031" spans="1:8">
      <c r="A1031" s="47"/>
      <c r="B1031" s="47"/>
      <c r="C1031" s="47"/>
      <c r="D1031" s="47"/>
      <c r="E1031" s="47"/>
      <c r="F1031" s="47"/>
      <c r="G1031" s="47"/>
      <c r="H1031" s="47"/>
    </row>
    <row r="1032" spans="1:8">
      <c r="A1032" s="47"/>
      <c r="B1032" s="47"/>
      <c r="C1032" s="47"/>
      <c r="D1032" s="47"/>
      <c r="E1032" s="47"/>
      <c r="F1032" s="47"/>
      <c r="G1032" s="47"/>
      <c r="H1032" s="47"/>
    </row>
    <row r="1033" spans="1:8">
      <c r="A1033" s="47"/>
      <c r="B1033" s="47"/>
      <c r="C1033" s="47"/>
      <c r="D1033" s="47"/>
      <c r="E1033" s="47"/>
      <c r="F1033" s="47"/>
      <c r="G1033" s="47"/>
      <c r="H1033" s="47"/>
    </row>
    <row r="1034" spans="1:8">
      <c r="A1034" s="47"/>
      <c r="B1034" s="47"/>
      <c r="C1034" s="47"/>
      <c r="D1034" s="47"/>
      <c r="E1034" s="47"/>
      <c r="F1034" s="47"/>
      <c r="G1034" s="47"/>
      <c r="H1034" s="47"/>
    </row>
    <row r="1035" spans="1:8">
      <c r="A1035" s="47"/>
      <c r="B1035" s="47"/>
      <c r="C1035" s="47"/>
      <c r="D1035" s="47"/>
      <c r="E1035" s="47"/>
      <c r="F1035" s="47"/>
      <c r="G1035" s="47"/>
      <c r="H1035" s="47"/>
    </row>
    <row r="1036" spans="1:8">
      <c r="A1036" s="47"/>
      <c r="B1036" s="47"/>
      <c r="C1036" s="47"/>
      <c r="D1036" s="47"/>
      <c r="E1036" s="47"/>
      <c r="F1036" s="47"/>
      <c r="G1036" s="47"/>
      <c r="H1036" s="47"/>
    </row>
    <row r="1037" spans="1:8">
      <c r="A1037" s="47"/>
      <c r="B1037" s="47"/>
      <c r="C1037" s="47"/>
      <c r="D1037" s="47"/>
      <c r="E1037" s="47"/>
      <c r="F1037" s="47"/>
      <c r="G1037" s="47"/>
      <c r="H1037" s="47"/>
    </row>
    <row r="1038" spans="1:8">
      <c r="A1038" s="47"/>
      <c r="B1038" s="47"/>
      <c r="C1038" s="47"/>
      <c r="D1038" s="47"/>
      <c r="E1038" s="47"/>
      <c r="F1038" s="47"/>
      <c r="G1038" s="47"/>
      <c r="H1038" s="47"/>
    </row>
    <row r="1039" spans="1:8">
      <c r="A1039" s="47"/>
      <c r="B1039" s="47"/>
      <c r="C1039" s="47"/>
      <c r="D1039" s="47"/>
      <c r="E1039" s="47"/>
      <c r="F1039" s="47"/>
      <c r="G1039" s="47"/>
      <c r="H1039" s="47"/>
    </row>
    <row r="1040" spans="1:8">
      <c r="A1040" s="47"/>
      <c r="B1040" s="47"/>
      <c r="C1040" s="47"/>
      <c r="D1040" s="47"/>
      <c r="E1040" s="47"/>
      <c r="F1040" s="47"/>
      <c r="G1040" s="47"/>
      <c r="H1040" s="47"/>
    </row>
    <row r="1041" spans="1:8">
      <c r="A1041" s="47"/>
      <c r="B1041" s="47"/>
      <c r="C1041" s="47"/>
      <c r="D1041" s="47"/>
      <c r="E1041" s="47"/>
      <c r="F1041" s="47"/>
      <c r="G1041" s="47"/>
      <c r="H1041" s="47"/>
    </row>
    <row r="1042" spans="1:8">
      <c r="A1042" s="47"/>
      <c r="B1042" s="47"/>
      <c r="C1042" s="47"/>
      <c r="D1042" s="47"/>
      <c r="E1042" s="47"/>
      <c r="F1042" s="47"/>
      <c r="G1042" s="47"/>
      <c r="H1042" s="47"/>
    </row>
    <row r="1043" spans="1:8">
      <c r="A1043" s="47"/>
      <c r="B1043" s="47"/>
      <c r="C1043" s="47"/>
      <c r="D1043" s="47"/>
      <c r="E1043" s="47"/>
      <c r="F1043" s="47"/>
      <c r="G1043" s="47"/>
      <c r="H1043" s="47"/>
    </row>
    <row r="1044" spans="1:8">
      <c r="A1044" s="47"/>
      <c r="B1044" s="47"/>
      <c r="C1044" s="47"/>
      <c r="D1044" s="47"/>
      <c r="E1044" s="47"/>
      <c r="F1044" s="47"/>
      <c r="G1044" s="47"/>
      <c r="H1044" s="47"/>
    </row>
    <row r="1045" spans="1:8">
      <c r="A1045" s="47"/>
      <c r="B1045" s="47"/>
      <c r="C1045" s="47"/>
      <c r="D1045" s="47"/>
      <c r="E1045" s="47"/>
      <c r="F1045" s="47"/>
      <c r="G1045" s="47"/>
      <c r="H1045" s="47"/>
    </row>
    <row r="1046" spans="1:8">
      <c r="A1046" s="47"/>
      <c r="B1046" s="47"/>
      <c r="C1046" s="47"/>
      <c r="D1046" s="47"/>
      <c r="E1046" s="47"/>
      <c r="F1046" s="47"/>
      <c r="G1046" s="47"/>
      <c r="H1046" s="47"/>
    </row>
    <row r="1047" spans="1:8">
      <c r="A1047" s="47"/>
      <c r="B1047" s="47"/>
      <c r="C1047" s="47"/>
      <c r="D1047" s="47"/>
      <c r="E1047" s="47"/>
      <c r="F1047" s="47"/>
      <c r="G1047" s="47"/>
      <c r="H1047" s="47"/>
    </row>
    <row r="1048" spans="1:8">
      <c r="A1048" s="47"/>
      <c r="B1048" s="47"/>
      <c r="C1048" s="47"/>
      <c r="D1048" s="47"/>
      <c r="E1048" s="47"/>
      <c r="F1048" s="47"/>
      <c r="G1048" s="47"/>
      <c r="H1048" s="47"/>
    </row>
    <row r="1049" spans="1:8">
      <c r="A1049" s="47"/>
      <c r="B1049" s="47"/>
      <c r="C1049" s="47"/>
      <c r="D1049" s="47"/>
      <c r="E1049" s="47"/>
      <c r="F1049" s="47"/>
      <c r="G1049" s="47"/>
      <c r="H1049" s="47"/>
    </row>
    <row r="1050" spans="1:8">
      <c r="A1050" s="47"/>
      <c r="B1050" s="47"/>
      <c r="C1050" s="47"/>
      <c r="D1050" s="47"/>
      <c r="E1050" s="47"/>
      <c r="F1050" s="47"/>
      <c r="G1050" s="47"/>
      <c r="H1050" s="47"/>
    </row>
    <row r="1051" spans="1:8">
      <c r="A1051" s="47"/>
      <c r="B1051" s="47"/>
      <c r="C1051" s="47"/>
      <c r="D1051" s="47"/>
      <c r="E1051" s="47"/>
      <c r="F1051" s="47"/>
      <c r="G1051" s="47"/>
      <c r="H1051" s="47"/>
    </row>
    <row r="1052" spans="1:8">
      <c r="A1052" s="47"/>
      <c r="B1052" s="47"/>
      <c r="C1052" s="47"/>
      <c r="D1052" s="47"/>
      <c r="E1052" s="47"/>
      <c r="F1052" s="47"/>
      <c r="G1052" s="47"/>
      <c r="H1052" s="47"/>
    </row>
    <row r="1053" spans="1:8">
      <c r="A1053" s="47"/>
      <c r="B1053" s="47"/>
      <c r="C1053" s="47"/>
      <c r="D1053" s="47"/>
      <c r="E1053" s="47"/>
      <c r="F1053" s="47"/>
      <c r="G1053" s="47"/>
      <c r="H1053" s="47"/>
    </row>
    <row r="1054" spans="1:8">
      <c r="A1054" s="47"/>
      <c r="B1054" s="47"/>
      <c r="C1054" s="47"/>
      <c r="D1054" s="47"/>
      <c r="E1054" s="47"/>
      <c r="F1054" s="47"/>
      <c r="G1054" s="47"/>
      <c r="H1054" s="47"/>
    </row>
    <row r="1055" spans="1:8">
      <c r="A1055" s="47"/>
      <c r="B1055" s="47"/>
      <c r="C1055" s="47"/>
      <c r="D1055" s="47"/>
      <c r="E1055" s="47"/>
      <c r="F1055" s="47"/>
      <c r="G1055" s="47"/>
      <c r="H1055" s="47"/>
    </row>
    <row r="1056" spans="1:8">
      <c r="A1056" s="47"/>
      <c r="B1056" s="47"/>
      <c r="C1056" s="47"/>
      <c r="D1056" s="47"/>
      <c r="E1056" s="47"/>
      <c r="F1056" s="47"/>
      <c r="G1056" s="47"/>
      <c r="H1056" s="47"/>
    </row>
    <row r="1057" spans="1:8">
      <c r="A1057" s="47"/>
      <c r="B1057" s="47"/>
      <c r="C1057" s="47"/>
      <c r="D1057" s="47"/>
      <c r="E1057" s="47"/>
      <c r="F1057" s="47"/>
      <c r="G1057" s="47"/>
      <c r="H1057" s="47"/>
    </row>
    <row r="1058" spans="1:8">
      <c r="A1058" s="47"/>
      <c r="B1058" s="47"/>
      <c r="C1058" s="47"/>
      <c r="D1058" s="47"/>
      <c r="E1058" s="47"/>
      <c r="F1058" s="47"/>
      <c r="G1058" s="47"/>
      <c r="H1058" s="47"/>
    </row>
    <row r="1059" spans="1:8">
      <c r="A1059" s="47"/>
      <c r="B1059" s="47"/>
      <c r="C1059" s="47"/>
      <c r="D1059" s="47"/>
      <c r="E1059" s="47"/>
      <c r="F1059" s="47"/>
      <c r="G1059" s="47"/>
      <c r="H1059" s="47"/>
    </row>
    <row r="1060" spans="1:8">
      <c r="A1060" s="47"/>
      <c r="B1060" s="47"/>
      <c r="C1060" s="47"/>
      <c r="D1060" s="47"/>
      <c r="E1060" s="47"/>
      <c r="F1060" s="47"/>
      <c r="G1060" s="47"/>
      <c r="H1060" s="47"/>
    </row>
    <row r="1061" spans="1:8">
      <c r="A1061" s="47"/>
      <c r="B1061" s="47"/>
      <c r="C1061" s="47"/>
      <c r="D1061" s="47"/>
      <c r="E1061" s="47"/>
      <c r="F1061" s="47"/>
      <c r="G1061" s="47"/>
      <c r="H1061" s="47"/>
    </row>
    <row r="1062" spans="1:8">
      <c r="A1062" s="47"/>
      <c r="B1062" s="47"/>
      <c r="C1062" s="47"/>
      <c r="D1062" s="47"/>
      <c r="E1062" s="47"/>
      <c r="F1062" s="47"/>
      <c r="G1062" s="47"/>
      <c r="H1062" s="47"/>
    </row>
    <row r="1063" spans="1:8">
      <c r="A1063" s="47"/>
      <c r="B1063" s="47"/>
      <c r="C1063" s="47"/>
      <c r="D1063" s="47"/>
      <c r="E1063" s="47"/>
      <c r="F1063" s="47"/>
      <c r="G1063" s="47"/>
      <c r="H1063" s="47"/>
    </row>
    <row r="1064" spans="1:8">
      <c r="A1064" s="47"/>
      <c r="B1064" s="47"/>
      <c r="C1064" s="47"/>
      <c r="D1064" s="47"/>
      <c r="E1064" s="47"/>
      <c r="F1064" s="47"/>
      <c r="G1064" s="47"/>
      <c r="H1064" s="47"/>
    </row>
    <row r="1065" spans="1:8">
      <c r="A1065" s="47"/>
      <c r="B1065" s="47"/>
      <c r="C1065" s="47"/>
      <c r="D1065" s="47"/>
      <c r="E1065" s="47"/>
      <c r="F1065" s="47"/>
      <c r="G1065" s="47"/>
      <c r="H1065" s="47"/>
    </row>
    <row r="1066" spans="1:8">
      <c r="A1066" s="47"/>
      <c r="B1066" s="47"/>
      <c r="C1066" s="47"/>
      <c r="D1066" s="47"/>
      <c r="E1066" s="47"/>
      <c r="F1066" s="47"/>
      <c r="G1066" s="47"/>
      <c r="H1066" s="47"/>
    </row>
    <row r="1067" spans="1:8">
      <c r="A1067" s="47"/>
      <c r="B1067" s="47"/>
      <c r="C1067" s="47"/>
      <c r="D1067" s="47"/>
      <c r="E1067" s="47"/>
      <c r="F1067" s="47"/>
      <c r="G1067" s="47"/>
      <c r="H1067" s="47"/>
    </row>
    <row r="1068" spans="1:8">
      <c r="A1068" s="47"/>
      <c r="B1068" s="47"/>
      <c r="C1068" s="47"/>
      <c r="D1068" s="47"/>
      <c r="E1068" s="47"/>
      <c r="F1068" s="47"/>
      <c r="G1068" s="47"/>
      <c r="H1068" s="47"/>
    </row>
    <row r="1069" spans="1:8">
      <c r="A1069" s="47"/>
      <c r="B1069" s="47"/>
      <c r="C1069" s="47"/>
      <c r="D1069" s="47"/>
      <c r="E1069" s="47"/>
      <c r="F1069" s="47"/>
      <c r="G1069" s="47"/>
      <c r="H1069" s="47"/>
    </row>
    <row r="1070" spans="1:8">
      <c r="A1070" s="47"/>
      <c r="B1070" s="47"/>
      <c r="C1070" s="47"/>
      <c r="D1070" s="47"/>
      <c r="E1070" s="47"/>
      <c r="F1070" s="47"/>
      <c r="G1070" s="47"/>
      <c r="H1070" s="47"/>
    </row>
    <row r="1071" spans="1:8">
      <c r="A1071" s="47"/>
      <c r="B1071" s="47"/>
      <c r="C1071" s="47"/>
      <c r="D1071" s="47"/>
      <c r="E1071" s="47"/>
      <c r="F1071" s="47"/>
      <c r="G1071" s="47"/>
      <c r="H1071" s="47"/>
    </row>
    <row r="1072" spans="1:8">
      <c r="A1072" s="47"/>
      <c r="B1072" s="47"/>
      <c r="C1072" s="47"/>
      <c r="D1072" s="47"/>
      <c r="E1072" s="47"/>
      <c r="F1072" s="47"/>
      <c r="G1072" s="47"/>
      <c r="H1072" s="47"/>
    </row>
    <row r="1073" spans="1:8">
      <c r="A1073" s="47"/>
      <c r="B1073" s="47"/>
      <c r="C1073" s="47"/>
      <c r="D1073" s="47"/>
      <c r="E1073" s="47"/>
      <c r="F1073" s="47"/>
      <c r="G1073" s="47"/>
      <c r="H1073" s="47"/>
    </row>
    <row r="1074" spans="1:8">
      <c r="A1074" s="47"/>
      <c r="B1074" s="47"/>
      <c r="C1074" s="47"/>
      <c r="D1074" s="47"/>
      <c r="E1074" s="47"/>
      <c r="F1074" s="47"/>
      <c r="G1074" s="47"/>
      <c r="H1074" s="47"/>
    </row>
    <row r="1075" spans="1:8">
      <c r="A1075" s="47"/>
      <c r="B1075" s="47"/>
      <c r="C1075" s="47"/>
      <c r="D1075" s="47"/>
      <c r="E1075" s="47"/>
      <c r="F1075" s="47"/>
      <c r="G1075" s="47"/>
      <c r="H1075" s="47"/>
    </row>
    <row r="1076" spans="1:8">
      <c r="A1076" s="47"/>
      <c r="B1076" s="47"/>
      <c r="C1076" s="47"/>
      <c r="D1076" s="47"/>
      <c r="E1076" s="47"/>
      <c r="F1076" s="47"/>
      <c r="G1076" s="47"/>
      <c r="H1076" s="47"/>
    </row>
    <row r="1077" spans="1:8">
      <c r="A1077" s="47"/>
      <c r="B1077" s="47"/>
      <c r="C1077" s="47"/>
      <c r="D1077" s="47"/>
      <c r="E1077" s="47"/>
      <c r="F1077" s="47"/>
      <c r="G1077" s="47"/>
      <c r="H1077" s="47"/>
    </row>
    <row r="1078" spans="1:8">
      <c r="A1078" s="47"/>
      <c r="B1078" s="47"/>
      <c r="C1078" s="47"/>
      <c r="D1078" s="47"/>
      <c r="E1078" s="47"/>
      <c r="F1078" s="47"/>
      <c r="G1078" s="47"/>
      <c r="H1078" s="47"/>
    </row>
    <row r="1079" spans="1:8">
      <c r="A1079" s="47"/>
      <c r="B1079" s="47"/>
      <c r="C1079" s="47"/>
      <c r="D1079" s="47"/>
      <c r="E1079" s="47"/>
      <c r="F1079" s="47"/>
      <c r="G1079" s="47"/>
      <c r="H1079" s="47"/>
    </row>
    <row r="1080" spans="1:8">
      <c r="A1080" s="47"/>
      <c r="B1080" s="47"/>
      <c r="C1080" s="47"/>
      <c r="D1080" s="47"/>
      <c r="E1080" s="47"/>
      <c r="F1080" s="47"/>
      <c r="G1080" s="47"/>
      <c r="H1080" s="47"/>
    </row>
    <row r="1081" spans="1:8">
      <c r="A1081" s="47"/>
      <c r="B1081" s="47"/>
      <c r="C1081" s="47"/>
      <c r="D1081" s="47"/>
      <c r="E1081" s="47"/>
      <c r="F1081" s="47"/>
      <c r="G1081" s="47"/>
      <c r="H1081" s="47"/>
    </row>
    <row r="1082" spans="1:8">
      <c r="A1082" s="47"/>
      <c r="B1082" s="47"/>
      <c r="C1082" s="47"/>
      <c r="D1082" s="47"/>
      <c r="E1082" s="47"/>
      <c r="F1082" s="47"/>
      <c r="G1082" s="47"/>
      <c r="H1082" s="47"/>
    </row>
    <row r="1083" spans="1:8">
      <c r="A1083" s="47"/>
      <c r="B1083" s="47"/>
      <c r="C1083" s="47"/>
      <c r="D1083" s="47"/>
      <c r="E1083" s="47"/>
      <c r="F1083" s="47"/>
      <c r="G1083" s="47"/>
      <c r="H1083" s="47"/>
    </row>
    <row r="1084" spans="1:8">
      <c r="A1084" s="47"/>
      <c r="B1084" s="47"/>
      <c r="C1084" s="47"/>
      <c r="D1084" s="47"/>
      <c r="E1084" s="47"/>
      <c r="F1084" s="47"/>
      <c r="G1084" s="47"/>
      <c r="H1084" s="47"/>
    </row>
    <row r="1085" spans="1:8">
      <c r="A1085" s="47"/>
      <c r="B1085" s="47"/>
      <c r="C1085" s="47"/>
      <c r="D1085" s="47"/>
      <c r="E1085" s="47"/>
      <c r="F1085" s="47"/>
      <c r="G1085" s="47"/>
      <c r="H1085" s="47"/>
    </row>
    <row r="1086" spans="1:8">
      <c r="A1086" s="47"/>
      <c r="B1086" s="47"/>
      <c r="C1086" s="47"/>
      <c r="D1086" s="47"/>
      <c r="E1086" s="47"/>
      <c r="F1086" s="47"/>
      <c r="G1086" s="47"/>
      <c r="H1086" s="47"/>
    </row>
    <row r="1087" spans="1:8">
      <c r="A1087" s="47"/>
      <c r="B1087" s="47"/>
      <c r="C1087" s="47"/>
      <c r="D1087" s="47"/>
      <c r="E1087" s="47"/>
      <c r="F1087" s="47"/>
      <c r="G1087" s="47"/>
      <c r="H1087" s="47"/>
    </row>
    <row r="1088" spans="1:8">
      <c r="A1088" s="47"/>
      <c r="B1088" s="47"/>
      <c r="C1088" s="47"/>
      <c r="D1088" s="47"/>
      <c r="E1088" s="47"/>
      <c r="F1088" s="47"/>
      <c r="G1088" s="47"/>
      <c r="H1088" s="47"/>
    </row>
    <row r="1089" spans="1:8">
      <c r="A1089" s="47"/>
      <c r="B1089" s="47"/>
      <c r="C1089" s="47"/>
      <c r="D1089" s="47"/>
      <c r="E1089" s="47"/>
      <c r="F1089" s="47"/>
      <c r="G1089" s="47"/>
      <c r="H1089" s="47"/>
    </row>
    <row r="1090" spans="1:8">
      <c r="A1090" s="47"/>
      <c r="B1090" s="47"/>
      <c r="C1090" s="47"/>
      <c r="D1090" s="47"/>
      <c r="E1090" s="47"/>
      <c r="F1090" s="47"/>
      <c r="G1090" s="47"/>
      <c r="H1090" s="47"/>
    </row>
    <row r="1091" spans="1:8">
      <c r="A1091" s="47"/>
      <c r="B1091" s="47"/>
      <c r="C1091" s="47"/>
      <c r="D1091" s="47"/>
      <c r="E1091" s="47"/>
      <c r="F1091" s="47"/>
      <c r="G1091" s="47"/>
      <c r="H1091" s="47"/>
    </row>
    <row r="1092" spans="1:8">
      <c r="A1092" s="47"/>
      <c r="B1092" s="47"/>
      <c r="C1092" s="47"/>
      <c r="D1092" s="47"/>
      <c r="E1092" s="47"/>
      <c r="F1092" s="47"/>
      <c r="G1092" s="47"/>
      <c r="H1092" s="47"/>
    </row>
    <row r="1093" spans="1:8">
      <c r="A1093" s="47"/>
      <c r="B1093" s="47"/>
      <c r="C1093" s="47"/>
      <c r="D1093" s="47"/>
      <c r="E1093" s="47"/>
      <c r="F1093" s="47"/>
      <c r="G1093" s="47"/>
      <c r="H1093" s="47"/>
    </row>
    <row r="1094" spans="1:8">
      <c r="A1094" s="47"/>
      <c r="B1094" s="47"/>
      <c r="C1094" s="47"/>
      <c r="D1094" s="47"/>
      <c r="E1094" s="47"/>
      <c r="F1094" s="47"/>
      <c r="G1094" s="47"/>
      <c r="H1094" s="47"/>
    </row>
    <row r="1095" spans="1:8">
      <c r="A1095" s="47"/>
      <c r="B1095" s="47"/>
      <c r="C1095" s="47"/>
      <c r="D1095" s="47"/>
      <c r="E1095" s="47"/>
      <c r="F1095" s="47"/>
      <c r="G1095" s="47"/>
      <c r="H1095" s="47"/>
    </row>
    <row r="1096" spans="1:8">
      <c r="A1096" s="47"/>
      <c r="B1096" s="47"/>
      <c r="C1096" s="47"/>
      <c r="D1096" s="47"/>
      <c r="E1096" s="47"/>
      <c r="F1096" s="47"/>
      <c r="G1096" s="47"/>
      <c r="H1096" s="47"/>
    </row>
    <row r="1097" spans="1:8">
      <c r="A1097" s="47"/>
      <c r="B1097" s="47"/>
      <c r="C1097" s="47"/>
      <c r="D1097" s="47"/>
      <c r="E1097" s="47"/>
      <c r="F1097" s="47"/>
      <c r="G1097" s="47"/>
      <c r="H1097" s="47"/>
    </row>
    <row r="1098" spans="1:8">
      <c r="A1098" s="47"/>
      <c r="B1098" s="47"/>
      <c r="C1098" s="47"/>
      <c r="D1098" s="47"/>
      <c r="E1098" s="47"/>
      <c r="F1098" s="47"/>
      <c r="G1098" s="47"/>
      <c r="H1098" s="47"/>
    </row>
    <row r="1099" spans="1:8">
      <c r="A1099" s="47"/>
      <c r="B1099" s="47"/>
      <c r="C1099" s="47"/>
      <c r="D1099" s="47"/>
      <c r="E1099" s="47"/>
      <c r="F1099" s="47"/>
      <c r="G1099" s="47"/>
      <c r="H1099" s="47"/>
    </row>
    <row r="1100" spans="1:8">
      <c r="A1100" s="47"/>
      <c r="B1100" s="47"/>
      <c r="C1100" s="47"/>
      <c r="D1100" s="47"/>
      <c r="E1100" s="47"/>
      <c r="F1100" s="47"/>
      <c r="G1100" s="47"/>
      <c r="H1100" s="47"/>
    </row>
    <row r="1101" spans="1:8">
      <c r="A1101" s="47"/>
      <c r="B1101" s="47"/>
      <c r="C1101" s="47"/>
      <c r="D1101" s="47"/>
      <c r="E1101" s="47"/>
      <c r="F1101" s="47"/>
      <c r="G1101" s="47"/>
      <c r="H1101" s="47"/>
    </row>
    <row r="1102" spans="1:8">
      <c r="A1102" s="47"/>
      <c r="B1102" s="47"/>
      <c r="C1102" s="47"/>
      <c r="D1102" s="47"/>
      <c r="E1102" s="47"/>
      <c r="F1102" s="47"/>
      <c r="G1102" s="47"/>
      <c r="H1102" s="47"/>
    </row>
    <row r="1103" spans="1:8">
      <c r="A1103" s="47"/>
      <c r="B1103" s="47"/>
      <c r="C1103" s="47"/>
      <c r="D1103" s="47"/>
      <c r="E1103" s="47"/>
      <c r="F1103" s="47"/>
      <c r="G1103" s="47"/>
      <c r="H1103" s="47"/>
    </row>
    <row r="1104" spans="1:8">
      <c r="A1104" s="47"/>
      <c r="B1104" s="47"/>
      <c r="C1104" s="47"/>
      <c r="D1104" s="47"/>
      <c r="E1104" s="47"/>
      <c r="F1104" s="47"/>
      <c r="G1104" s="47"/>
      <c r="H1104" s="47"/>
    </row>
    <row r="1105" spans="1:8">
      <c r="A1105" s="47"/>
      <c r="B1105" s="47"/>
      <c r="C1105" s="47"/>
      <c r="D1105" s="47"/>
      <c r="E1105" s="47"/>
      <c r="F1105" s="47"/>
      <c r="G1105" s="47"/>
      <c r="H1105" s="47"/>
    </row>
    <row r="1106" spans="1:8">
      <c r="A1106" s="47"/>
      <c r="B1106" s="47"/>
      <c r="C1106" s="47"/>
      <c r="D1106" s="47"/>
      <c r="E1106" s="47"/>
      <c r="F1106" s="47"/>
      <c r="G1106" s="47"/>
      <c r="H1106" s="47"/>
    </row>
    <row r="1107" spans="1:8">
      <c r="A1107" s="47"/>
      <c r="B1107" s="47"/>
      <c r="C1107" s="47"/>
      <c r="D1107" s="47"/>
      <c r="E1107" s="47"/>
      <c r="F1107" s="47"/>
      <c r="G1107" s="47"/>
      <c r="H1107" s="47"/>
    </row>
    <row r="1108" spans="1:8">
      <c r="A1108" s="47"/>
      <c r="B1108" s="47"/>
      <c r="C1108" s="47"/>
      <c r="D1108" s="47"/>
      <c r="E1108" s="47"/>
      <c r="F1108" s="47"/>
      <c r="G1108" s="47"/>
      <c r="H1108" s="47"/>
    </row>
    <row r="1109" spans="1:8">
      <c r="A1109" s="47"/>
      <c r="B1109" s="47"/>
      <c r="C1109" s="47"/>
      <c r="D1109" s="47"/>
      <c r="E1109" s="47"/>
      <c r="F1109" s="47"/>
      <c r="G1109" s="47"/>
      <c r="H1109" s="47"/>
    </row>
    <row r="1110" spans="1:8">
      <c r="A1110" s="47"/>
      <c r="B1110" s="47"/>
      <c r="C1110" s="47"/>
      <c r="D1110" s="47"/>
      <c r="E1110" s="47"/>
      <c r="F1110" s="47"/>
      <c r="G1110" s="47"/>
      <c r="H1110" s="47"/>
    </row>
    <row r="1111" spans="1:8">
      <c r="A1111" s="47"/>
      <c r="B1111" s="47"/>
      <c r="C1111" s="47"/>
      <c r="D1111" s="47"/>
      <c r="E1111" s="47"/>
      <c r="F1111" s="47"/>
      <c r="G1111" s="47"/>
      <c r="H1111" s="47"/>
    </row>
    <row r="1112" spans="1:8">
      <c r="A1112" s="47"/>
      <c r="B1112" s="47"/>
      <c r="C1112" s="47"/>
      <c r="D1112" s="47"/>
      <c r="E1112" s="47"/>
      <c r="F1112" s="47"/>
      <c r="G1112" s="47"/>
      <c r="H1112" s="47"/>
    </row>
    <row r="1113" spans="1:8">
      <c r="A1113" s="47"/>
      <c r="B1113" s="47"/>
      <c r="C1113" s="47"/>
      <c r="D1113" s="47"/>
      <c r="E1113" s="47"/>
      <c r="F1113" s="47"/>
      <c r="G1113" s="47"/>
      <c r="H1113" s="47"/>
    </row>
    <row r="1114" spans="1:8">
      <c r="A1114" s="47"/>
      <c r="B1114" s="47"/>
      <c r="C1114" s="47"/>
      <c r="D1114" s="47"/>
      <c r="E1114" s="47"/>
      <c r="F1114" s="47"/>
      <c r="G1114" s="47"/>
      <c r="H1114" s="47"/>
    </row>
    <row r="1115" spans="1:8">
      <c r="A1115" s="47"/>
      <c r="B1115" s="47"/>
      <c r="C1115" s="47"/>
      <c r="D1115" s="47"/>
      <c r="E1115" s="47"/>
      <c r="F1115" s="47"/>
      <c r="G1115" s="47"/>
      <c r="H1115" s="47"/>
    </row>
    <row r="1116" spans="1:8">
      <c r="A1116" s="47"/>
      <c r="B1116" s="47"/>
      <c r="C1116" s="47"/>
      <c r="D1116" s="47"/>
      <c r="E1116" s="47"/>
      <c r="F1116" s="47"/>
      <c r="G1116" s="47"/>
      <c r="H1116" s="47"/>
    </row>
    <row r="1117" spans="1:8">
      <c r="A1117" s="47"/>
      <c r="B1117" s="47"/>
      <c r="C1117" s="47"/>
      <c r="D1117" s="47"/>
      <c r="E1117" s="47"/>
      <c r="F1117" s="47"/>
      <c r="G1117" s="47"/>
      <c r="H1117" s="47"/>
    </row>
    <row r="1118" spans="1:8">
      <c r="A1118" s="47"/>
      <c r="B1118" s="47"/>
      <c r="C1118" s="47"/>
      <c r="D1118" s="47"/>
      <c r="E1118" s="47"/>
      <c r="F1118" s="47"/>
      <c r="G1118" s="47"/>
      <c r="H1118" s="47"/>
    </row>
    <row r="1119" spans="1:8">
      <c r="A1119" s="47"/>
      <c r="B1119" s="47"/>
      <c r="C1119" s="47"/>
      <c r="D1119" s="47"/>
      <c r="E1119" s="47"/>
      <c r="F1119" s="47"/>
      <c r="G1119" s="47"/>
      <c r="H1119" s="47"/>
    </row>
    <row r="1120" spans="1:8">
      <c r="A1120" s="47"/>
      <c r="B1120" s="47"/>
      <c r="C1120" s="47"/>
      <c r="D1120" s="47"/>
      <c r="E1120" s="47"/>
      <c r="F1120" s="47"/>
      <c r="G1120" s="47"/>
      <c r="H1120" s="47"/>
    </row>
    <row r="1121" spans="1:8">
      <c r="A1121" s="47"/>
      <c r="B1121" s="47"/>
      <c r="C1121" s="47"/>
      <c r="D1121" s="47"/>
      <c r="E1121" s="47"/>
      <c r="F1121" s="47"/>
      <c r="G1121" s="47"/>
      <c r="H1121" s="47"/>
    </row>
    <row r="1122" spans="1:8">
      <c r="A1122" s="47"/>
      <c r="B1122" s="47"/>
      <c r="C1122" s="47"/>
      <c r="D1122" s="47"/>
      <c r="E1122" s="47"/>
      <c r="F1122" s="47"/>
      <c r="G1122" s="47"/>
      <c r="H1122" s="47"/>
    </row>
    <row r="1123" spans="1:8">
      <c r="A1123" s="47"/>
      <c r="B1123" s="47"/>
      <c r="C1123" s="47"/>
      <c r="D1123" s="47"/>
      <c r="E1123" s="47"/>
      <c r="F1123" s="47"/>
      <c r="G1123" s="47"/>
      <c r="H1123" s="47"/>
    </row>
    <row r="1124" spans="1:8">
      <c r="A1124" s="47"/>
      <c r="B1124" s="47"/>
      <c r="C1124" s="47"/>
      <c r="D1124" s="47"/>
      <c r="E1124" s="47"/>
      <c r="F1124" s="47"/>
      <c r="G1124" s="47"/>
      <c r="H1124" s="47"/>
    </row>
    <row r="1125" spans="1:8">
      <c r="A1125" s="47"/>
      <c r="B1125" s="47"/>
      <c r="C1125" s="47"/>
      <c r="D1125" s="47"/>
      <c r="E1125" s="47"/>
      <c r="F1125" s="47"/>
      <c r="G1125" s="47"/>
      <c r="H1125" s="47"/>
    </row>
    <row r="1126" spans="1:8">
      <c r="A1126" s="47"/>
      <c r="B1126" s="47"/>
      <c r="C1126" s="47"/>
      <c r="D1126" s="47"/>
      <c r="E1126" s="47"/>
      <c r="F1126" s="47"/>
      <c r="G1126" s="47"/>
      <c r="H1126" s="47"/>
    </row>
    <row r="1127" spans="1:8">
      <c r="A1127" s="47"/>
      <c r="B1127" s="47"/>
      <c r="C1127" s="47"/>
      <c r="D1127" s="47"/>
      <c r="E1127" s="47"/>
      <c r="F1127" s="47"/>
      <c r="G1127" s="47"/>
      <c r="H1127" s="47"/>
    </row>
    <row r="1128" spans="1:8">
      <c r="A1128" s="47"/>
      <c r="B1128" s="47"/>
      <c r="C1128" s="47"/>
      <c r="D1128" s="47"/>
      <c r="E1128" s="47"/>
      <c r="F1128" s="47"/>
      <c r="G1128" s="47"/>
      <c r="H1128" s="47"/>
    </row>
    <row r="1129" spans="1:8">
      <c r="A1129" s="47"/>
      <c r="B1129" s="47"/>
      <c r="C1129" s="47"/>
      <c r="D1129" s="47"/>
      <c r="E1129" s="47"/>
      <c r="F1129" s="47"/>
      <c r="G1129" s="47"/>
      <c r="H1129" s="47"/>
    </row>
    <row r="1130" spans="1:8">
      <c r="A1130" s="47"/>
      <c r="B1130" s="47"/>
      <c r="C1130" s="47"/>
      <c r="D1130" s="47"/>
      <c r="E1130" s="47"/>
      <c r="F1130" s="47"/>
      <c r="G1130" s="47"/>
      <c r="H1130" s="47"/>
    </row>
    <row r="1131" spans="1:8">
      <c r="A1131" s="47"/>
      <c r="B1131" s="47"/>
      <c r="C1131" s="47"/>
      <c r="D1131" s="47"/>
      <c r="E1131" s="47"/>
      <c r="F1131" s="47"/>
      <c r="G1131" s="47"/>
      <c r="H1131" s="47"/>
    </row>
    <row r="1132" spans="1:8">
      <c r="A1132" s="47"/>
      <c r="B1132" s="47"/>
      <c r="C1132" s="47"/>
      <c r="D1132" s="47"/>
      <c r="E1132" s="47"/>
      <c r="F1132" s="47"/>
      <c r="G1132" s="47"/>
      <c r="H1132" s="47"/>
    </row>
    <row r="1133" spans="1:8">
      <c r="A1133" s="47"/>
      <c r="B1133" s="47"/>
      <c r="C1133" s="47"/>
      <c r="D1133" s="47"/>
      <c r="E1133" s="47"/>
      <c r="F1133" s="47"/>
      <c r="G1133" s="47"/>
      <c r="H1133" s="47"/>
    </row>
    <row r="1134" spans="1:8">
      <c r="A1134" s="47"/>
      <c r="B1134" s="47"/>
      <c r="C1134" s="47"/>
      <c r="D1134" s="47"/>
      <c r="E1134" s="47"/>
      <c r="F1134" s="47"/>
      <c r="G1134" s="47"/>
      <c r="H1134" s="47"/>
    </row>
    <row r="1135" spans="1:8">
      <c r="A1135" s="47"/>
      <c r="B1135" s="47"/>
      <c r="C1135" s="47"/>
      <c r="D1135" s="47"/>
      <c r="E1135" s="47"/>
      <c r="F1135" s="47"/>
      <c r="G1135" s="47"/>
      <c r="H1135" s="47"/>
    </row>
    <row r="1136" spans="1:8">
      <c r="A1136" s="47"/>
      <c r="B1136" s="47"/>
      <c r="C1136" s="47"/>
      <c r="D1136" s="47"/>
      <c r="E1136" s="47"/>
      <c r="F1136" s="47"/>
      <c r="G1136" s="47"/>
      <c r="H1136" s="47"/>
    </row>
    <row r="1137" spans="1:8">
      <c r="A1137" s="47"/>
      <c r="B1137" s="47"/>
      <c r="C1137" s="47"/>
      <c r="D1137" s="47"/>
      <c r="E1137" s="47"/>
      <c r="F1137" s="47"/>
      <c r="G1137" s="47"/>
      <c r="H1137" s="47"/>
    </row>
    <row r="1138" spans="1:8">
      <c r="A1138" s="47"/>
      <c r="B1138" s="47"/>
      <c r="C1138" s="47"/>
      <c r="D1138" s="47"/>
      <c r="E1138" s="47"/>
      <c r="F1138" s="47"/>
      <c r="G1138" s="47"/>
      <c r="H1138" s="47"/>
    </row>
    <row r="1139" spans="1:8">
      <c r="A1139" s="47"/>
      <c r="B1139" s="47"/>
      <c r="C1139" s="47"/>
      <c r="D1139" s="47"/>
      <c r="E1139" s="47"/>
      <c r="F1139" s="47"/>
      <c r="G1139" s="47"/>
      <c r="H1139" s="47"/>
    </row>
    <row r="1140" spans="1:8">
      <c r="A1140" s="47"/>
      <c r="B1140" s="47"/>
      <c r="C1140" s="47"/>
      <c r="D1140" s="47"/>
      <c r="E1140" s="47"/>
      <c r="F1140" s="47"/>
      <c r="G1140" s="47"/>
      <c r="H1140" s="47"/>
    </row>
    <row r="1141" spans="1:8">
      <c r="A1141" s="47"/>
      <c r="B1141" s="47"/>
      <c r="C1141" s="47"/>
      <c r="D1141" s="47"/>
      <c r="E1141" s="47"/>
      <c r="F1141" s="47"/>
      <c r="G1141" s="47"/>
      <c r="H1141" s="47"/>
    </row>
    <row r="1142" spans="1:8">
      <c r="A1142" s="47"/>
      <c r="B1142" s="47"/>
      <c r="C1142" s="47"/>
      <c r="D1142" s="47"/>
      <c r="E1142" s="47"/>
      <c r="F1142" s="47"/>
      <c r="G1142" s="47"/>
      <c r="H1142" s="47"/>
    </row>
    <row r="1143" spans="1:8">
      <c r="A1143" s="47"/>
      <c r="B1143" s="47"/>
      <c r="C1143" s="47"/>
      <c r="D1143" s="47"/>
      <c r="E1143" s="47"/>
      <c r="F1143" s="47"/>
      <c r="G1143" s="47"/>
      <c r="H1143" s="47"/>
    </row>
    <row r="1144" spans="1:8">
      <c r="A1144" s="47"/>
      <c r="B1144" s="47"/>
      <c r="C1144" s="47"/>
      <c r="D1144" s="47"/>
      <c r="E1144" s="47"/>
      <c r="F1144" s="47"/>
      <c r="G1144" s="47"/>
      <c r="H1144" s="47"/>
    </row>
    <row r="1145" spans="1:8">
      <c r="A1145" s="47"/>
      <c r="B1145" s="47"/>
      <c r="C1145" s="47"/>
      <c r="D1145" s="47"/>
      <c r="E1145" s="47"/>
      <c r="F1145" s="47"/>
      <c r="G1145" s="47"/>
      <c r="H1145" s="47"/>
    </row>
    <row r="1146" spans="1:8">
      <c r="A1146" s="47"/>
      <c r="B1146" s="47"/>
      <c r="C1146" s="47"/>
      <c r="D1146" s="47"/>
      <c r="E1146" s="47"/>
      <c r="F1146" s="47"/>
      <c r="G1146" s="47"/>
      <c r="H1146" s="47"/>
    </row>
    <row r="1147" spans="1:8">
      <c r="A1147" s="47"/>
      <c r="B1147" s="47"/>
      <c r="C1147" s="47"/>
      <c r="D1147" s="47"/>
      <c r="E1147" s="47"/>
      <c r="F1147" s="47"/>
      <c r="G1147" s="47"/>
      <c r="H1147" s="47"/>
    </row>
    <row r="1148" spans="1:8">
      <c r="A1148" s="47"/>
      <c r="B1148" s="47"/>
      <c r="C1148" s="47"/>
      <c r="D1148" s="47"/>
      <c r="E1148" s="47"/>
      <c r="F1148" s="47"/>
      <c r="G1148" s="47"/>
      <c r="H1148" s="47"/>
    </row>
    <row r="1149" spans="1:8">
      <c r="A1149" s="47"/>
      <c r="B1149" s="47"/>
      <c r="C1149" s="47"/>
      <c r="D1149" s="47"/>
      <c r="E1149" s="47"/>
      <c r="F1149" s="47"/>
      <c r="G1149" s="47"/>
      <c r="H1149" s="47"/>
    </row>
    <row r="1150" spans="1:8">
      <c r="A1150" s="47"/>
      <c r="B1150" s="47"/>
      <c r="C1150" s="47"/>
      <c r="D1150" s="47"/>
      <c r="E1150" s="47"/>
      <c r="F1150" s="47"/>
      <c r="G1150" s="47"/>
      <c r="H1150" s="47"/>
    </row>
    <row r="1151" spans="1:8">
      <c r="A1151" s="47"/>
      <c r="B1151" s="47"/>
      <c r="C1151" s="47"/>
      <c r="D1151" s="47"/>
      <c r="E1151" s="47"/>
      <c r="F1151" s="47"/>
      <c r="G1151" s="47"/>
      <c r="H1151" s="47"/>
    </row>
    <row r="1152" spans="1:8">
      <c r="A1152" s="47"/>
      <c r="B1152" s="47"/>
      <c r="C1152" s="47"/>
      <c r="D1152" s="47"/>
      <c r="E1152" s="47"/>
      <c r="F1152" s="47"/>
      <c r="G1152" s="47"/>
      <c r="H1152" s="47"/>
    </row>
    <row r="1153" spans="1:8">
      <c r="A1153" s="47"/>
      <c r="B1153" s="47"/>
      <c r="C1153" s="47"/>
      <c r="D1153" s="47"/>
      <c r="E1153" s="47"/>
      <c r="F1153" s="47"/>
      <c r="G1153" s="47"/>
      <c r="H1153" s="47"/>
    </row>
    <row r="1154" spans="1:8">
      <c r="A1154" s="47"/>
      <c r="B1154" s="47"/>
      <c r="C1154" s="47"/>
      <c r="D1154" s="47"/>
      <c r="E1154" s="47"/>
      <c r="F1154" s="47"/>
      <c r="G1154" s="47"/>
      <c r="H1154" s="47"/>
    </row>
    <row r="1155" spans="1:8">
      <c r="A1155" s="47"/>
      <c r="B1155" s="47"/>
      <c r="C1155" s="47"/>
      <c r="D1155" s="47"/>
      <c r="E1155" s="47"/>
      <c r="F1155" s="47"/>
      <c r="G1155" s="47"/>
      <c r="H1155" s="47"/>
    </row>
    <row r="1156" spans="1:8">
      <c r="A1156" s="47"/>
      <c r="B1156" s="47"/>
      <c r="C1156" s="47"/>
      <c r="D1156" s="47"/>
      <c r="E1156" s="47"/>
      <c r="F1156" s="47"/>
      <c r="G1156" s="47"/>
      <c r="H1156" s="47"/>
    </row>
    <row r="1157" spans="1:8">
      <c r="A1157" s="47"/>
      <c r="B1157" s="47"/>
      <c r="C1157" s="47"/>
      <c r="D1157" s="47"/>
      <c r="E1157" s="47"/>
      <c r="F1157" s="47"/>
      <c r="G1157" s="47"/>
      <c r="H1157" s="47"/>
    </row>
    <row r="1158" spans="1:8">
      <c r="A1158" s="47"/>
      <c r="B1158" s="47"/>
      <c r="C1158" s="47"/>
      <c r="D1158" s="47"/>
      <c r="E1158" s="47"/>
      <c r="F1158" s="47"/>
      <c r="G1158" s="47"/>
      <c r="H1158" s="47"/>
    </row>
    <row r="1159" spans="1:8">
      <c r="A1159" s="47"/>
      <c r="B1159" s="47"/>
      <c r="C1159" s="47"/>
      <c r="D1159" s="47"/>
      <c r="E1159" s="47"/>
      <c r="F1159" s="47"/>
      <c r="G1159" s="47"/>
      <c r="H1159" s="47"/>
    </row>
    <row r="1160" spans="1:8">
      <c r="A1160" s="47"/>
      <c r="B1160" s="47"/>
      <c r="C1160" s="47"/>
      <c r="D1160" s="47"/>
      <c r="E1160" s="47"/>
      <c r="F1160" s="47"/>
      <c r="G1160" s="47"/>
      <c r="H1160" s="47"/>
    </row>
    <row r="1161" spans="1:8">
      <c r="A1161" s="47"/>
      <c r="B1161" s="47"/>
      <c r="C1161" s="47"/>
      <c r="D1161" s="47"/>
      <c r="E1161" s="47"/>
      <c r="F1161" s="47"/>
      <c r="G1161" s="47"/>
      <c r="H1161" s="47"/>
    </row>
    <row r="1162" spans="1:8">
      <c r="A1162" s="47"/>
      <c r="B1162" s="47"/>
      <c r="C1162" s="47"/>
      <c r="D1162" s="47"/>
      <c r="E1162" s="47"/>
      <c r="F1162" s="47"/>
      <c r="G1162" s="47"/>
      <c r="H1162" s="47"/>
    </row>
    <row r="1163" spans="1:8">
      <c r="A1163" s="47"/>
      <c r="B1163" s="47"/>
      <c r="C1163" s="47"/>
      <c r="D1163" s="47"/>
      <c r="E1163" s="47"/>
      <c r="F1163" s="47"/>
      <c r="G1163" s="47"/>
      <c r="H1163" s="47"/>
    </row>
    <row r="1164" spans="1:8">
      <c r="A1164" s="47"/>
      <c r="B1164" s="47"/>
      <c r="C1164" s="47"/>
      <c r="D1164" s="47"/>
      <c r="E1164" s="47"/>
      <c r="F1164" s="47"/>
      <c r="G1164" s="47"/>
      <c r="H1164" s="47"/>
    </row>
    <row r="1165" spans="1:8">
      <c r="A1165" s="47"/>
      <c r="B1165" s="47"/>
      <c r="C1165" s="47"/>
      <c r="D1165" s="47"/>
      <c r="E1165" s="47"/>
      <c r="F1165" s="47"/>
      <c r="G1165" s="47"/>
      <c r="H1165" s="47"/>
    </row>
    <row r="1166" spans="1:8">
      <c r="A1166" s="47"/>
      <c r="B1166" s="47"/>
      <c r="C1166" s="47"/>
      <c r="D1166" s="47"/>
      <c r="E1166" s="47"/>
      <c r="F1166" s="47"/>
      <c r="G1166" s="47"/>
      <c r="H1166" s="47"/>
    </row>
    <row r="1167" spans="1:8">
      <c r="A1167" s="47"/>
      <c r="B1167" s="47"/>
      <c r="C1167" s="47"/>
      <c r="D1167" s="47"/>
      <c r="E1167" s="47"/>
      <c r="F1167" s="47"/>
      <c r="G1167" s="47"/>
      <c r="H1167" s="47"/>
    </row>
    <row r="1168" spans="1:8">
      <c r="A1168" s="47"/>
      <c r="B1168" s="47"/>
      <c r="C1168" s="47"/>
      <c r="D1168" s="47"/>
      <c r="E1168" s="47"/>
      <c r="F1168" s="47"/>
      <c r="G1168" s="47"/>
      <c r="H1168" s="47"/>
    </row>
    <row r="1169" spans="1:8">
      <c r="A1169" s="47"/>
      <c r="B1169" s="47"/>
      <c r="C1169" s="47"/>
      <c r="D1169" s="47"/>
      <c r="E1169" s="47"/>
      <c r="F1169" s="47"/>
      <c r="G1169" s="47"/>
      <c r="H1169" s="47"/>
    </row>
    <row r="1170" spans="1:8">
      <c r="A1170" s="47"/>
      <c r="B1170" s="47"/>
      <c r="C1170" s="47"/>
      <c r="D1170" s="47"/>
      <c r="E1170" s="47"/>
      <c r="F1170" s="47"/>
      <c r="G1170" s="47"/>
      <c r="H1170" s="47"/>
    </row>
    <row r="1171" spans="1:8">
      <c r="A1171" s="47"/>
      <c r="B1171" s="47"/>
      <c r="C1171" s="47"/>
      <c r="D1171" s="47"/>
      <c r="E1171" s="47"/>
      <c r="F1171" s="47"/>
      <c r="G1171" s="47"/>
      <c r="H1171" s="47"/>
    </row>
    <row r="1172" spans="1:8">
      <c r="A1172" s="47"/>
      <c r="B1172" s="47"/>
      <c r="C1172" s="47"/>
      <c r="D1172" s="47"/>
      <c r="E1172" s="47"/>
      <c r="F1172" s="47"/>
      <c r="G1172" s="47"/>
      <c r="H1172" s="47"/>
    </row>
    <row r="1173" spans="1:8">
      <c r="A1173" s="47"/>
      <c r="B1173" s="47"/>
      <c r="C1173" s="47"/>
      <c r="D1173" s="47"/>
      <c r="E1173" s="47"/>
      <c r="F1173" s="47"/>
      <c r="G1173" s="47"/>
      <c r="H1173" s="47"/>
    </row>
    <row r="1174" spans="1:8">
      <c r="A1174" s="47"/>
      <c r="B1174" s="47"/>
      <c r="C1174" s="47"/>
      <c r="D1174" s="47"/>
      <c r="E1174" s="47"/>
      <c r="F1174" s="47"/>
      <c r="G1174" s="47"/>
      <c r="H1174" s="47"/>
    </row>
    <row r="1175" spans="1:8">
      <c r="A1175" s="47"/>
      <c r="B1175" s="47"/>
      <c r="C1175" s="47"/>
      <c r="D1175" s="47"/>
      <c r="E1175" s="47"/>
      <c r="F1175" s="47"/>
      <c r="G1175" s="47"/>
      <c r="H1175" s="47"/>
    </row>
    <row r="1176" spans="1:8">
      <c r="A1176" s="47"/>
      <c r="B1176" s="47"/>
      <c r="C1176" s="47"/>
      <c r="D1176" s="47"/>
      <c r="E1176" s="47"/>
      <c r="F1176" s="47"/>
      <c r="G1176" s="47"/>
      <c r="H1176" s="47"/>
    </row>
    <row r="1177" spans="1:8">
      <c r="A1177" s="47"/>
      <c r="B1177" s="47"/>
      <c r="C1177" s="47"/>
      <c r="D1177" s="47"/>
      <c r="E1177" s="47"/>
      <c r="F1177" s="47"/>
      <c r="G1177" s="47"/>
      <c r="H1177" s="47"/>
    </row>
    <row r="1178" spans="1:8">
      <c r="A1178" s="47"/>
      <c r="B1178" s="47"/>
      <c r="C1178" s="47"/>
      <c r="D1178" s="47"/>
      <c r="E1178" s="47"/>
      <c r="F1178" s="47"/>
      <c r="G1178" s="47"/>
      <c r="H1178" s="47"/>
    </row>
    <row r="1179" spans="1:8">
      <c r="A1179" s="47"/>
      <c r="B1179" s="47"/>
      <c r="C1179" s="47"/>
      <c r="D1179" s="47"/>
      <c r="E1179" s="47"/>
      <c r="F1179" s="47"/>
      <c r="G1179" s="47"/>
      <c r="H1179" s="47"/>
    </row>
    <row r="1180" spans="1:8">
      <c r="A1180" s="47"/>
      <c r="B1180" s="47"/>
      <c r="C1180" s="47"/>
      <c r="D1180" s="47"/>
      <c r="E1180" s="47"/>
      <c r="F1180" s="47"/>
      <c r="G1180" s="47"/>
      <c r="H1180" s="47"/>
    </row>
    <row r="1181" spans="1:8">
      <c r="A1181" s="47"/>
      <c r="B1181" s="47"/>
      <c r="C1181" s="47"/>
      <c r="D1181" s="47"/>
      <c r="E1181" s="47"/>
      <c r="F1181" s="47"/>
      <c r="G1181" s="47"/>
      <c r="H1181" s="47"/>
    </row>
    <row r="1182" spans="1:8">
      <c r="A1182" s="47"/>
      <c r="B1182" s="47"/>
      <c r="C1182" s="47"/>
      <c r="D1182" s="47"/>
      <c r="E1182" s="47"/>
      <c r="F1182" s="47"/>
      <c r="G1182" s="47"/>
      <c r="H1182" s="47"/>
    </row>
    <row r="1183" spans="1:8">
      <c r="A1183" s="47"/>
      <c r="B1183" s="47"/>
      <c r="C1183" s="47"/>
      <c r="D1183" s="47"/>
      <c r="E1183" s="47"/>
      <c r="F1183" s="47"/>
      <c r="G1183" s="47"/>
      <c r="H1183" s="47"/>
    </row>
    <row r="1184" spans="1:8">
      <c r="A1184" s="47"/>
      <c r="B1184" s="47"/>
      <c r="C1184" s="47"/>
      <c r="D1184" s="47"/>
      <c r="E1184" s="47"/>
      <c r="F1184" s="47"/>
      <c r="G1184" s="47"/>
      <c r="H1184" s="47"/>
    </row>
    <row r="1185" spans="1:8">
      <c r="A1185" s="47"/>
      <c r="B1185" s="47"/>
      <c r="C1185" s="47"/>
      <c r="D1185" s="47"/>
      <c r="E1185" s="47"/>
      <c r="F1185" s="47"/>
      <c r="G1185" s="47"/>
      <c r="H1185" s="47"/>
    </row>
    <row r="1186" spans="1:8">
      <c r="A1186" s="47"/>
      <c r="B1186" s="47"/>
      <c r="C1186" s="47"/>
      <c r="D1186" s="47"/>
      <c r="E1186" s="47"/>
      <c r="F1186" s="47"/>
      <c r="G1186" s="47"/>
      <c r="H1186" s="47"/>
    </row>
    <row r="1187" spans="1:8">
      <c r="A1187" s="47"/>
      <c r="B1187" s="47"/>
      <c r="C1187" s="47"/>
      <c r="D1187" s="47"/>
      <c r="E1187" s="47"/>
      <c r="F1187" s="47"/>
      <c r="G1187" s="47"/>
      <c r="H1187" s="47"/>
    </row>
    <row r="1188" spans="1:8">
      <c r="A1188" s="47"/>
      <c r="B1188" s="47"/>
      <c r="C1188" s="47"/>
      <c r="D1188" s="47"/>
      <c r="E1188" s="47"/>
      <c r="F1188" s="47"/>
      <c r="G1188" s="47"/>
      <c r="H1188" s="47"/>
    </row>
    <row r="1189" spans="1:8">
      <c r="A1189" s="47"/>
      <c r="B1189" s="47"/>
      <c r="C1189" s="47"/>
      <c r="D1189" s="47"/>
      <c r="E1189" s="47"/>
      <c r="F1189" s="47"/>
      <c r="G1189" s="47"/>
      <c r="H1189" s="47"/>
    </row>
    <row r="1190" spans="1:8">
      <c r="A1190" s="47"/>
      <c r="B1190" s="47"/>
      <c r="C1190" s="47"/>
      <c r="D1190" s="47"/>
      <c r="E1190" s="47"/>
      <c r="F1190" s="47"/>
      <c r="G1190" s="47"/>
      <c r="H1190" s="47"/>
    </row>
    <row r="1191" spans="1:8">
      <c r="A1191" s="47"/>
      <c r="B1191" s="47"/>
      <c r="C1191" s="47"/>
      <c r="D1191" s="47"/>
      <c r="E1191" s="47"/>
      <c r="F1191" s="47"/>
      <c r="G1191" s="47"/>
      <c r="H1191" s="47"/>
    </row>
    <row r="1192" spans="1:8">
      <c r="A1192" s="47"/>
      <c r="B1192" s="47"/>
      <c r="C1192" s="47"/>
      <c r="D1192" s="47"/>
      <c r="E1192" s="47"/>
      <c r="F1192" s="47"/>
      <c r="G1192" s="47"/>
      <c r="H1192" s="47"/>
    </row>
    <row r="1193" spans="1:8">
      <c r="A1193" s="47"/>
      <c r="B1193" s="47"/>
      <c r="C1193" s="47"/>
      <c r="D1193" s="47"/>
      <c r="E1193" s="47"/>
      <c r="F1193" s="47"/>
      <c r="G1193" s="47"/>
      <c r="H1193" s="47"/>
    </row>
    <row r="1194" spans="1:8">
      <c r="A1194" s="47"/>
      <c r="B1194" s="47"/>
      <c r="C1194" s="47"/>
      <c r="D1194" s="47"/>
      <c r="E1194" s="47"/>
      <c r="F1194" s="47"/>
      <c r="G1194" s="47"/>
      <c r="H1194" s="47"/>
    </row>
    <row r="1195" spans="1:8">
      <c r="A1195" s="47"/>
      <c r="B1195" s="47"/>
      <c r="C1195" s="47"/>
      <c r="D1195" s="47"/>
      <c r="E1195" s="47"/>
      <c r="F1195" s="47"/>
      <c r="G1195" s="47"/>
      <c r="H1195" s="47"/>
    </row>
    <row r="1196" spans="1:8">
      <c r="A1196" s="47"/>
      <c r="B1196" s="47"/>
      <c r="C1196" s="47"/>
      <c r="D1196" s="47"/>
      <c r="E1196" s="47"/>
      <c r="F1196" s="47"/>
      <c r="G1196" s="47"/>
      <c r="H1196" s="47"/>
    </row>
    <row r="1197" spans="1:8">
      <c r="A1197" s="47"/>
      <c r="B1197" s="47"/>
      <c r="C1197" s="47"/>
      <c r="D1197" s="47"/>
      <c r="E1197" s="47"/>
      <c r="F1197" s="47"/>
      <c r="G1197" s="47"/>
      <c r="H1197" s="47"/>
    </row>
    <row r="1198" spans="1:8">
      <c r="A1198" s="47"/>
      <c r="B1198" s="47"/>
      <c r="C1198" s="47"/>
      <c r="D1198" s="47"/>
      <c r="E1198" s="47"/>
      <c r="F1198" s="47"/>
      <c r="G1198" s="47"/>
      <c r="H1198" s="47"/>
    </row>
    <row r="1199" spans="1:8">
      <c r="A1199" s="47"/>
      <c r="B1199" s="47"/>
      <c r="C1199" s="47"/>
      <c r="D1199" s="47"/>
      <c r="E1199" s="47"/>
      <c r="F1199" s="47"/>
      <c r="G1199" s="47"/>
      <c r="H1199" s="47"/>
    </row>
    <row r="1200" spans="1:8">
      <c r="A1200" s="47"/>
      <c r="B1200" s="47"/>
      <c r="C1200" s="47"/>
      <c r="D1200" s="47"/>
      <c r="E1200" s="47"/>
      <c r="F1200" s="47"/>
      <c r="G1200" s="47"/>
      <c r="H1200" s="47"/>
    </row>
    <row r="1201" spans="1:8">
      <c r="A1201" s="47"/>
      <c r="B1201" s="47"/>
      <c r="C1201" s="47"/>
      <c r="D1201" s="47"/>
      <c r="E1201" s="47"/>
      <c r="F1201" s="47"/>
      <c r="G1201" s="47"/>
      <c r="H1201" s="47"/>
    </row>
    <row r="1202" spans="1:8">
      <c r="A1202" s="47"/>
      <c r="B1202" s="47"/>
      <c r="C1202" s="47"/>
      <c r="D1202" s="47"/>
      <c r="E1202" s="47"/>
      <c r="F1202" s="47"/>
      <c r="G1202" s="47"/>
      <c r="H1202" s="47"/>
    </row>
    <row r="1203" spans="1:8">
      <c r="A1203" s="47"/>
      <c r="B1203" s="47"/>
      <c r="C1203" s="47"/>
      <c r="D1203" s="47"/>
      <c r="E1203" s="47"/>
      <c r="F1203" s="47"/>
      <c r="G1203" s="47"/>
      <c r="H1203" s="47"/>
    </row>
    <row r="1204" spans="1:8">
      <c r="A1204" s="47"/>
      <c r="B1204" s="47"/>
      <c r="C1204" s="47"/>
      <c r="D1204" s="47"/>
      <c r="E1204" s="47"/>
      <c r="F1204" s="47"/>
      <c r="G1204" s="47"/>
      <c r="H1204" s="47"/>
    </row>
    <row r="1205" spans="1:8">
      <c r="A1205" s="47"/>
      <c r="B1205" s="47"/>
      <c r="C1205" s="47"/>
      <c r="D1205" s="47"/>
      <c r="E1205" s="47"/>
      <c r="F1205" s="47"/>
      <c r="G1205" s="47"/>
      <c r="H1205" s="47"/>
    </row>
    <row r="1206" spans="1:8">
      <c r="A1206" s="47"/>
      <c r="B1206" s="47"/>
      <c r="C1206" s="47"/>
      <c r="D1206" s="47"/>
      <c r="E1206" s="47"/>
      <c r="F1206" s="47"/>
      <c r="G1206" s="47"/>
      <c r="H1206" s="47"/>
    </row>
    <row r="1207" spans="1:8">
      <c r="A1207" s="47"/>
      <c r="B1207" s="47"/>
      <c r="C1207" s="47"/>
      <c r="D1207" s="47"/>
      <c r="E1207" s="47"/>
      <c r="F1207" s="47"/>
      <c r="G1207" s="47"/>
      <c r="H1207" s="47"/>
    </row>
    <row r="1208" spans="1:8">
      <c r="A1208" s="47"/>
      <c r="B1208" s="47"/>
      <c r="C1208" s="47"/>
      <c r="D1208" s="47"/>
      <c r="E1208" s="47"/>
      <c r="F1208" s="47"/>
      <c r="G1208" s="47"/>
      <c r="H1208" s="47"/>
    </row>
    <row r="1209" spans="1:8">
      <c r="A1209" s="47"/>
      <c r="B1209" s="47"/>
      <c r="C1209" s="47"/>
      <c r="D1209" s="47"/>
      <c r="E1209" s="47"/>
      <c r="F1209" s="47"/>
      <c r="G1209" s="47"/>
      <c r="H1209" s="47"/>
    </row>
    <row r="1210" spans="1:8">
      <c r="A1210" s="47"/>
      <c r="B1210" s="47"/>
      <c r="C1210" s="47"/>
      <c r="D1210" s="47"/>
      <c r="E1210" s="47"/>
      <c r="F1210" s="47"/>
      <c r="G1210" s="47"/>
      <c r="H1210" s="47"/>
    </row>
    <row r="1211" spans="1:8">
      <c r="A1211" s="47"/>
      <c r="B1211" s="47"/>
      <c r="C1211" s="47"/>
      <c r="D1211" s="47"/>
      <c r="E1211" s="47"/>
      <c r="F1211" s="47"/>
      <c r="G1211" s="47"/>
      <c r="H1211" s="47"/>
    </row>
    <row r="1212" spans="1:8">
      <c r="A1212" s="47"/>
      <c r="B1212" s="47"/>
      <c r="C1212" s="47"/>
      <c r="D1212" s="47"/>
      <c r="E1212" s="47"/>
      <c r="F1212" s="47"/>
      <c r="G1212" s="47"/>
      <c r="H1212" s="47"/>
    </row>
    <row r="1213" spans="1:8">
      <c r="A1213" s="47"/>
      <c r="B1213" s="47"/>
      <c r="C1213" s="47"/>
      <c r="D1213" s="47"/>
      <c r="E1213" s="47"/>
      <c r="F1213" s="47"/>
      <c r="G1213" s="47"/>
      <c r="H1213" s="47"/>
    </row>
    <row r="1214" spans="1:8">
      <c r="A1214" s="47"/>
      <c r="B1214" s="47"/>
      <c r="C1214" s="47"/>
      <c r="D1214" s="47"/>
      <c r="E1214" s="47"/>
      <c r="F1214" s="47"/>
      <c r="G1214" s="47"/>
      <c r="H1214" s="47"/>
    </row>
    <row r="1215" spans="1:8">
      <c r="A1215" s="47"/>
      <c r="B1215" s="47"/>
      <c r="C1215" s="47"/>
      <c r="D1215" s="47"/>
      <c r="E1215" s="47"/>
      <c r="F1215" s="47"/>
      <c r="G1215" s="47"/>
      <c r="H1215" s="47"/>
    </row>
    <row r="1216" spans="1:8">
      <c r="A1216" s="47"/>
      <c r="B1216" s="47"/>
      <c r="C1216" s="47"/>
      <c r="D1216" s="47"/>
      <c r="E1216" s="47"/>
      <c r="F1216" s="47"/>
      <c r="G1216" s="47"/>
      <c r="H1216" s="47"/>
    </row>
    <row r="1217" spans="1:8">
      <c r="A1217" s="47"/>
      <c r="B1217" s="47"/>
      <c r="C1217" s="47"/>
      <c r="D1217" s="47"/>
      <c r="E1217" s="47"/>
      <c r="F1217" s="47"/>
      <c r="G1217" s="47"/>
      <c r="H1217" s="47"/>
    </row>
    <row r="1218" spans="1:8">
      <c r="A1218" s="47"/>
      <c r="B1218" s="47"/>
      <c r="C1218" s="47"/>
      <c r="D1218" s="47"/>
      <c r="E1218" s="47"/>
      <c r="F1218" s="47"/>
      <c r="G1218" s="47"/>
      <c r="H1218" s="47"/>
    </row>
    <row r="1219" spans="1:8">
      <c r="A1219" s="47"/>
      <c r="B1219" s="47"/>
      <c r="C1219" s="47"/>
      <c r="D1219" s="47"/>
      <c r="E1219" s="47"/>
      <c r="F1219" s="47"/>
      <c r="G1219" s="47"/>
      <c r="H1219" s="47"/>
    </row>
    <row r="1220" spans="1:8">
      <c r="A1220" s="47"/>
      <c r="B1220" s="47"/>
      <c r="C1220" s="47"/>
      <c r="D1220" s="47"/>
      <c r="E1220" s="47"/>
      <c r="F1220" s="47"/>
      <c r="G1220" s="47"/>
      <c r="H1220" s="47"/>
    </row>
    <row r="1221" spans="1:8">
      <c r="A1221" s="47"/>
      <c r="B1221" s="47"/>
      <c r="C1221" s="47"/>
      <c r="D1221" s="47"/>
      <c r="E1221" s="47"/>
      <c r="F1221" s="47"/>
      <c r="G1221" s="47"/>
      <c r="H1221" s="47"/>
    </row>
    <row r="1222" spans="1:8">
      <c r="A1222" s="47"/>
      <c r="B1222" s="47"/>
      <c r="C1222" s="47"/>
      <c r="D1222" s="47"/>
      <c r="E1222" s="47"/>
      <c r="F1222" s="47"/>
      <c r="G1222" s="47"/>
      <c r="H1222" s="47"/>
    </row>
    <row r="1223" spans="1:8">
      <c r="A1223" s="47"/>
      <c r="B1223" s="47"/>
      <c r="C1223" s="47"/>
      <c r="D1223" s="47"/>
      <c r="E1223" s="47"/>
      <c r="F1223" s="47"/>
      <c r="G1223" s="47"/>
      <c r="H1223" s="47"/>
    </row>
    <row r="1224" spans="1:8">
      <c r="A1224" s="47"/>
      <c r="B1224" s="47"/>
      <c r="C1224" s="47"/>
      <c r="D1224" s="47"/>
      <c r="E1224" s="47"/>
      <c r="F1224" s="47"/>
      <c r="G1224" s="47"/>
      <c r="H1224" s="47"/>
    </row>
    <row r="1225" spans="1:8">
      <c r="A1225" s="47"/>
      <c r="B1225" s="47"/>
      <c r="C1225" s="47"/>
      <c r="D1225" s="47"/>
      <c r="E1225" s="47"/>
      <c r="F1225" s="47"/>
      <c r="G1225" s="47"/>
      <c r="H1225" s="47"/>
    </row>
    <row r="1226" spans="1:8">
      <c r="A1226" s="47"/>
      <c r="B1226" s="47"/>
      <c r="C1226" s="47"/>
      <c r="D1226" s="47"/>
      <c r="E1226" s="47"/>
      <c r="F1226" s="47"/>
      <c r="G1226" s="47"/>
      <c r="H1226" s="47"/>
    </row>
    <row r="1227" spans="1:8">
      <c r="A1227" s="47"/>
      <c r="B1227" s="47"/>
      <c r="C1227" s="47"/>
      <c r="D1227" s="47"/>
      <c r="E1227" s="47"/>
      <c r="F1227" s="47"/>
      <c r="G1227" s="47"/>
      <c r="H1227" s="47"/>
    </row>
    <row r="1228" spans="1:8">
      <c r="A1228" s="47"/>
      <c r="B1228" s="47"/>
      <c r="C1228" s="47"/>
      <c r="D1228" s="47"/>
      <c r="E1228" s="47"/>
      <c r="F1228" s="47"/>
      <c r="G1228" s="47"/>
      <c r="H1228" s="47"/>
    </row>
    <row r="1229" spans="1:8">
      <c r="A1229" s="47"/>
      <c r="B1229" s="47"/>
      <c r="C1229" s="47"/>
      <c r="D1229" s="47"/>
      <c r="E1229" s="47"/>
      <c r="F1229" s="47"/>
      <c r="G1229" s="47"/>
      <c r="H1229" s="47"/>
    </row>
    <row r="1230" spans="1:8">
      <c r="A1230" s="47"/>
      <c r="B1230" s="47"/>
      <c r="C1230" s="47"/>
      <c r="D1230" s="47"/>
      <c r="E1230" s="47"/>
      <c r="F1230" s="47"/>
      <c r="G1230" s="47"/>
      <c r="H1230" s="47"/>
    </row>
    <row r="1231" spans="1:8">
      <c r="A1231" s="47"/>
      <c r="B1231" s="47"/>
      <c r="C1231" s="47"/>
      <c r="D1231" s="47"/>
      <c r="E1231" s="47"/>
      <c r="F1231" s="47"/>
      <c r="G1231" s="47"/>
      <c r="H1231" s="47"/>
    </row>
    <row r="1232" spans="1:8">
      <c r="A1232" s="47"/>
      <c r="B1232" s="47"/>
      <c r="C1232" s="47"/>
      <c r="D1232" s="47"/>
      <c r="E1232" s="47"/>
      <c r="F1232" s="47"/>
      <c r="G1232" s="47"/>
      <c r="H1232" s="47"/>
    </row>
    <row r="1233" spans="1:8">
      <c r="A1233" s="47"/>
      <c r="B1233" s="47"/>
      <c r="C1233" s="47"/>
      <c r="D1233" s="47"/>
      <c r="E1233" s="47"/>
      <c r="F1233" s="47"/>
      <c r="G1233" s="47"/>
      <c r="H1233" s="47"/>
    </row>
    <row r="1234" spans="1:8">
      <c r="A1234" s="47"/>
      <c r="B1234" s="47"/>
      <c r="C1234" s="47"/>
      <c r="D1234" s="47"/>
      <c r="E1234" s="47"/>
      <c r="F1234" s="47"/>
      <c r="G1234" s="47"/>
      <c r="H1234" s="47"/>
    </row>
    <row r="1235" spans="1:8">
      <c r="A1235" s="47"/>
      <c r="B1235" s="47"/>
      <c r="C1235" s="47"/>
      <c r="D1235" s="47"/>
      <c r="E1235" s="47"/>
      <c r="F1235" s="47"/>
      <c r="G1235" s="47"/>
      <c r="H1235" s="47"/>
    </row>
    <row r="1236" spans="1:8">
      <c r="A1236" s="47"/>
      <c r="B1236" s="47"/>
      <c r="C1236" s="47"/>
      <c r="D1236" s="47"/>
      <c r="E1236" s="47"/>
      <c r="F1236" s="47"/>
      <c r="G1236" s="47"/>
      <c r="H1236" s="47"/>
    </row>
    <row r="1237" spans="1:8">
      <c r="A1237" s="47"/>
      <c r="B1237" s="47"/>
      <c r="C1237" s="47"/>
      <c r="D1237" s="47"/>
      <c r="E1237" s="47"/>
      <c r="F1237" s="47"/>
      <c r="G1237" s="47"/>
      <c r="H1237" s="47"/>
    </row>
    <row r="1238" spans="1:8">
      <c r="A1238" s="47"/>
      <c r="B1238" s="47"/>
      <c r="C1238" s="47"/>
      <c r="D1238" s="47"/>
      <c r="E1238" s="47"/>
      <c r="F1238" s="47"/>
      <c r="G1238" s="47"/>
      <c r="H1238" s="47"/>
    </row>
    <row r="1239" spans="1:8">
      <c r="A1239" s="47"/>
      <c r="B1239" s="47"/>
      <c r="C1239" s="47"/>
      <c r="D1239" s="47"/>
      <c r="E1239" s="47"/>
      <c r="F1239" s="47"/>
      <c r="G1239" s="47"/>
      <c r="H1239" s="47"/>
    </row>
    <row r="1240" spans="1:8">
      <c r="A1240" s="47"/>
      <c r="B1240" s="47"/>
      <c r="C1240" s="47"/>
      <c r="D1240" s="47"/>
      <c r="E1240" s="47"/>
      <c r="F1240" s="47"/>
      <c r="G1240" s="47"/>
      <c r="H1240" s="47"/>
    </row>
    <row r="1241" spans="1:8">
      <c r="A1241" s="47"/>
      <c r="B1241" s="47"/>
      <c r="C1241" s="47"/>
      <c r="D1241" s="47"/>
      <c r="E1241" s="47"/>
      <c r="F1241" s="47"/>
      <c r="G1241" s="47"/>
      <c r="H1241" s="47"/>
    </row>
    <row r="1242" spans="1:8">
      <c r="A1242" s="47"/>
      <c r="B1242" s="47"/>
      <c r="C1242" s="47"/>
      <c r="D1242" s="47"/>
      <c r="E1242" s="47"/>
      <c r="F1242" s="47"/>
      <c r="G1242" s="47"/>
      <c r="H1242" s="47"/>
    </row>
    <row r="1243" spans="1:8">
      <c r="A1243" s="47"/>
      <c r="B1243" s="47"/>
      <c r="C1243" s="47"/>
      <c r="D1243" s="47"/>
      <c r="E1243" s="47"/>
      <c r="F1243" s="47"/>
      <c r="G1243" s="47"/>
      <c r="H1243" s="47"/>
    </row>
    <row r="1244" spans="1:8">
      <c r="A1244" s="47"/>
      <c r="B1244" s="47"/>
      <c r="C1244" s="47"/>
      <c r="D1244" s="47"/>
      <c r="E1244" s="47"/>
      <c r="F1244" s="47"/>
      <c r="G1244" s="47"/>
      <c r="H1244" s="47"/>
    </row>
    <row r="1245" spans="1:8">
      <c r="A1245" s="47"/>
      <c r="B1245" s="47"/>
      <c r="C1245" s="47"/>
      <c r="D1245" s="47"/>
      <c r="E1245" s="47"/>
      <c r="F1245" s="47"/>
      <c r="G1245" s="47"/>
      <c r="H1245" s="47"/>
    </row>
    <row r="1246" spans="1:8">
      <c r="A1246" s="47"/>
      <c r="B1246" s="47"/>
      <c r="C1246" s="47"/>
      <c r="D1246" s="47"/>
      <c r="E1246" s="47"/>
      <c r="F1246" s="47"/>
      <c r="G1246" s="47"/>
      <c r="H1246" s="47"/>
    </row>
    <row r="1247" spans="1:8">
      <c r="A1247" s="47"/>
      <c r="B1247" s="47"/>
      <c r="C1247" s="47"/>
      <c r="D1247" s="47"/>
      <c r="E1247" s="47"/>
      <c r="F1247" s="47"/>
      <c r="G1247" s="47"/>
      <c r="H1247" s="47"/>
    </row>
    <row r="1248" spans="1:8">
      <c r="A1248" s="47"/>
      <c r="B1248" s="47"/>
      <c r="C1248" s="47"/>
      <c r="D1248" s="47"/>
      <c r="E1248" s="47"/>
      <c r="F1248" s="47"/>
      <c r="G1248" s="47"/>
      <c r="H1248" s="47"/>
    </row>
    <row r="1249" spans="1:8">
      <c r="A1249" s="47"/>
      <c r="B1249" s="47"/>
      <c r="C1249" s="47"/>
      <c r="D1249" s="47"/>
      <c r="E1249" s="47"/>
      <c r="F1249" s="47"/>
      <c r="G1249" s="47"/>
      <c r="H1249" s="47"/>
    </row>
    <row r="1250" spans="1:8">
      <c r="A1250" s="47"/>
      <c r="B1250" s="47"/>
      <c r="C1250" s="47"/>
      <c r="D1250" s="47"/>
      <c r="E1250" s="47"/>
      <c r="F1250" s="47"/>
      <c r="G1250" s="47"/>
      <c r="H1250" s="47"/>
    </row>
    <row r="1251" spans="1:8">
      <c r="A1251" s="47"/>
      <c r="B1251" s="47"/>
      <c r="C1251" s="47"/>
      <c r="D1251" s="47"/>
      <c r="E1251" s="47"/>
      <c r="F1251" s="47"/>
      <c r="G1251" s="47"/>
      <c r="H1251" s="47"/>
    </row>
    <row r="1252" spans="1:8">
      <c r="A1252" s="47"/>
      <c r="B1252" s="47"/>
      <c r="C1252" s="47"/>
      <c r="D1252" s="47"/>
      <c r="E1252" s="47"/>
      <c r="F1252" s="47"/>
      <c r="G1252" s="47"/>
      <c r="H1252" s="47"/>
    </row>
    <row r="1253" spans="1:8">
      <c r="A1253" s="47"/>
      <c r="B1253" s="47"/>
      <c r="C1253" s="47"/>
      <c r="D1253" s="47"/>
      <c r="E1253" s="47"/>
      <c r="F1253" s="47"/>
      <c r="G1253" s="47"/>
      <c r="H1253" s="47"/>
    </row>
    <row r="1254" spans="1:8">
      <c r="A1254" s="47"/>
      <c r="B1254" s="47"/>
      <c r="C1254" s="47"/>
      <c r="D1254" s="47"/>
      <c r="E1254" s="47"/>
      <c r="F1254" s="47"/>
      <c r="G1254" s="47"/>
      <c r="H1254" s="47"/>
    </row>
    <row r="1255" spans="1:8">
      <c r="A1255" s="47"/>
      <c r="B1255" s="47"/>
      <c r="C1255" s="47"/>
      <c r="D1255" s="47"/>
      <c r="E1255" s="47"/>
      <c r="F1255" s="47"/>
      <c r="G1255" s="47"/>
      <c r="H1255" s="47"/>
    </row>
    <row r="1256" spans="1:8">
      <c r="A1256" s="47"/>
      <c r="B1256" s="47"/>
      <c r="C1256" s="47"/>
      <c r="D1256" s="47"/>
      <c r="E1256" s="47"/>
      <c r="F1256" s="47"/>
      <c r="G1256" s="47"/>
      <c r="H1256" s="47"/>
    </row>
    <row r="1257" spans="1:8">
      <c r="A1257" s="47"/>
      <c r="B1257" s="47"/>
      <c r="C1257" s="47"/>
      <c r="D1257" s="47"/>
      <c r="E1257" s="47"/>
      <c r="F1257" s="47"/>
      <c r="G1257" s="47"/>
      <c r="H1257" s="47"/>
    </row>
    <row r="1258" spans="1:8">
      <c r="A1258" s="47"/>
      <c r="B1258" s="47"/>
      <c r="C1258" s="47"/>
      <c r="D1258" s="47"/>
      <c r="E1258" s="47"/>
      <c r="F1258" s="47"/>
      <c r="G1258" s="47"/>
      <c r="H1258" s="47"/>
    </row>
    <row r="1259" spans="1:8">
      <c r="A1259" s="47"/>
      <c r="B1259" s="47"/>
      <c r="C1259" s="47"/>
      <c r="D1259" s="47"/>
      <c r="E1259" s="47"/>
      <c r="F1259" s="47"/>
      <c r="G1259" s="47"/>
      <c r="H1259" s="47"/>
    </row>
    <row r="1260" spans="1:8">
      <c r="A1260" s="47"/>
      <c r="B1260" s="47"/>
      <c r="C1260" s="47"/>
      <c r="D1260" s="47"/>
      <c r="E1260" s="47"/>
      <c r="F1260" s="47"/>
      <c r="G1260" s="47"/>
      <c r="H1260" s="47"/>
    </row>
    <row r="1261" spans="1:8">
      <c r="A1261" s="47"/>
      <c r="B1261" s="47"/>
      <c r="C1261" s="47"/>
      <c r="D1261" s="47"/>
      <c r="E1261" s="47"/>
      <c r="F1261" s="47"/>
      <c r="G1261" s="47"/>
      <c r="H1261" s="47"/>
    </row>
    <row r="1262" spans="1:8">
      <c r="A1262" s="47"/>
      <c r="B1262" s="47"/>
      <c r="C1262" s="47"/>
      <c r="D1262" s="47"/>
      <c r="E1262" s="47"/>
      <c r="F1262" s="47"/>
      <c r="G1262" s="47"/>
      <c r="H1262" s="47"/>
    </row>
    <row r="1263" spans="1:8">
      <c r="A1263" s="47"/>
      <c r="B1263" s="47"/>
      <c r="C1263" s="47"/>
      <c r="D1263" s="47"/>
      <c r="E1263" s="47"/>
      <c r="F1263" s="47"/>
      <c r="G1263" s="47"/>
      <c r="H1263" s="47"/>
    </row>
    <row r="1264" spans="1:8">
      <c r="A1264" s="47"/>
      <c r="B1264" s="47"/>
      <c r="C1264" s="47"/>
      <c r="D1264" s="47"/>
      <c r="E1264" s="47"/>
      <c r="F1264" s="47"/>
      <c r="G1264" s="47"/>
      <c r="H1264" s="47"/>
    </row>
    <row r="1265" spans="1:8">
      <c r="A1265" s="47"/>
      <c r="B1265" s="47"/>
      <c r="C1265" s="47"/>
      <c r="D1265" s="47"/>
      <c r="E1265" s="47"/>
      <c r="F1265" s="47"/>
      <c r="G1265" s="47"/>
      <c r="H1265" s="47"/>
    </row>
    <row r="1266" spans="1:8">
      <c r="A1266" s="47"/>
      <c r="B1266" s="47"/>
      <c r="C1266" s="47"/>
      <c r="D1266" s="47"/>
      <c r="E1266" s="47"/>
      <c r="F1266" s="47"/>
      <c r="G1266" s="47"/>
      <c r="H1266" s="47"/>
    </row>
    <row r="1267" spans="1:8">
      <c r="A1267" s="47"/>
      <c r="B1267" s="47"/>
      <c r="C1267" s="47"/>
      <c r="D1267" s="47"/>
      <c r="E1267" s="47"/>
      <c r="F1267" s="47"/>
      <c r="G1267" s="47"/>
      <c r="H1267" s="47"/>
    </row>
    <row r="1268" spans="1:8">
      <c r="A1268" s="47"/>
      <c r="B1268" s="47"/>
      <c r="C1268" s="47"/>
      <c r="D1268" s="47"/>
      <c r="E1268" s="47"/>
      <c r="F1268" s="47"/>
      <c r="G1268" s="47"/>
      <c r="H1268" s="47"/>
    </row>
    <row r="1269" spans="1:8">
      <c r="A1269" s="47"/>
      <c r="B1269" s="47"/>
      <c r="C1269" s="47"/>
      <c r="D1269" s="47"/>
      <c r="E1269" s="47"/>
      <c r="F1269" s="47"/>
      <c r="G1269" s="47"/>
      <c r="H1269" s="47"/>
    </row>
    <row r="1270" spans="1:8">
      <c r="A1270" s="47"/>
      <c r="B1270" s="47"/>
      <c r="C1270" s="47"/>
      <c r="D1270" s="47"/>
      <c r="E1270" s="47"/>
      <c r="F1270" s="47"/>
      <c r="G1270" s="47"/>
      <c r="H1270" s="47"/>
    </row>
    <row r="1271" spans="1:8">
      <c r="A1271" s="47"/>
      <c r="B1271" s="47"/>
      <c r="C1271" s="47"/>
      <c r="D1271" s="47"/>
      <c r="E1271" s="47"/>
      <c r="F1271" s="47"/>
      <c r="G1271" s="47"/>
      <c r="H1271" s="47"/>
    </row>
    <row r="1272" spans="1:8">
      <c r="A1272" s="47"/>
      <c r="B1272" s="47"/>
      <c r="C1272" s="47"/>
      <c r="D1272" s="47"/>
      <c r="E1272" s="47"/>
      <c r="F1272" s="47"/>
      <c r="G1272" s="47"/>
      <c r="H1272" s="47"/>
    </row>
    <row r="1273" spans="1:8">
      <c r="A1273" s="47"/>
      <c r="B1273" s="47"/>
      <c r="C1273" s="47"/>
      <c r="D1273" s="47"/>
      <c r="E1273" s="47"/>
      <c r="F1273" s="47"/>
      <c r="G1273" s="47"/>
      <c r="H1273" s="47"/>
    </row>
    <row r="1274" spans="1:8">
      <c r="A1274" s="47"/>
      <c r="B1274" s="47"/>
      <c r="C1274" s="47"/>
      <c r="D1274" s="47"/>
      <c r="E1274" s="47"/>
      <c r="F1274" s="47"/>
      <c r="G1274" s="47"/>
      <c r="H1274" s="47"/>
    </row>
    <row r="1275" spans="1:8">
      <c r="A1275" s="47"/>
      <c r="B1275" s="47"/>
      <c r="C1275" s="47"/>
      <c r="D1275" s="47"/>
      <c r="E1275" s="47"/>
      <c r="F1275" s="47"/>
      <c r="G1275" s="47"/>
      <c r="H1275" s="47"/>
    </row>
    <row r="1276" spans="1:8">
      <c r="A1276" s="47"/>
      <c r="B1276" s="47"/>
      <c r="C1276" s="47"/>
      <c r="D1276" s="47"/>
      <c r="E1276" s="47"/>
      <c r="F1276" s="47"/>
      <c r="G1276" s="47"/>
      <c r="H1276" s="47"/>
    </row>
    <row r="1277" spans="1:8">
      <c r="A1277" s="47"/>
      <c r="B1277" s="47"/>
      <c r="C1277" s="47"/>
      <c r="D1277" s="47"/>
      <c r="E1277" s="47"/>
      <c r="F1277" s="47"/>
      <c r="G1277" s="47"/>
      <c r="H1277" s="47"/>
    </row>
    <row r="1278" spans="1:8">
      <c r="A1278" s="47"/>
      <c r="B1278" s="47"/>
      <c r="C1278" s="47"/>
      <c r="D1278" s="47"/>
      <c r="E1278" s="47"/>
      <c r="F1278" s="47"/>
      <c r="G1278" s="47"/>
      <c r="H1278" s="47"/>
    </row>
    <row r="1279" spans="1:8">
      <c r="A1279" s="47"/>
      <c r="B1279" s="47"/>
      <c r="C1279" s="47"/>
      <c r="D1279" s="47"/>
      <c r="E1279" s="47"/>
      <c r="F1279" s="47"/>
      <c r="G1279" s="47"/>
      <c r="H1279" s="47"/>
    </row>
    <row r="1280" spans="1:8">
      <c r="A1280" s="47"/>
      <c r="B1280" s="47"/>
      <c r="C1280" s="47"/>
      <c r="D1280" s="47"/>
      <c r="E1280" s="47"/>
      <c r="F1280" s="47"/>
      <c r="G1280" s="47"/>
      <c r="H1280" s="47"/>
    </row>
    <row r="1281" spans="1:8">
      <c r="A1281" s="47"/>
      <c r="B1281" s="47"/>
      <c r="C1281" s="47"/>
      <c r="D1281" s="47"/>
      <c r="E1281" s="47"/>
      <c r="F1281" s="47"/>
      <c r="G1281" s="47"/>
      <c r="H1281" s="47"/>
    </row>
    <row r="1282" spans="1:8">
      <c r="A1282" s="47"/>
      <c r="B1282" s="47"/>
      <c r="C1282" s="47"/>
      <c r="D1282" s="47"/>
      <c r="E1282" s="47"/>
      <c r="F1282" s="47"/>
      <c r="G1282" s="47"/>
      <c r="H1282" s="47"/>
    </row>
    <row r="1283" spans="1:8">
      <c r="A1283" s="47"/>
      <c r="B1283" s="47"/>
      <c r="C1283" s="47"/>
      <c r="D1283" s="47"/>
      <c r="E1283" s="47"/>
      <c r="F1283" s="47"/>
      <c r="G1283" s="47"/>
      <c r="H1283" s="47"/>
    </row>
    <row r="1284" spans="1:8">
      <c r="A1284" s="47"/>
      <c r="B1284" s="47"/>
      <c r="C1284" s="47"/>
      <c r="D1284" s="47"/>
      <c r="E1284" s="47"/>
      <c r="F1284" s="47"/>
      <c r="G1284" s="47"/>
      <c r="H1284" s="47"/>
    </row>
    <row r="1285" spans="1:8">
      <c r="A1285" s="47"/>
      <c r="B1285" s="47"/>
      <c r="C1285" s="47"/>
      <c r="D1285" s="47"/>
      <c r="E1285" s="47"/>
      <c r="F1285" s="47"/>
      <c r="G1285" s="47"/>
      <c r="H1285" s="47"/>
    </row>
    <row r="1286" spans="1:8">
      <c r="A1286" s="47"/>
      <c r="B1286" s="47"/>
      <c r="C1286" s="47"/>
      <c r="D1286" s="47"/>
      <c r="E1286" s="47"/>
      <c r="F1286" s="47"/>
      <c r="G1286" s="47"/>
      <c r="H1286" s="47"/>
    </row>
    <row r="1287" spans="1:8">
      <c r="A1287" s="47"/>
      <c r="B1287" s="47"/>
      <c r="C1287" s="47"/>
      <c r="D1287" s="47"/>
      <c r="E1287" s="47"/>
      <c r="F1287" s="47"/>
      <c r="G1287" s="47"/>
      <c r="H1287" s="47"/>
    </row>
    <row r="1288" spans="1:8">
      <c r="A1288" s="47"/>
      <c r="B1288" s="47"/>
      <c r="C1288" s="47"/>
      <c r="D1288" s="47"/>
      <c r="E1288" s="47"/>
      <c r="F1288" s="47"/>
      <c r="G1288" s="47"/>
      <c r="H1288" s="47"/>
    </row>
    <row r="1289" spans="1:8">
      <c r="A1289" s="47"/>
      <c r="B1289" s="47"/>
      <c r="C1289" s="47"/>
      <c r="D1289" s="47"/>
      <c r="E1289" s="47"/>
      <c r="F1289" s="47"/>
      <c r="G1289" s="47"/>
      <c r="H1289" s="47"/>
    </row>
    <row r="1290" spans="1:8">
      <c r="A1290" s="47"/>
      <c r="B1290" s="47"/>
      <c r="C1290" s="47"/>
      <c r="D1290" s="47"/>
      <c r="E1290" s="47"/>
      <c r="F1290" s="47"/>
      <c r="G1290" s="47"/>
      <c r="H1290" s="47"/>
    </row>
    <row r="1291" spans="1:8">
      <c r="A1291" s="47"/>
      <c r="B1291" s="47"/>
      <c r="C1291" s="47"/>
      <c r="D1291" s="47"/>
      <c r="E1291" s="47"/>
      <c r="F1291" s="47"/>
      <c r="G1291" s="47"/>
      <c r="H1291" s="47"/>
    </row>
    <row r="1292" spans="1:8">
      <c r="A1292" s="47"/>
      <c r="B1292" s="47"/>
      <c r="C1292" s="47"/>
      <c r="D1292" s="47"/>
      <c r="E1292" s="47"/>
      <c r="F1292" s="47"/>
      <c r="G1292" s="47"/>
      <c r="H1292" s="47"/>
    </row>
    <row r="1293" spans="1:8">
      <c r="A1293" s="47"/>
      <c r="B1293" s="47"/>
      <c r="C1293" s="47"/>
      <c r="D1293" s="47"/>
      <c r="E1293" s="47"/>
      <c r="F1293" s="47"/>
      <c r="G1293" s="47"/>
      <c r="H1293" s="47"/>
    </row>
    <row r="1294" spans="1:8">
      <c r="A1294" s="47"/>
      <c r="B1294" s="47"/>
      <c r="C1294" s="47"/>
      <c r="D1294" s="47"/>
      <c r="E1294" s="47"/>
      <c r="F1294" s="47"/>
      <c r="G1294" s="47"/>
      <c r="H1294" s="47"/>
    </row>
    <row r="1295" spans="1:8">
      <c r="A1295" s="47"/>
      <c r="B1295" s="47"/>
      <c r="C1295" s="47"/>
      <c r="D1295" s="47"/>
      <c r="E1295" s="47"/>
      <c r="F1295" s="47"/>
      <c r="G1295" s="47"/>
      <c r="H1295" s="47"/>
    </row>
    <row r="1296" spans="1:8">
      <c r="A1296" s="47"/>
      <c r="B1296" s="47"/>
      <c r="C1296" s="47"/>
      <c r="D1296" s="47"/>
      <c r="E1296" s="47"/>
      <c r="F1296" s="47"/>
      <c r="G1296" s="47"/>
      <c r="H1296" s="47"/>
    </row>
    <row r="1297" spans="1:8">
      <c r="A1297" s="47"/>
      <c r="B1297" s="47"/>
      <c r="C1297" s="47"/>
      <c r="D1297" s="47"/>
      <c r="E1297" s="47"/>
      <c r="F1297" s="47"/>
      <c r="G1297" s="47"/>
      <c r="H1297" s="47"/>
    </row>
    <row r="1298" spans="1:8">
      <c r="A1298" s="47"/>
      <c r="B1298" s="47"/>
      <c r="C1298" s="47"/>
      <c r="D1298" s="47"/>
      <c r="E1298" s="47"/>
      <c r="F1298" s="47"/>
      <c r="G1298" s="47"/>
      <c r="H1298" s="47"/>
    </row>
    <row r="1299" spans="1:8">
      <c r="A1299" s="47"/>
      <c r="B1299" s="47"/>
      <c r="C1299" s="47"/>
      <c r="D1299" s="47"/>
      <c r="E1299" s="47"/>
      <c r="F1299" s="47"/>
      <c r="G1299" s="47"/>
      <c r="H1299" s="47"/>
    </row>
    <row r="1300" spans="1:8">
      <c r="A1300" s="47"/>
      <c r="B1300" s="47"/>
      <c r="C1300" s="47"/>
      <c r="D1300" s="47"/>
      <c r="E1300" s="47"/>
      <c r="F1300" s="47"/>
      <c r="G1300" s="47"/>
      <c r="H1300" s="47"/>
    </row>
    <row r="1301" spans="1:8">
      <c r="A1301" s="47"/>
      <c r="B1301" s="47"/>
      <c r="C1301" s="47"/>
      <c r="D1301" s="47"/>
      <c r="E1301" s="47"/>
      <c r="F1301" s="47"/>
      <c r="G1301" s="47"/>
      <c r="H1301" s="47"/>
    </row>
    <row r="1302" spans="1:8">
      <c r="A1302" s="47"/>
      <c r="B1302" s="47"/>
      <c r="C1302" s="47"/>
      <c r="D1302" s="47"/>
      <c r="E1302" s="47"/>
      <c r="F1302" s="47"/>
      <c r="G1302" s="47"/>
      <c r="H1302" s="47"/>
    </row>
    <row r="1303" spans="1:8">
      <c r="A1303" s="47"/>
      <c r="B1303" s="47"/>
      <c r="C1303" s="47"/>
      <c r="D1303" s="47"/>
      <c r="E1303" s="47"/>
      <c r="F1303" s="47"/>
      <c r="G1303" s="47"/>
      <c r="H1303" s="47"/>
    </row>
    <row r="1304" spans="1:8">
      <c r="A1304" s="47"/>
      <c r="B1304" s="47"/>
      <c r="C1304" s="47"/>
      <c r="D1304" s="47"/>
      <c r="E1304" s="47"/>
      <c r="F1304" s="47"/>
      <c r="G1304" s="47"/>
      <c r="H1304" s="47"/>
    </row>
    <row r="1305" spans="1:8">
      <c r="A1305" s="47"/>
      <c r="B1305" s="47"/>
      <c r="C1305" s="47"/>
      <c r="D1305" s="47"/>
      <c r="E1305" s="47"/>
      <c r="F1305" s="47"/>
      <c r="G1305" s="47"/>
      <c r="H1305" s="47"/>
    </row>
    <row r="1306" spans="1:8">
      <c r="A1306" s="47"/>
      <c r="B1306" s="47"/>
      <c r="C1306" s="47"/>
      <c r="D1306" s="47"/>
      <c r="E1306" s="47"/>
      <c r="F1306" s="47"/>
      <c r="G1306" s="47"/>
      <c r="H1306" s="47"/>
    </row>
    <row r="1307" spans="1:8">
      <c r="A1307" s="47"/>
      <c r="B1307" s="47"/>
      <c r="C1307" s="47"/>
      <c r="D1307" s="47"/>
      <c r="E1307" s="47"/>
      <c r="F1307" s="47"/>
      <c r="G1307" s="47"/>
      <c r="H1307" s="47"/>
    </row>
    <row r="1308" spans="1:8">
      <c r="A1308" s="47"/>
      <c r="B1308" s="47"/>
      <c r="C1308" s="47"/>
      <c r="D1308" s="47"/>
      <c r="E1308" s="47"/>
      <c r="F1308" s="47"/>
      <c r="G1308" s="47"/>
      <c r="H1308" s="47"/>
    </row>
    <row r="1309" spans="1:8">
      <c r="A1309" s="47"/>
      <c r="B1309" s="47"/>
      <c r="C1309" s="47"/>
      <c r="D1309" s="47"/>
      <c r="E1309" s="47"/>
      <c r="F1309" s="47"/>
      <c r="G1309" s="47"/>
      <c r="H1309" s="47"/>
    </row>
    <row r="1310" spans="1:8">
      <c r="A1310" s="47"/>
      <c r="B1310" s="47"/>
      <c r="C1310" s="47"/>
      <c r="D1310" s="47"/>
      <c r="E1310" s="47"/>
      <c r="F1310" s="47"/>
      <c r="G1310" s="47"/>
      <c r="H1310" s="47"/>
    </row>
    <row r="1311" spans="1:8">
      <c r="A1311" s="47"/>
      <c r="B1311" s="47"/>
      <c r="C1311" s="47"/>
      <c r="D1311" s="47"/>
      <c r="E1311" s="47"/>
      <c r="F1311" s="47"/>
      <c r="G1311" s="47"/>
      <c r="H1311" s="47"/>
    </row>
    <row r="1312" spans="1:8">
      <c r="A1312" s="47"/>
      <c r="B1312" s="47"/>
      <c r="C1312" s="47"/>
      <c r="D1312" s="47"/>
      <c r="E1312" s="47"/>
      <c r="F1312" s="47"/>
      <c r="G1312" s="47"/>
      <c r="H1312" s="47"/>
    </row>
    <row r="1313" spans="1:8">
      <c r="A1313" s="47"/>
      <c r="B1313" s="47"/>
      <c r="C1313" s="47"/>
      <c r="D1313" s="47"/>
      <c r="E1313" s="47"/>
      <c r="F1313" s="47"/>
      <c r="G1313" s="47"/>
      <c r="H1313" s="47"/>
    </row>
    <row r="1314" spans="1:8">
      <c r="A1314" s="47"/>
      <c r="B1314" s="47"/>
      <c r="C1314" s="47"/>
      <c r="D1314" s="47"/>
      <c r="E1314" s="47"/>
      <c r="F1314" s="47"/>
      <c r="G1314" s="47"/>
      <c r="H1314" s="47"/>
    </row>
    <row r="1315" spans="1:8">
      <c r="A1315" s="47"/>
      <c r="B1315" s="47"/>
      <c r="C1315" s="47"/>
      <c r="D1315" s="47"/>
      <c r="E1315" s="47"/>
      <c r="F1315" s="47"/>
      <c r="G1315" s="47"/>
      <c r="H1315" s="47"/>
    </row>
    <row r="1316" spans="1:8">
      <c r="A1316" s="47"/>
      <c r="B1316" s="47"/>
      <c r="C1316" s="47"/>
      <c r="D1316" s="47"/>
      <c r="E1316" s="47"/>
      <c r="F1316" s="47"/>
      <c r="G1316" s="47"/>
      <c r="H1316" s="47"/>
    </row>
    <row r="1317" spans="1:8">
      <c r="A1317" s="47"/>
      <c r="B1317" s="47"/>
      <c r="C1317" s="47"/>
      <c r="D1317" s="47"/>
      <c r="E1317" s="47"/>
      <c r="F1317" s="47"/>
      <c r="G1317" s="47"/>
      <c r="H1317" s="47"/>
    </row>
    <row r="1318" spans="1:8">
      <c r="A1318" s="47"/>
      <c r="B1318" s="47"/>
      <c r="C1318" s="47"/>
      <c r="D1318" s="47"/>
      <c r="E1318" s="47"/>
      <c r="F1318" s="47"/>
      <c r="G1318" s="47"/>
      <c r="H1318" s="47"/>
    </row>
    <row r="1319" spans="1:8">
      <c r="A1319" s="47"/>
      <c r="B1319" s="47"/>
      <c r="C1319" s="47"/>
      <c r="D1319" s="47"/>
      <c r="E1319" s="47"/>
      <c r="F1319" s="47"/>
      <c r="G1319" s="47"/>
      <c r="H1319" s="47"/>
    </row>
    <row r="1320" spans="1:8">
      <c r="A1320" s="47"/>
      <c r="B1320" s="47"/>
      <c r="C1320" s="47"/>
      <c r="D1320" s="47"/>
      <c r="E1320" s="47"/>
      <c r="F1320" s="47"/>
      <c r="G1320" s="47"/>
      <c r="H1320" s="47"/>
    </row>
    <row r="1321" spans="1:8">
      <c r="A1321" s="47"/>
      <c r="B1321" s="47"/>
      <c r="C1321" s="47"/>
      <c r="D1321" s="47"/>
      <c r="E1321" s="47"/>
      <c r="F1321" s="47"/>
      <c r="G1321" s="47"/>
      <c r="H1321" s="47"/>
    </row>
    <row r="1322" spans="1:8">
      <c r="A1322" s="47"/>
      <c r="B1322" s="47"/>
      <c r="C1322" s="47"/>
      <c r="D1322" s="47"/>
      <c r="E1322" s="47"/>
      <c r="F1322" s="47"/>
      <c r="G1322" s="47"/>
      <c r="H1322" s="47"/>
    </row>
    <row r="1323" spans="1:8">
      <c r="A1323" s="47"/>
      <c r="B1323" s="47"/>
      <c r="C1323" s="47"/>
      <c r="D1323" s="47"/>
      <c r="E1323" s="47"/>
      <c r="F1323" s="47"/>
      <c r="G1323" s="47"/>
      <c r="H1323" s="47"/>
    </row>
    <row r="1324" spans="1:8">
      <c r="A1324" s="47"/>
      <c r="B1324" s="47"/>
      <c r="C1324" s="47"/>
      <c r="D1324" s="47"/>
      <c r="E1324" s="47"/>
      <c r="F1324" s="47"/>
      <c r="G1324" s="47"/>
      <c r="H1324" s="47"/>
    </row>
    <row r="1325" spans="1:8">
      <c r="A1325" s="47"/>
      <c r="B1325" s="47"/>
      <c r="C1325" s="47"/>
      <c r="D1325" s="47"/>
      <c r="E1325" s="47"/>
      <c r="F1325" s="47"/>
      <c r="G1325" s="47"/>
      <c r="H1325" s="47"/>
    </row>
    <row r="1326" spans="1:8">
      <c r="A1326" s="47"/>
      <c r="B1326" s="47"/>
      <c r="C1326" s="47"/>
      <c r="D1326" s="47"/>
      <c r="E1326" s="47"/>
      <c r="F1326" s="47"/>
      <c r="G1326" s="47"/>
      <c r="H1326" s="47"/>
    </row>
    <row r="1327" spans="1:8">
      <c r="A1327" s="47"/>
      <c r="B1327" s="47"/>
      <c r="C1327" s="47"/>
      <c r="D1327" s="47"/>
      <c r="E1327" s="47"/>
      <c r="F1327" s="47"/>
      <c r="G1327" s="47"/>
      <c r="H1327" s="47"/>
    </row>
    <row r="1328" spans="1:8">
      <c r="A1328" s="47"/>
      <c r="B1328" s="47"/>
      <c r="C1328" s="47"/>
      <c r="D1328" s="47"/>
      <c r="E1328" s="47"/>
      <c r="F1328" s="47"/>
      <c r="G1328" s="47"/>
      <c r="H1328" s="47"/>
    </row>
    <row r="1329" spans="1:8">
      <c r="A1329" s="47"/>
      <c r="B1329" s="47"/>
      <c r="C1329" s="47"/>
      <c r="D1329" s="47"/>
      <c r="E1329" s="47"/>
      <c r="F1329" s="47"/>
      <c r="G1329" s="47"/>
      <c r="H1329" s="47"/>
    </row>
    <row r="1330" spans="1:8">
      <c r="A1330" s="47"/>
      <c r="B1330" s="47"/>
      <c r="C1330" s="47"/>
      <c r="D1330" s="47"/>
      <c r="E1330" s="47"/>
      <c r="F1330" s="47"/>
      <c r="G1330" s="47"/>
      <c r="H1330" s="47"/>
    </row>
    <row r="1331" spans="1:8">
      <c r="A1331" s="47"/>
      <c r="B1331" s="47"/>
      <c r="C1331" s="47"/>
      <c r="D1331" s="47"/>
      <c r="E1331" s="47"/>
      <c r="F1331" s="47"/>
      <c r="G1331" s="47"/>
      <c r="H1331" s="47"/>
    </row>
    <row r="1332" spans="1:8">
      <c r="A1332" s="47"/>
      <c r="B1332" s="47"/>
      <c r="C1332" s="47"/>
      <c r="D1332" s="47"/>
      <c r="E1332" s="47"/>
      <c r="F1332" s="47"/>
      <c r="G1332" s="47"/>
      <c r="H1332" s="47"/>
    </row>
    <row r="1333" spans="1:8">
      <c r="A1333" s="47"/>
      <c r="B1333" s="47"/>
      <c r="C1333" s="47"/>
      <c r="D1333" s="47"/>
      <c r="E1333" s="47"/>
      <c r="F1333" s="47"/>
      <c r="G1333" s="47"/>
      <c r="H1333" s="47"/>
    </row>
    <row r="1334" spans="1:8">
      <c r="A1334" s="47"/>
      <c r="B1334" s="47"/>
      <c r="C1334" s="47"/>
      <c r="D1334" s="47"/>
      <c r="E1334" s="47"/>
      <c r="F1334" s="47"/>
      <c r="G1334" s="47"/>
      <c r="H1334" s="47"/>
    </row>
    <row r="1335" spans="1:8">
      <c r="A1335" s="47"/>
      <c r="B1335" s="47"/>
      <c r="C1335" s="47"/>
      <c r="D1335" s="47"/>
      <c r="E1335" s="47"/>
      <c r="F1335" s="47"/>
      <c r="G1335" s="47"/>
      <c r="H1335" s="47"/>
    </row>
    <row r="1336" spans="1:8">
      <c r="A1336" s="47"/>
      <c r="B1336" s="47"/>
      <c r="C1336" s="47"/>
      <c r="D1336" s="47"/>
      <c r="E1336" s="47"/>
      <c r="F1336" s="47"/>
      <c r="G1336" s="47"/>
      <c r="H1336" s="47"/>
    </row>
    <row r="1337" spans="1:8">
      <c r="A1337" s="47"/>
      <c r="B1337" s="47"/>
      <c r="C1337" s="47"/>
      <c r="D1337" s="47"/>
      <c r="E1337" s="47"/>
      <c r="F1337" s="47"/>
      <c r="G1337" s="47"/>
      <c r="H1337" s="47"/>
    </row>
    <row r="1338" spans="1:8">
      <c r="A1338" s="47"/>
      <c r="B1338" s="47"/>
      <c r="C1338" s="47"/>
      <c r="D1338" s="47"/>
      <c r="E1338" s="47"/>
      <c r="F1338" s="47"/>
      <c r="G1338" s="47"/>
      <c r="H1338" s="47"/>
    </row>
    <row r="1339" spans="1:8">
      <c r="A1339" s="47"/>
      <c r="B1339" s="47"/>
      <c r="C1339" s="47"/>
      <c r="D1339" s="47"/>
      <c r="E1339" s="47"/>
      <c r="F1339" s="47"/>
      <c r="G1339" s="47"/>
      <c r="H1339" s="47"/>
    </row>
    <row r="1340" spans="1:8">
      <c r="A1340" s="47"/>
      <c r="B1340" s="47"/>
      <c r="C1340" s="47"/>
      <c r="D1340" s="47"/>
      <c r="E1340" s="47"/>
      <c r="F1340" s="47"/>
      <c r="G1340" s="47"/>
      <c r="H1340" s="47"/>
    </row>
    <row r="1341" spans="1:8">
      <c r="A1341" s="47"/>
      <c r="B1341" s="47"/>
      <c r="C1341" s="47"/>
      <c r="D1341" s="47"/>
      <c r="E1341" s="47"/>
      <c r="F1341" s="47"/>
      <c r="G1341" s="47"/>
      <c r="H1341" s="47"/>
    </row>
    <row r="1342" spans="1:8">
      <c r="A1342" s="47"/>
      <c r="B1342" s="47"/>
      <c r="C1342" s="47"/>
      <c r="D1342" s="47"/>
      <c r="E1342" s="47"/>
      <c r="F1342" s="47"/>
      <c r="G1342" s="47"/>
      <c r="H1342" s="47"/>
    </row>
    <row r="1343" spans="1:8">
      <c r="A1343" s="47"/>
      <c r="B1343" s="47"/>
      <c r="C1343" s="47"/>
      <c r="D1343" s="47"/>
      <c r="E1343" s="47"/>
      <c r="F1343" s="47"/>
      <c r="G1343" s="47"/>
      <c r="H1343" s="47"/>
    </row>
    <row r="1344" spans="1:8">
      <c r="A1344" s="47"/>
      <c r="B1344" s="47"/>
      <c r="C1344" s="47"/>
      <c r="D1344" s="47"/>
      <c r="E1344" s="47"/>
      <c r="F1344" s="47"/>
      <c r="G1344" s="47"/>
      <c r="H1344" s="47"/>
    </row>
    <row r="1345" spans="1:8">
      <c r="A1345" s="47"/>
      <c r="B1345" s="47"/>
      <c r="C1345" s="47"/>
      <c r="D1345" s="47"/>
      <c r="E1345" s="47"/>
      <c r="F1345" s="47"/>
      <c r="G1345" s="47"/>
      <c r="H1345" s="47"/>
    </row>
    <row r="1346" spans="1:8">
      <c r="A1346" s="47"/>
      <c r="B1346" s="47"/>
      <c r="C1346" s="47"/>
      <c r="D1346" s="47"/>
      <c r="E1346" s="47"/>
      <c r="F1346" s="47"/>
      <c r="G1346" s="47"/>
      <c r="H1346" s="47"/>
    </row>
    <row r="1347" spans="1:8">
      <c r="A1347" s="47"/>
      <c r="B1347" s="47"/>
      <c r="C1347" s="47"/>
      <c r="D1347" s="47"/>
      <c r="E1347" s="47"/>
      <c r="F1347" s="47"/>
      <c r="G1347" s="47"/>
      <c r="H1347" s="47"/>
    </row>
    <row r="1348" spans="1:8">
      <c r="A1348" s="47"/>
      <c r="B1348" s="47"/>
      <c r="C1348" s="47"/>
      <c r="D1348" s="47"/>
      <c r="E1348" s="47"/>
      <c r="F1348" s="47"/>
      <c r="G1348" s="47"/>
      <c r="H1348" s="47"/>
    </row>
    <row r="1349" spans="1:8">
      <c r="A1349" s="47"/>
      <c r="B1349" s="47"/>
      <c r="C1349" s="47"/>
      <c r="D1349" s="47"/>
      <c r="E1349" s="47"/>
      <c r="F1349" s="47"/>
      <c r="G1349" s="47"/>
      <c r="H1349" s="47"/>
    </row>
    <row r="1350" spans="1:8">
      <c r="A1350" s="47"/>
      <c r="B1350" s="47"/>
      <c r="C1350" s="47"/>
      <c r="D1350" s="47"/>
      <c r="E1350" s="47"/>
      <c r="F1350" s="47"/>
      <c r="G1350" s="47"/>
      <c r="H1350" s="47"/>
    </row>
    <row r="1351" spans="1:8">
      <c r="A1351" s="47"/>
      <c r="B1351" s="47"/>
      <c r="C1351" s="47"/>
      <c r="D1351" s="47"/>
      <c r="E1351" s="47"/>
      <c r="F1351" s="47"/>
      <c r="G1351" s="47"/>
      <c r="H1351" s="47"/>
    </row>
    <row r="1352" spans="1:8">
      <c r="A1352" s="47"/>
      <c r="B1352" s="47"/>
      <c r="C1352" s="47"/>
      <c r="D1352" s="47"/>
      <c r="E1352" s="47"/>
      <c r="F1352" s="47"/>
      <c r="G1352" s="47"/>
      <c r="H1352" s="47"/>
    </row>
    <row r="1353" spans="1:8">
      <c r="A1353" s="47"/>
      <c r="B1353" s="47"/>
      <c r="C1353" s="47"/>
      <c r="D1353" s="47"/>
      <c r="E1353" s="47"/>
      <c r="F1353" s="47"/>
      <c r="G1353" s="47"/>
      <c r="H1353" s="47"/>
    </row>
    <row r="1354" spans="1:8">
      <c r="A1354" s="47"/>
      <c r="B1354" s="47"/>
      <c r="C1354" s="47"/>
      <c r="D1354" s="47"/>
      <c r="E1354" s="47"/>
      <c r="F1354" s="47"/>
      <c r="G1354" s="47"/>
      <c r="H1354" s="47"/>
    </row>
    <row r="1355" spans="1:8">
      <c r="A1355" s="47"/>
      <c r="B1355" s="47"/>
      <c r="C1355" s="47"/>
      <c r="D1355" s="47"/>
      <c r="E1355" s="47"/>
      <c r="F1355" s="47"/>
      <c r="G1355" s="47"/>
      <c r="H1355" s="47"/>
    </row>
    <row r="1356" spans="1:8">
      <c r="A1356" s="47"/>
      <c r="B1356" s="47"/>
      <c r="C1356" s="47"/>
      <c r="D1356" s="47"/>
      <c r="E1356" s="47"/>
      <c r="F1356" s="47"/>
      <c r="G1356" s="47"/>
      <c r="H1356" s="47"/>
    </row>
    <row r="1357" spans="1:8">
      <c r="A1357" s="47"/>
      <c r="B1357" s="47"/>
      <c r="C1357" s="47"/>
      <c r="D1357" s="47"/>
      <c r="E1357" s="47"/>
      <c r="F1357" s="47"/>
      <c r="G1357" s="47"/>
      <c r="H1357" s="47"/>
    </row>
    <row r="1358" spans="1:8">
      <c r="A1358" s="47"/>
      <c r="B1358" s="47"/>
      <c r="C1358" s="47"/>
      <c r="D1358" s="47"/>
      <c r="E1358" s="47"/>
      <c r="F1358" s="47"/>
      <c r="G1358" s="47"/>
      <c r="H1358" s="47"/>
    </row>
    <row r="1359" spans="1:8">
      <c r="A1359" s="47"/>
      <c r="B1359" s="47"/>
      <c r="C1359" s="47"/>
      <c r="D1359" s="47"/>
      <c r="E1359" s="47"/>
      <c r="F1359" s="47"/>
      <c r="G1359" s="47"/>
      <c r="H1359" s="47"/>
    </row>
    <row r="1360" spans="1:8">
      <c r="A1360" s="47"/>
      <c r="B1360" s="47"/>
      <c r="C1360" s="47"/>
      <c r="D1360" s="47"/>
      <c r="E1360" s="47"/>
      <c r="F1360" s="47"/>
      <c r="G1360" s="47"/>
      <c r="H1360" s="47"/>
    </row>
    <row r="1361" spans="1:8">
      <c r="A1361" s="47"/>
      <c r="B1361" s="47"/>
      <c r="C1361" s="47"/>
      <c r="D1361" s="47"/>
      <c r="E1361" s="47"/>
      <c r="F1361" s="47"/>
      <c r="G1361" s="47"/>
      <c r="H1361" s="47"/>
    </row>
    <row r="1362" spans="1:8">
      <c r="A1362" s="47"/>
      <c r="B1362" s="47"/>
      <c r="C1362" s="47"/>
      <c r="D1362" s="47"/>
      <c r="E1362" s="47"/>
      <c r="F1362" s="47"/>
      <c r="G1362" s="47"/>
      <c r="H1362" s="47"/>
    </row>
    <row r="1363" spans="1:8">
      <c r="A1363" s="47"/>
      <c r="B1363" s="47"/>
      <c r="C1363" s="47"/>
      <c r="D1363" s="47"/>
      <c r="E1363" s="47"/>
      <c r="F1363" s="47"/>
      <c r="G1363" s="47"/>
      <c r="H1363" s="47"/>
    </row>
    <row r="1364" spans="1:8">
      <c r="A1364" s="47"/>
      <c r="B1364" s="47"/>
      <c r="C1364" s="47"/>
      <c r="D1364" s="47"/>
      <c r="E1364" s="47"/>
      <c r="F1364" s="47"/>
      <c r="G1364" s="47"/>
      <c r="H1364" s="47"/>
    </row>
    <row r="1365" spans="1:8">
      <c r="A1365" s="47"/>
      <c r="B1365" s="47"/>
      <c r="C1365" s="47"/>
      <c r="D1365" s="47"/>
      <c r="E1365" s="47"/>
      <c r="F1365" s="47"/>
      <c r="G1365" s="47"/>
      <c r="H1365" s="47"/>
    </row>
    <row r="1366" spans="1:8">
      <c r="A1366" s="47"/>
      <c r="B1366" s="47"/>
      <c r="C1366" s="47"/>
      <c r="D1366" s="47"/>
      <c r="E1366" s="47"/>
      <c r="F1366" s="47"/>
      <c r="G1366" s="47"/>
      <c r="H1366" s="47"/>
    </row>
    <row r="1367" spans="1:8">
      <c r="A1367" s="47"/>
      <c r="B1367" s="47"/>
      <c r="C1367" s="47"/>
      <c r="D1367" s="47"/>
      <c r="E1367" s="47"/>
      <c r="F1367" s="47"/>
      <c r="G1367" s="47"/>
      <c r="H1367" s="47"/>
    </row>
    <row r="1368" spans="1:8">
      <c r="A1368" s="47"/>
      <c r="B1368" s="47"/>
      <c r="C1368" s="47"/>
      <c r="D1368" s="47"/>
      <c r="E1368" s="47"/>
      <c r="F1368" s="47"/>
      <c r="G1368" s="47"/>
      <c r="H1368" s="47"/>
    </row>
    <row r="1369" spans="1:8">
      <c r="A1369" s="47"/>
      <c r="B1369" s="47"/>
      <c r="C1369" s="47"/>
      <c r="D1369" s="47"/>
      <c r="E1369" s="47"/>
      <c r="F1369" s="47"/>
      <c r="G1369" s="47"/>
      <c r="H1369" s="47"/>
    </row>
    <row r="1370" spans="1:8">
      <c r="A1370" s="47"/>
      <c r="B1370" s="47"/>
      <c r="C1370" s="47"/>
      <c r="D1370" s="47"/>
      <c r="E1370" s="47"/>
      <c r="F1370" s="47"/>
      <c r="G1370" s="47"/>
      <c r="H1370" s="47"/>
    </row>
    <row r="1371" spans="1:8">
      <c r="A1371" s="47"/>
      <c r="B1371" s="47"/>
      <c r="C1371" s="47"/>
      <c r="D1371" s="47"/>
      <c r="E1371" s="47"/>
      <c r="F1371" s="47"/>
      <c r="G1371" s="47"/>
      <c r="H1371" s="47"/>
    </row>
    <row r="1372" spans="1:8">
      <c r="A1372" s="47"/>
      <c r="B1372" s="47"/>
      <c r="C1372" s="47"/>
      <c r="D1372" s="47"/>
      <c r="E1372" s="47"/>
      <c r="F1372" s="47"/>
      <c r="G1372" s="47"/>
      <c r="H1372" s="47"/>
    </row>
    <row r="1373" spans="1:8">
      <c r="A1373" s="47"/>
      <c r="B1373" s="47"/>
      <c r="C1373" s="47"/>
      <c r="D1373" s="47"/>
      <c r="E1373" s="47"/>
      <c r="F1373" s="47"/>
      <c r="G1373" s="47"/>
      <c r="H1373" s="47"/>
    </row>
    <row r="1374" spans="1:8">
      <c r="A1374" s="47"/>
      <c r="B1374" s="47"/>
      <c r="C1374" s="47"/>
      <c r="D1374" s="47"/>
      <c r="E1374" s="47"/>
      <c r="F1374" s="47"/>
      <c r="G1374" s="47"/>
      <c r="H1374" s="47"/>
    </row>
    <row r="1375" spans="1:8">
      <c r="A1375" s="47"/>
      <c r="B1375" s="47"/>
      <c r="C1375" s="47"/>
      <c r="D1375" s="47"/>
      <c r="E1375" s="47"/>
      <c r="F1375" s="47"/>
      <c r="G1375" s="47"/>
      <c r="H1375" s="47"/>
    </row>
    <row r="1376" spans="1:8">
      <c r="A1376" s="47"/>
      <c r="B1376" s="47"/>
      <c r="C1376" s="47"/>
      <c r="D1376" s="47"/>
      <c r="E1376" s="47"/>
      <c r="F1376" s="47"/>
      <c r="G1376" s="47"/>
      <c r="H1376" s="47"/>
    </row>
    <row r="1377" spans="1:8">
      <c r="A1377" s="47"/>
      <c r="B1377" s="47"/>
      <c r="C1377" s="47"/>
      <c r="D1377" s="47"/>
      <c r="E1377" s="47"/>
      <c r="F1377" s="47"/>
      <c r="G1377" s="47"/>
      <c r="H1377" s="47"/>
    </row>
    <row r="1378" spans="1:8">
      <c r="A1378" s="47"/>
      <c r="B1378" s="47"/>
      <c r="C1378" s="47"/>
      <c r="D1378" s="47"/>
      <c r="E1378" s="47"/>
      <c r="F1378" s="47"/>
      <c r="G1378" s="47"/>
      <c r="H1378" s="47"/>
    </row>
    <row r="1379" spans="1:8">
      <c r="A1379" s="47"/>
      <c r="B1379" s="47"/>
      <c r="C1379" s="47"/>
      <c r="D1379" s="47"/>
      <c r="E1379" s="47"/>
      <c r="F1379" s="47"/>
      <c r="G1379" s="47"/>
      <c r="H1379" s="47"/>
    </row>
    <row r="1380" spans="1:8">
      <c r="A1380" s="47"/>
      <c r="B1380" s="47"/>
      <c r="C1380" s="47"/>
      <c r="D1380" s="47"/>
      <c r="E1380" s="47"/>
      <c r="F1380" s="47"/>
      <c r="G1380" s="47"/>
      <c r="H1380" s="47"/>
    </row>
    <row r="1381" spans="1:8">
      <c r="A1381" s="47"/>
      <c r="B1381" s="47"/>
      <c r="C1381" s="47"/>
      <c r="D1381" s="47"/>
      <c r="E1381" s="47"/>
      <c r="F1381" s="47"/>
      <c r="G1381" s="47"/>
      <c r="H1381" s="47"/>
    </row>
    <row r="1382" spans="1:8">
      <c r="A1382" s="47"/>
      <c r="B1382" s="47"/>
      <c r="C1382" s="47"/>
      <c r="D1382" s="47"/>
      <c r="E1382" s="47"/>
      <c r="F1382" s="47"/>
      <c r="G1382" s="47"/>
      <c r="H1382" s="47"/>
    </row>
    <row r="1383" spans="1:8">
      <c r="A1383" s="47"/>
      <c r="B1383" s="47"/>
      <c r="C1383" s="47"/>
      <c r="D1383" s="47"/>
      <c r="E1383" s="47"/>
      <c r="F1383" s="47"/>
      <c r="G1383" s="47"/>
      <c r="H1383" s="47"/>
    </row>
    <row r="1384" spans="1:8">
      <c r="A1384" s="47"/>
      <c r="B1384" s="47"/>
      <c r="C1384" s="47"/>
      <c r="D1384" s="47"/>
      <c r="E1384" s="47"/>
      <c r="F1384" s="47"/>
      <c r="G1384" s="47"/>
      <c r="H1384" s="47"/>
    </row>
    <row r="1385" spans="1:8">
      <c r="A1385" s="47"/>
      <c r="B1385" s="47"/>
      <c r="C1385" s="47"/>
      <c r="D1385" s="47"/>
      <c r="E1385" s="47"/>
      <c r="F1385" s="47"/>
      <c r="G1385" s="47"/>
      <c r="H1385" s="47"/>
    </row>
    <row r="1386" spans="1:8">
      <c r="A1386" s="47"/>
      <c r="B1386" s="47"/>
      <c r="C1386" s="47"/>
      <c r="D1386" s="47"/>
      <c r="E1386" s="47"/>
      <c r="F1386" s="47"/>
      <c r="G1386" s="47"/>
      <c r="H1386" s="47"/>
    </row>
    <row r="1387" spans="1:8">
      <c r="A1387" s="47"/>
      <c r="B1387" s="47"/>
      <c r="C1387" s="47"/>
      <c r="D1387" s="47"/>
      <c r="E1387" s="47"/>
      <c r="F1387" s="47"/>
      <c r="G1387" s="47"/>
      <c r="H1387" s="47"/>
    </row>
    <row r="1388" spans="1:8">
      <c r="A1388" s="47"/>
      <c r="B1388" s="47"/>
      <c r="C1388" s="47"/>
      <c r="D1388" s="47"/>
      <c r="E1388" s="47"/>
      <c r="F1388" s="47"/>
      <c r="G1388" s="47"/>
      <c r="H1388" s="47"/>
    </row>
    <row r="1389" spans="1:8">
      <c r="A1389" s="47"/>
      <c r="B1389" s="47"/>
      <c r="C1389" s="47"/>
      <c r="D1389" s="47"/>
      <c r="E1389" s="47"/>
      <c r="F1389" s="47"/>
      <c r="G1389" s="47"/>
      <c r="H1389" s="47"/>
    </row>
    <row r="1390" spans="1:8">
      <c r="A1390" s="47"/>
      <c r="B1390" s="47"/>
      <c r="C1390" s="47"/>
      <c r="D1390" s="47"/>
      <c r="E1390" s="47"/>
      <c r="F1390" s="47"/>
      <c r="G1390" s="47"/>
      <c r="H1390" s="47"/>
    </row>
    <row r="1391" spans="1:8">
      <c r="A1391" s="47"/>
      <c r="B1391" s="47"/>
      <c r="C1391" s="47"/>
      <c r="D1391" s="47"/>
      <c r="E1391" s="47"/>
      <c r="F1391" s="47"/>
      <c r="G1391" s="47"/>
      <c r="H1391" s="47"/>
    </row>
    <row r="1392" spans="1:8">
      <c r="A1392" s="47"/>
      <c r="B1392" s="47"/>
      <c r="C1392" s="47"/>
      <c r="D1392" s="47"/>
      <c r="E1392" s="47"/>
      <c r="F1392" s="47"/>
      <c r="G1392" s="47"/>
      <c r="H1392" s="47"/>
    </row>
    <row r="1393" spans="1:8">
      <c r="A1393" s="47"/>
      <c r="B1393" s="47"/>
      <c r="C1393" s="47"/>
      <c r="D1393" s="47"/>
      <c r="E1393" s="47"/>
      <c r="F1393" s="47"/>
      <c r="G1393" s="47"/>
      <c r="H1393" s="47"/>
    </row>
    <row r="1394" spans="1:8">
      <c r="A1394" s="47"/>
      <c r="B1394" s="47"/>
      <c r="C1394" s="47"/>
      <c r="D1394" s="47"/>
      <c r="E1394" s="47"/>
      <c r="F1394" s="47"/>
      <c r="G1394" s="47"/>
      <c r="H1394" s="47"/>
    </row>
    <row r="1395" spans="1:8">
      <c r="A1395" s="47"/>
      <c r="B1395" s="47"/>
      <c r="C1395" s="47"/>
      <c r="D1395" s="47"/>
      <c r="E1395" s="47"/>
      <c r="F1395" s="47"/>
      <c r="G1395" s="47"/>
      <c r="H1395" s="47"/>
    </row>
    <row r="1396" spans="1:8">
      <c r="A1396" s="47"/>
      <c r="B1396" s="47"/>
      <c r="C1396" s="47"/>
      <c r="D1396" s="47"/>
      <c r="E1396" s="47"/>
      <c r="F1396" s="47"/>
      <c r="G1396" s="47"/>
      <c r="H1396" s="47"/>
    </row>
    <row r="1397" spans="1:8">
      <c r="A1397" s="47"/>
      <c r="B1397" s="47"/>
      <c r="C1397" s="47"/>
      <c r="D1397" s="47"/>
      <c r="E1397" s="47"/>
      <c r="F1397" s="47"/>
      <c r="G1397" s="47"/>
      <c r="H1397" s="47"/>
    </row>
    <row r="1398" spans="1:8">
      <c r="A1398" s="47"/>
      <c r="B1398" s="47"/>
      <c r="C1398" s="47"/>
      <c r="D1398" s="47"/>
      <c r="E1398" s="47"/>
      <c r="F1398" s="47"/>
      <c r="G1398" s="47"/>
      <c r="H1398" s="47"/>
    </row>
    <row r="1399" spans="1:8">
      <c r="A1399" s="47"/>
      <c r="B1399" s="47"/>
      <c r="C1399" s="47"/>
      <c r="D1399" s="47"/>
      <c r="E1399" s="47"/>
      <c r="F1399" s="47"/>
      <c r="G1399" s="47"/>
      <c r="H1399" s="47"/>
    </row>
    <row r="1400" spans="1:8">
      <c r="A1400" s="47"/>
      <c r="B1400" s="47"/>
      <c r="C1400" s="47"/>
      <c r="D1400" s="47"/>
      <c r="E1400" s="47"/>
      <c r="F1400" s="47"/>
      <c r="G1400" s="47"/>
      <c r="H1400" s="47"/>
    </row>
    <row r="1401" spans="1:8">
      <c r="A1401" s="47"/>
      <c r="B1401" s="47"/>
      <c r="C1401" s="47"/>
      <c r="D1401" s="47"/>
      <c r="E1401" s="47"/>
      <c r="F1401" s="47"/>
      <c r="G1401" s="47"/>
      <c r="H1401" s="47"/>
    </row>
    <row r="1402" spans="1:8">
      <c r="A1402" s="47"/>
      <c r="B1402" s="47"/>
      <c r="C1402" s="47"/>
      <c r="D1402" s="47"/>
      <c r="E1402" s="47"/>
      <c r="F1402" s="47"/>
      <c r="G1402" s="47"/>
      <c r="H1402" s="47"/>
    </row>
    <row r="1403" spans="1:8">
      <c r="A1403" s="47"/>
      <c r="B1403" s="47"/>
      <c r="C1403" s="47"/>
      <c r="D1403" s="47"/>
      <c r="E1403" s="47"/>
      <c r="F1403" s="47"/>
      <c r="G1403" s="47"/>
      <c r="H1403" s="47"/>
    </row>
    <row r="1404" spans="1:8">
      <c r="A1404" s="47"/>
      <c r="B1404" s="47"/>
      <c r="C1404" s="47"/>
      <c r="D1404" s="47"/>
      <c r="E1404" s="47"/>
      <c r="F1404" s="47"/>
      <c r="G1404" s="47"/>
      <c r="H1404" s="47"/>
    </row>
    <row r="1405" spans="1:8">
      <c r="A1405" s="47"/>
      <c r="B1405" s="47"/>
      <c r="C1405" s="47"/>
      <c r="D1405" s="47"/>
      <c r="E1405" s="47"/>
      <c r="F1405" s="47"/>
      <c r="G1405" s="47"/>
      <c r="H1405" s="47"/>
    </row>
    <row r="1406" spans="1:8">
      <c r="A1406" s="47"/>
      <c r="B1406" s="47"/>
      <c r="C1406" s="47"/>
      <c r="D1406" s="47"/>
      <c r="E1406" s="47"/>
      <c r="F1406" s="47"/>
      <c r="G1406" s="47"/>
      <c r="H1406" s="47"/>
    </row>
    <row r="1407" spans="1:8">
      <c r="A1407" s="47"/>
      <c r="B1407" s="47"/>
      <c r="C1407" s="47"/>
      <c r="D1407" s="47"/>
      <c r="E1407" s="47"/>
      <c r="F1407" s="47"/>
      <c r="G1407" s="47"/>
      <c r="H1407" s="47"/>
    </row>
    <row r="1408" spans="1:8">
      <c r="A1408" s="47"/>
      <c r="B1408" s="47"/>
      <c r="C1408" s="47"/>
      <c r="D1408" s="47"/>
      <c r="E1408" s="47"/>
      <c r="F1408" s="47"/>
      <c r="G1408" s="47"/>
      <c r="H1408" s="47"/>
    </row>
    <row r="1409" spans="1:8">
      <c r="A1409" s="47"/>
      <c r="B1409" s="47"/>
      <c r="C1409" s="47"/>
      <c r="D1409" s="47"/>
      <c r="E1409" s="47"/>
      <c r="F1409" s="47"/>
      <c r="G1409" s="47"/>
      <c r="H1409" s="47"/>
    </row>
    <row r="1410" spans="1:8">
      <c r="A1410" s="47"/>
      <c r="B1410" s="47"/>
      <c r="C1410" s="47"/>
      <c r="D1410" s="47"/>
      <c r="E1410" s="47"/>
      <c r="F1410" s="47"/>
      <c r="G1410" s="47"/>
      <c r="H1410" s="47"/>
    </row>
    <row r="1411" spans="1:8">
      <c r="A1411" s="47"/>
      <c r="B1411" s="47"/>
      <c r="C1411" s="47"/>
      <c r="D1411" s="47"/>
      <c r="E1411" s="47"/>
      <c r="F1411" s="47"/>
      <c r="G1411" s="47"/>
      <c r="H1411" s="47"/>
    </row>
    <row r="1412" spans="1:8">
      <c r="A1412" s="47"/>
      <c r="B1412" s="47"/>
      <c r="C1412" s="47"/>
      <c r="D1412" s="47"/>
      <c r="E1412" s="47"/>
      <c r="F1412" s="47"/>
      <c r="G1412" s="47"/>
      <c r="H1412" s="47"/>
    </row>
    <row r="1413" spans="1:8">
      <c r="A1413" s="47"/>
      <c r="B1413" s="47"/>
      <c r="C1413" s="47"/>
      <c r="D1413" s="47"/>
      <c r="E1413" s="47"/>
      <c r="F1413" s="47"/>
      <c r="G1413" s="47"/>
      <c r="H1413" s="47"/>
    </row>
    <row r="1414" spans="1:8">
      <c r="A1414" s="47"/>
      <c r="B1414" s="47"/>
      <c r="C1414" s="47"/>
      <c r="D1414" s="47"/>
      <c r="E1414" s="47"/>
      <c r="F1414" s="47"/>
      <c r="G1414" s="47"/>
      <c r="H1414" s="47"/>
    </row>
    <row r="1415" spans="1:8">
      <c r="A1415" s="47"/>
      <c r="B1415" s="47"/>
      <c r="C1415" s="47"/>
      <c r="D1415" s="47"/>
      <c r="E1415" s="47"/>
      <c r="F1415" s="47"/>
      <c r="G1415" s="47"/>
      <c r="H1415" s="47"/>
    </row>
    <row r="1416" spans="1:8">
      <c r="A1416" s="47"/>
      <c r="B1416" s="47"/>
      <c r="C1416" s="47"/>
      <c r="D1416" s="47"/>
      <c r="E1416" s="47"/>
      <c r="F1416" s="47"/>
      <c r="G1416" s="47"/>
      <c r="H1416" s="47"/>
    </row>
    <row r="1417" spans="1:8">
      <c r="A1417" s="47"/>
      <c r="B1417" s="47"/>
      <c r="C1417" s="47"/>
      <c r="D1417" s="47"/>
      <c r="E1417" s="47"/>
      <c r="F1417" s="47"/>
      <c r="G1417" s="47"/>
      <c r="H1417" s="47"/>
    </row>
    <row r="1418" spans="1:8">
      <c r="A1418" s="47"/>
      <c r="B1418" s="47"/>
      <c r="C1418" s="47"/>
      <c r="D1418" s="47"/>
      <c r="E1418" s="47"/>
      <c r="F1418" s="47"/>
      <c r="G1418" s="47"/>
      <c r="H1418" s="47"/>
    </row>
    <row r="1419" spans="1:8">
      <c r="A1419" s="47"/>
      <c r="B1419" s="47"/>
      <c r="C1419" s="47"/>
      <c r="D1419" s="47"/>
      <c r="E1419" s="47"/>
      <c r="F1419" s="47"/>
      <c r="G1419" s="47"/>
      <c r="H1419" s="47"/>
    </row>
    <row r="1420" spans="1:8">
      <c r="A1420" s="47"/>
      <c r="B1420" s="47"/>
      <c r="C1420" s="47"/>
      <c r="D1420" s="47"/>
      <c r="E1420" s="47"/>
      <c r="F1420" s="47"/>
      <c r="G1420" s="47"/>
      <c r="H1420" s="47"/>
    </row>
    <row r="1421" spans="1:8">
      <c r="A1421" s="47"/>
      <c r="B1421" s="47"/>
      <c r="C1421" s="47"/>
      <c r="D1421" s="47"/>
      <c r="E1421" s="47"/>
      <c r="F1421" s="47"/>
      <c r="G1421" s="47"/>
      <c r="H1421" s="47"/>
    </row>
    <row r="1422" spans="1:8">
      <c r="A1422" s="47"/>
      <c r="B1422" s="47"/>
      <c r="C1422" s="47"/>
      <c r="D1422" s="47"/>
      <c r="E1422" s="47"/>
      <c r="F1422" s="47"/>
      <c r="G1422" s="47"/>
      <c r="H1422" s="47"/>
    </row>
    <row r="1423" spans="1:8">
      <c r="A1423" s="47"/>
      <c r="B1423" s="47"/>
      <c r="C1423" s="47"/>
      <c r="D1423" s="47"/>
      <c r="E1423" s="47"/>
      <c r="F1423" s="47"/>
      <c r="G1423" s="47"/>
      <c r="H1423" s="47"/>
    </row>
    <row r="1424" spans="1:8">
      <c r="A1424" s="47"/>
      <c r="B1424" s="47"/>
      <c r="C1424" s="47"/>
      <c r="D1424" s="47"/>
      <c r="E1424" s="47"/>
      <c r="F1424" s="47"/>
      <c r="G1424" s="47"/>
      <c r="H1424" s="47"/>
    </row>
    <row r="1425" spans="1:8">
      <c r="A1425" s="47"/>
      <c r="B1425" s="47"/>
      <c r="C1425" s="47"/>
      <c r="D1425" s="47"/>
      <c r="E1425" s="47"/>
      <c r="F1425" s="47"/>
      <c r="G1425" s="47"/>
      <c r="H1425" s="47"/>
    </row>
    <row r="1426" spans="1:8">
      <c r="A1426" s="47"/>
      <c r="B1426" s="47"/>
      <c r="C1426" s="47"/>
      <c r="D1426" s="47"/>
      <c r="E1426" s="47"/>
      <c r="F1426" s="47"/>
      <c r="G1426" s="47"/>
      <c r="H1426" s="47"/>
    </row>
    <row r="1427" spans="1:8">
      <c r="A1427" s="47"/>
      <c r="B1427" s="47"/>
      <c r="C1427" s="47"/>
      <c r="D1427" s="47"/>
      <c r="E1427" s="47"/>
      <c r="F1427" s="47"/>
      <c r="G1427" s="47"/>
      <c r="H1427" s="47"/>
    </row>
    <row r="1428" spans="1:8">
      <c r="A1428" s="47"/>
      <c r="B1428" s="47"/>
      <c r="C1428" s="47"/>
      <c r="D1428" s="47"/>
      <c r="E1428" s="47"/>
      <c r="F1428" s="47"/>
      <c r="G1428" s="47"/>
      <c r="H1428" s="47"/>
    </row>
    <row r="1429" spans="1:8">
      <c r="A1429" s="47"/>
      <c r="B1429" s="47"/>
      <c r="C1429" s="47"/>
      <c r="D1429" s="47"/>
      <c r="E1429" s="47"/>
      <c r="F1429" s="47"/>
      <c r="G1429" s="47"/>
      <c r="H1429" s="47"/>
    </row>
    <row r="1430" spans="1:8">
      <c r="A1430" s="47"/>
      <c r="B1430" s="47"/>
      <c r="C1430" s="47"/>
      <c r="D1430" s="47"/>
      <c r="E1430" s="47"/>
      <c r="F1430" s="47"/>
      <c r="G1430" s="47"/>
      <c r="H1430" s="47"/>
    </row>
    <row r="1431" spans="1:8">
      <c r="A1431" s="47"/>
      <c r="B1431" s="47"/>
      <c r="C1431" s="47"/>
      <c r="D1431" s="47"/>
      <c r="E1431" s="47"/>
      <c r="F1431" s="47"/>
      <c r="G1431" s="47"/>
      <c r="H1431" s="47"/>
    </row>
    <row r="1432" spans="1:8">
      <c r="A1432" s="47"/>
      <c r="B1432" s="47"/>
      <c r="C1432" s="47"/>
      <c r="D1432" s="47"/>
      <c r="E1432" s="47"/>
      <c r="F1432" s="47"/>
      <c r="G1432" s="47"/>
      <c r="H1432" s="47"/>
    </row>
    <row r="1433" spans="1:8">
      <c r="A1433" s="47"/>
      <c r="B1433" s="47"/>
      <c r="C1433" s="47"/>
      <c r="D1433" s="47"/>
      <c r="E1433" s="47"/>
      <c r="F1433" s="47"/>
      <c r="G1433" s="47"/>
      <c r="H1433" s="47"/>
    </row>
    <row r="1434" spans="1:8">
      <c r="A1434" s="47"/>
      <c r="B1434" s="47"/>
      <c r="C1434" s="47"/>
      <c r="D1434" s="47"/>
      <c r="E1434" s="47"/>
      <c r="F1434" s="47"/>
      <c r="G1434" s="47"/>
      <c r="H1434" s="47"/>
    </row>
    <row r="1435" spans="1:8">
      <c r="A1435" s="47"/>
      <c r="B1435" s="47"/>
      <c r="C1435" s="47"/>
      <c r="D1435" s="47"/>
      <c r="E1435" s="47"/>
      <c r="F1435" s="47"/>
      <c r="G1435" s="47"/>
      <c r="H1435" s="47"/>
    </row>
    <row r="1436" spans="1:8">
      <c r="A1436" s="47"/>
      <c r="B1436" s="47"/>
      <c r="C1436" s="47"/>
      <c r="D1436" s="47"/>
      <c r="E1436" s="47"/>
      <c r="F1436" s="47"/>
      <c r="G1436" s="47"/>
      <c r="H1436" s="47"/>
    </row>
    <row r="1437" spans="1:8">
      <c r="A1437" s="47"/>
      <c r="B1437" s="47"/>
      <c r="C1437" s="47"/>
      <c r="D1437" s="47"/>
      <c r="E1437" s="47"/>
      <c r="F1437" s="47"/>
      <c r="G1437" s="47"/>
      <c r="H1437" s="47"/>
    </row>
    <row r="1438" spans="1:8">
      <c r="A1438" s="47"/>
      <c r="B1438" s="47"/>
      <c r="C1438" s="47"/>
      <c r="D1438" s="47"/>
      <c r="E1438" s="47"/>
      <c r="F1438" s="47"/>
      <c r="G1438" s="47"/>
      <c r="H1438" s="47"/>
    </row>
    <row r="1439" spans="1:8">
      <c r="A1439" s="47"/>
      <c r="B1439" s="47"/>
      <c r="C1439" s="47"/>
      <c r="D1439" s="47"/>
      <c r="E1439" s="47"/>
      <c r="F1439" s="47"/>
      <c r="G1439" s="47"/>
      <c r="H1439" s="47"/>
    </row>
    <row r="1440" spans="1:8">
      <c r="A1440" s="47"/>
      <c r="B1440" s="47"/>
      <c r="C1440" s="47"/>
      <c r="D1440" s="47"/>
      <c r="E1440" s="47"/>
      <c r="F1440" s="47"/>
      <c r="G1440" s="47"/>
      <c r="H1440" s="47"/>
    </row>
    <row r="1441" spans="1:8">
      <c r="A1441" s="47"/>
      <c r="B1441" s="47"/>
      <c r="C1441" s="47"/>
      <c r="D1441" s="47"/>
      <c r="E1441" s="47"/>
      <c r="F1441" s="47"/>
      <c r="G1441" s="47"/>
      <c r="H1441" s="47"/>
    </row>
    <row r="1442" spans="1:8">
      <c r="A1442" s="47"/>
      <c r="B1442" s="47"/>
      <c r="C1442" s="47"/>
      <c r="D1442" s="47"/>
      <c r="E1442" s="47"/>
      <c r="F1442" s="47"/>
      <c r="G1442" s="47"/>
      <c r="H1442" s="47"/>
    </row>
    <row r="1443" spans="1:8">
      <c r="A1443" s="47"/>
      <c r="B1443" s="47"/>
      <c r="C1443" s="47"/>
      <c r="D1443" s="47"/>
      <c r="E1443" s="47"/>
      <c r="F1443" s="47"/>
      <c r="G1443" s="47"/>
      <c r="H1443" s="47"/>
    </row>
    <row r="1444" spans="1:8">
      <c r="A1444" s="47"/>
      <c r="B1444" s="47"/>
      <c r="C1444" s="47"/>
      <c r="D1444" s="47"/>
      <c r="E1444" s="47"/>
      <c r="F1444" s="47"/>
      <c r="G1444" s="47"/>
      <c r="H1444" s="47"/>
    </row>
    <row r="1445" spans="1:8">
      <c r="A1445" s="47"/>
      <c r="B1445" s="47"/>
      <c r="C1445" s="47"/>
      <c r="D1445" s="47"/>
      <c r="E1445" s="47"/>
      <c r="F1445" s="47"/>
      <c r="G1445" s="47"/>
      <c r="H1445" s="47"/>
    </row>
    <row r="1446" spans="1:8">
      <c r="A1446" s="47"/>
      <c r="B1446" s="47"/>
      <c r="C1446" s="47"/>
      <c r="D1446" s="47"/>
      <c r="E1446" s="47"/>
      <c r="F1446" s="47"/>
      <c r="G1446" s="47"/>
      <c r="H1446" s="47"/>
    </row>
    <row r="1447" spans="1:8">
      <c r="A1447" s="47"/>
      <c r="B1447" s="47"/>
      <c r="C1447" s="47"/>
      <c r="D1447" s="47"/>
      <c r="E1447" s="47"/>
      <c r="F1447" s="47"/>
      <c r="G1447" s="47"/>
      <c r="H1447" s="47"/>
    </row>
    <row r="1448" spans="1:8">
      <c r="A1448" s="47"/>
      <c r="B1448" s="47"/>
      <c r="C1448" s="47"/>
      <c r="D1448" s="47"/>
      <c r="E1448" s="47"/>
      <c r="F1448" s="47"/>
      <c r="G1448" s="47"/>
      <c r="H1448" s="47"/>
    </row>
    <row r="1449" spans="1:8">
      <c r="A1449" s="47"/>
      <c r="B1449" s="47"/>
      <c r="C1449" s="47"/>
      <c r="D1449" s="47"/>
      <c r="E1449" s="47"/>
      <c r="F1449" s="47"/>
      <c r="G1449" s="47"/>
      <c r="H1449" s="47"/>
    </row>
    <row r="1450" spans="1:8">
      <c r="A1450" s="47"/>
      <c r="B1450" s="47"/>
      <c r="C1450" s="47"/>
      <c r="D1450" s="47"/>
      <c r="E1450" s="47"/>
      <c r="F1450" s="47"/>
      <c r="G1450" s="47"/>
      <c r="H1450" s="47"/>
    </row>
    <row r="1451" spans="1:8">
      <c r="A1451" s="47"/>
      <c r="B1451" s="47"/>
      <c r="C1451" s="47"/>
      <c r="D1451" s="47"/>
      <c r="E1451" s="47"/>
      <c r="F1451" s="47"/>
      <c r="G1451" s="47"/>
      <c r="H1451" s="47"/>
    </row>
    <row r="1452" spans="1:8">
      <c r="A1452" s="47"/>
      <c r="B1452" s="47"/>
      <c r="C1452" s="47"/>
      <c r="D1452" s="47"/>
      <c r="E1452" s="47"/>
      <c r="F1452" s="47"/>
      <c r="G1452" s="47"/>
      <c r="H1452" s="47"/>
    </row>
    <row r="1453" spans="1:8">
      <c r="A1453" s="47"/>
      <c r="B1453" s="47"/>
      <c r="C1453" s="47"/>
      <c r="D1453" s="47"/>
      <c r="E1453" s="47"/>
      <c r="F1453" s="47"/>
      <c r="G1453" s="47"/>
      <c r="H1453" s="47"/>
    </row>
    <row r="1454" spans="1:8">
      <c r="A1454" s="47"/>
      <c r="B1454" s="47"/>
      <c r="C1454" s="47"/>
      <c r="D1454" s="47"/>
      <c r="E1454" s="47"/>
      <c r="F1454" s="47"/>
      <c r="G1454" s="47"/>
      <c r="H1454" s="47"/>
    </row>
    <row r="1455" spans="1:8">
      <c r="A1455" s="47"/>
      <c r="B1455" s="47"/>
      <c r="C1455" s="47"/>
      <c r="D1455" s="47"/>
      <c r="E1455" s="47"/>
      <c r="F1455" s="47"/>
      <c r="G1455" s="47"/>
      <c r="H1455" s="47"/>
    </row>
    <row r="1456" spans="1:8">
      <c r="A1456" s="47"/>
      <c r="B1456" s="47"/>
      <c r="C1456" s="47"/>
      <c r="D1456" s="47"/>
      <c r="E1456" s="47"/>
      <c r="F1456" s="47"/>
      <c r="G1456" s="47"/>
      <c r="H1456" s="47"/>
    </row>
    <row r="1457" spans="1:8">
      <c r="A1457" s="47"/>
      <c r="B1457" s="47"/>
      <c r="C1457" s="47"/>
      <c r="D1457" s="47"/>
      <c r="E1457" s="47"/>
      <c r="F1457" s="47"/>
      <c r="G1457" s="47"/>
      <c r="H1457" s="47"/>
    </row>
    <row r="1458" spans="1:8">
      <c r="A1458" s="47"/>
      <c r="B1458" s="47"/>
      <c r="C1458" s="47"/>
      <c r="D1458" s="47"/>
      <c r="E1458" s="47"/>
      <c r="F1458" s="47"/>
      <c r="G1458" s="47"/>
      <c r="H1458" s="47"/>
    </row>
    <row r="1459" spans="1:8">
      <c r="A1459" s="47"/>
      <c r="B1459" s="47"/>
      <c r="C1459" s="47"/>
      <c r="D1459" s="47"/>
      <c r="E1459" s="47"/>
      <c r="F1459" s="47"/>
      <c r="G1459" s="47"/>
      <c r="H1459" s="47"/>
    </row>
    <row r="1460" spans="1:8">
      <c r="A1460" s="47"/>
      <c r="B1460" s="47"/>
      <c r="C1460" s="47"/>
      <c r="D1460" s="47"/>
      <c r="E1460" s="47"/>
      <c r="F1460" s="47"/>
      <c r="G1460" s="47"/>
      <c r="H1460" s="47"/>
    </row>
    <row r="1461" spans="1:8">
      <c r="A1461" s="47"/>
      <c r="B1461" s="47"/>
      <c r="C1461" s="47"/>
      <c r="D1461" s="47"/>
      <c r="E1461" s="47"/>
      <c r="F1461" s="47"/>
      <c r="G1461" s="47"/>
      <c r="H1461" s="47"/>
    </row>
    <row r="1462" spans="1:8">
      <c r="A1462" s="47"/>
      <c r="B1462" s="47"/>
      <c r="C1462" s="47"/>
      <c r="D1462" s="47"/>
      <c r="E1462" s="47"/>
      <c r="F1462" s="47"/>
      <c r="G1462" s="47"/>
      <c r="H1462" s="47"/>
    </row>
    <row r="1463" spans="1:8">
      <c r="A1463" s="47"/>
      <c r="B1463" s="47"/>
      <c r="C1463" s="47"/>
      <c r="D1463" s="47"/>
      <c r="E1463" s="47"/>
      <c r="F1463" s="47"/>
      <c r="G1463" s="47"/>
      <c r="H1463" s="47"/>
    </row>
    <row r="1464" spans="1:8">
      <c r="A1464" s="47"/>
      <c r="B1464" s="47"/>
      <c r="C1464" s="47"/>
      <c r="D1464" s="47"/>
      <c r="E1464" s="47"/>
      <c r="F1464" s="47"/>
      <c r="G1464" s="47"/>
      <c r="H1464" s="47"/>
    </row>
    <row r="1465" spans="1:8">
      <c r="A1465" s="47"/>
      <c r="B1465" s="47"/>
      <c r="C1465" s="47"/>
      <c r="D1465" s="47"/>
      <c r="E1465" s="47"/>
      <c r="F1465" s="47"/>
      <c r="G1465" s="47"/>
      <c r="H1465" s="47"/>
    </row>
    <row r="1466" spans="1:8">
      <c r="A1466" s="47"/>
      <c r="B1466" s="47"/>
      <c r="C1466" s="47"/>
      <c r="D1466" s="47"/>
      <c r="E1466" s="47"/>
      <c r="F1466" s="47"/>
      <c r="G1466" s="47"/>
      <c r="H1466" s="47"/>
    </row>
    <row r="1467" spans="1:8">
      <c r="A1467" s="47"/>
      <c r="B1467" s="47"/>
      <c r="C1467" s="47"/>
      <c r="D1467" s="47"/>
      <c r="E1467" s="47"/>
      <c r="F1467" s="47"/>
      <c r="G1467" s="47"/>
      <c r="H1467" s="47"/>
    </row>
    <row r="1468" spans="1:8">
      <c r="A1468" s="47"/>
      <c r="B1468" s="47"/>
      <c r="C1468" s="47"/>
      <c r="D1468" s="47"/>
      <c r="E1468" s="47"/>
      <c r="F1468" s="47"/>
      <c r="G1468" s="47"/>
      <c r="H1468" s="47"/>
    </row>
    <row r="1469" spans="1:8">
      <c r="A1469" s="47"/>
      <c r="B1469" s="47"/>
      <c r="C1469" s="47"/>
      <c r="D1469" s="47"/>
      <c r="E1469" s="47"/>
      <c r="F1469" s="47"/>
      <c r="G1469" s="47"/>
      <c r="H1469" s="47"/>
    </row>
    <row r="1470" spans="1:8">
      <c r="A1470" s="47"/>
      <c r="B1470" s="47"/>
      <c r="C1470" s="47"/>
      <c r="D1470" s="47"/>
      <c r="E1470" s="47"/>
      <c r="F1470" s="47"/>
      <c r="G1470" s="47"/>
      <c r="H1470" s="47"/>
    </row>
    <row r="1471" spans="1:8">
      <c r="A1471" s="47"/>
      <c r="B1471" s="47"/>
      <c r="C1471" s="47"/>
      <c r="D1471" s="47"/>
      <c r="E1471" s="47"/>
      <c r="F1471" s="47"/>
      <c r="G1471" s="47"/>
      <c r="H1471" s="47"/>
    </row>
    <row r="1472" spans="1:8">
      <c r="A1472" s="47"/>
      <c r="B1472" s="47"/>
      <c r="C1472" s="47"/>
      <c r="D1472" s="47"/>
      <c r="E1472" s="47"/>
      <c r="F1472" s="47"/>
      <c r="G1472" s="47"/>
      <c r="H1472" s="47"/>
    </row>
    <row r="1473" spans="1:8">
      <c r="A1473" s="47"/>
      <c r="B1473" s="47"/>
      <c r="C1473" s="47"/>
      <c r="D1473" s="47"/>
      <c r="E1473" s="47"/>
      <c r="F1473" s="47"/>
      <c r="G1473" s="47"/>
      <c r="H1473" s="47"/>
    </row>
    <row r="1474" spans="1:8">
      <c r="A1474" s="47"/>
      <c r="B1474" s="47"/>
      <c r="C1474" s="47"/>
      <c r="D1474" s="47"/>
      <c r="E1474" s="47"/>
      <c r="F1474" s="47"/>
      <c r="G1474" s="47"/>
      <c r="H1474" s="47"/>
    </row>
    <row r="1475" spans="1:8">
      <c r="A1475" s="47"/>
      <c r="B1475" s="47"/>
      <c r="C1475" s="47"/>
      <c r="D1475" s="47"/>
      <c r="E1475" s="47"/>
      <c r="F1475" s="47"/>
      <c r="G1475" s="47"/>
      <c r="H1475" s="47"/>
    </row>
    <row r="1476" spans="1:8">
      <c r="A1476" s="47"/>
      <c r="B1476" s="47"/>
      <c r="C1476" s="47"/>
      <c r="D1476" s="47"/>
      <c r="E1476" s="47"/>
      <c r="F1476" s="47"/>
      <c r="G1476" s="47"/>
      <c r="H1476" s="47"/>
    </row>
    <row r="1477" spans="1:8">
      <c r="A1477" s="47"/>
      <c r="B1477" s="47"/>
      <c r="C1477" s="47"/>
      <c r="D1477" s="47"/>
      <c r="E1477" s="47"/>
      <c r="F1477" s="47"/>
      <c r="G1477" s="47"/>
      <c r="H1477" s="47"/>
    </row>
    <row r="1478" spans="1:8">
      <c r="A1478" s="47"/>
      <c r="B1478" s="47"/>
      <c r="C1478" s="47"/>
      <c r="D1478" s="47"/>
      <c r="E1478" s="47"/>
      <c r="F1478" s="47"/>
      <c r="G1478" s="47"/>
      <c r="H1478" s="47"/>
    </row>
    <row r="1479" spans="1:8">
      <c r="A1479" s="47"/>
      <c r="B1479" s="47"/>
      <c r="C1479" s="47"/>
      <c r="D1479" s="47"/>
      <c r="E1479" s="47"/>
      <c r="F1479" s="47"/>
      <c r="G1479" s="47"/>
      <c r="H1479" s="47"/>
    </row>
    <row r="1480" spans="1:8">
      <c r="A1480" s="47"/>
      <c r="B1480" s="47"/>
      <c r="C1480" s="47"/>
      <c r="D1480" s="47"/>
      <c r="E1480" s="47"/>
      <c r="F1480" s="47"/>
      <c r="G1480" s="47"/>
      <c r="H1480" s="47"/>
    </row>
    <row r="1481" spans="1:8">
      <c r="A1481" s="47"/>
      <c r="B1481" s="47"/>
      <c r="C1481" s="47"/>
      <c r="D1481" s="47"/>
      <c r="E1481" s="47"/>
      <c r="F1481" s="47"/>
      <c r="G1481" s="47"/>
      <c r="H1481" s="47"/>
    </row>
    <row r="1482" spans="1:8">
      <c r="A1482" s="47"/>
      <c r="B1482" s="47"/>
      <c r="C1482" s="47"/>
      <c r="D1482" s="47"/>
      <c r="E1482" s="47"/>
      <c r="F1482" s="47"/>
      <c r="G1482" s="47"/>
      <c r="H1482" s="47"/>
    </row>
    <row r="1483" spans="1:8">
      <c r="A1483" s="47"/>
      <c r="B1483" s="47"/>
      <c r="C1483" s="47"/>
      <c r="D1483" s="47"/>
      <c r="E1483" s="47"/>
      <c r="F1483" s="47"/>
      <c r="G1483" s="47"/>
      <c r="H1483" s="47"/>
    </row>
    <row r="1484" spans="1:8">
      <c r="A1484" s="47"/>
      <c r="B1484" s="47"/>
      <c r="C1484" s="47"/>
      <c r="D1484" s="47"/>
      <c r="E1484" s="47"/>
      <c r="F1484" s="47"/>
      <c r="G1484" s="47"/>
      <c r="H1484" s="47"/>
    </row>
    <row r="1485" spans="1:8">
      <c r="A1485" s="47"/>
      <c r="B1485" s="47"/>
      <c r="C1485" s="47"/>
      <c r="D1485" s="47"/>
      <c r="E1485" s="47"/>
      <c r="F1485" s="47"/>
      <c r="G1485" s="47"/>
      <c r="H1485" s="47"/>
    </row>
    <row r="1486" spans="1:8">
      <c r="A1486" s="47"/>
      <c r="B1486" s="47"/>
      <c r="C1486" s="47"/>
      <c r="D1486" s="47"/>
      <c r="E1486" s="47"/>
      <c r="F1486" s="47"/>
      <c r="G1486" s="47"/>
      <c r="H1486" s="47"/>
    </row>
    <row r="1487" spans="1:8">
      <c r="A1487" s="47"/>
      <c r="B1487" s="47"/>
      <c r="C1487" s="47"/>
      <c r="D1487" s="47"/>
      <c r="E1487" s="47"/>
      <c r="F1487" s="47"/>
      <c r="G1487" s="47"/>
      <c r="H1487" s="47"/>
    </row>
    <row r="1488" spans="1:8">
      <c r="A1488" s="47"/>
      <c r="B1488" s="47"/>
      <c r="C1488" s="47"/>
      <c r="D1488" s="47"/>
      <c r="E1488" s="47"/>
      <c r="F1488" s="47"/>
      <c r="G1488" s="47"/>
      <c r="H1488" s="47"/>
    </row>
    <row r="1489" spans="1:8">
      <c r="A1489" s="47"/>
      <c r="B1489" s="47"/>
      <c r="C1489" s="47"/>
      <c r="D1489" s="47"/>
      <c r="E1489" s="47"/>
      <c r="F1489" s="47"/>
      <c r="G1489" s="47"/>
      <c r="H1489" s="47"/>
    </row>
    <row r="1490" spans="1:8">
      <c r="A1490" s="47"/>
      <c r="B1490" s="47"/>
      <c r="C1490" s="47"/>
      <c r="D1490" s="47"/>
      <c r="E1490" s="47"/>
      <c r="F1490" s="47"/>
      <c r="G1490" s="47"/>
      <c r="H1490" s="47"/>
    </row>
    <row r="1491" spans="1:8">
      <c r="A1491" s="47"/>
      <c r="B1491" s="47"/>
      <c r="C1491" s="47"/>
      <c r="D1491" s="47"/>
      <c r="E1491" s="47"/>
      <c r="F1491" s="47"/>
      <c r="G1491" s="47"/>
      <c r="H1491" s="47"/>
    </row>
    <row r="1492" spans="1:8">
      <c r="A1492" s="47"/>
      <c r="B1492" s="47"/>
      <c r="C1492" s="47"/>
      <c r="D1492" s="47"/>
      <c r="E1492" s="47"/>
      <c r="F1492" s="47"/>
      <c r="G1492" s="47"/>
      <c r="H1492" s="47"/>
    </row>
    <row r="1493" spans="1:8">
      <c r="A1493" s="47"/>
      <c r="B1493" s="47"/>
      <c r="C1493" s="47"/>
      <c r="D1493" s="47"/>
      <c r="E1493" s="47"/>
      <c r="F1493" s="47"/>
      <c r="G1493" s="47"/>
      <c r="H1493" s="47"/>
    </row>
    <row r="1494" spans="1:8">
      <c r="A1494" s="47"/>
      <c r="B1494" s="47"/>
      <c r="C1494" s="47"/>
      <c r="D1494" s="47"/>
      <c r="E1494" s="47"/>
      <c r="F1494" s="47"/>
      <c r="G1494" s="47"/>
      <c r="H1494" s="47"/>
    </row>
    <row r="1495" spans="1:8">
      <c r="A1495" s="47"/>
      <c r="B1495" s="47"/>
      <c r="C1495" s="47"/>
      <c r="D1495" s="47"/>
      <c r="E1495" s="47"/>
      <c r="F1495" s="47"/>
      <c r="G1495" s="47"/>
      <c r="H1495" s="47"/>
    </row>
    <row r="1496" spans="1:8">
      <c r="A1496" s="47"/>
      <c r="B1496" s="47"/>
      <c r="C1496" s="47"/>
      <c r="D1496" s="47"/>
      <c r="E1496" s="47"/>
      <c r="F1496" s="47"/>
      <c r="G1496" s="47"/>
      <c r="H1496" s="47"/>
    </row>
    <row r="1497" spans="1:8">
      <c r="A1497" s="47"/>
      <c r="B1497" s="47"/>
      <c r="C1497" s="47"/>
      <c r="D1497" s="47"/>
      <c r="E1497" s="47"/>
      <c r="F1497" s="47"/>
      <c r="G1497" s="47"/>
      <c r="H1497" s="47"/>
    </row>
    <row r="1498" spans="1:8">
      <c r="A1498" s="47"/>
      <c r="B1498" s="47"/>
      <c r="C1498" s="47"/>
      <c r="D1498" s="47"/>
      <c r="E1498" s="47"/>
      <c r="F1498" s="47"/>
      <c r="G1498" s="47"/>
      <c r="H1498" s="47"/>
    </row>
    <row r="1499" spans="1:8">
      <c r="A1499" s="47"/>
      <c r="B1499" s="47"/>
      <c r="C1499" s="47"/>
      <c r="D1499" s="47"/>
      <c r="E1499" s="47"/>
      <c r="F1499" s="47"/>
      <c r="G1499" s="47"/>
      <c r="H1499" s="47"/>
    </row>
    <row r="1500" spans="1:8">
      <c r="A1500" s="47"/>
      <c r="B1500" s="47"/>
      <c r="C1500" s="47"/>
      <c r="D1500" s="47"/>
      <c r="E1500" s="47"/>
      <c r="F1500" s="47"/>
      <c r="G1500" s="47"/>
      <c r="H1500" s="47"/>
    </row>
    <row r="1501" spans="1:8">
      <c r="A1501" s="47"/>
      <c r="B1501" s="47"/>
      <c r="C1501" s="47"/>
      <c r="D1501" s="47"/>
      <c r="E1501" s="47"/>
      <c r="F1501" s="47"/>
      <c r="G1501" s="47"/>
      <c r="H1501" s="47"/>
    </row>
    <row r="1502" spans="1:8">
      <c r="A1502" s="47"/>
      <c r="B1502" s="47"/>
      <c r="C1502" s="47"/>
      <c r="D1502" s="47"/>
      <c r="E1502" s="47"/>
      <c r="F1502" s="47"/>
      <c r="G1502" s="47"/>
      <c r="H1502" s="47"/>
    </row>
    <row r="1503" spans="1:8">
      <c r="A1503" s="47"/>
      <c r="B1503" s="47"/>
      <c r="C1503" s="47"/>
      <c r="D1503" s="47"/>
      <c r="E1503" s="47"/>
      <c r="F1503" s="47"/>
      <c r="G1503" s="47"/>
      <c r="H1503" s="47"/>
    </row>
    <row r="1504" spans="1:8">
      <c r="A1504" s="47"/>
      <c r="B1504" s="47"/>
      <c r="C1504" s="47"/>
      <c r="D1504" s="47"/>
      <c r="E1504" s="47"/>
      <c r="F1504" s="47"/>
      <c r="G1504" s="47"/>
      <c r="H1504" s="47"/>
    </row>
    <row r="1505" spans="1:8">
      <c r="A1505" s="47"/>
      <c r="B1505" s="47"/>
      <c r="C1505" s="47"/>
      <c r="D1505" s="47"/>
      <c r="E1505" s="47"/>
      <c r="F1505" s="47"/>
      <c r="G1505" s="47"/>
      <c r="H1505" s="47"/>
    </row>
    <row r="1506" spans="1:8">
      <c r="A1506" s="47"/>
      <c r="B1506" s="47"/>
      <c r="C1506" s="47"/>
      <c r="D1506" s="47"/>
      <c r="E1506" s="47"/>
      <c r="F1506" s="47"/>
      <c r="G1506" s="47"/>
      <c r="H1506" s="47"/>
    </row>
    <row r="1507" spans="1:8">
      <c r="A1507" s="47"/>
      <c r="B1507" s="47"/>
      <c r="C1507" s="47"/>
      <c r="D1507" s="47"/>
      <c r="E1507" s="47"/>
      <c r="F1507" s="47"/>
      <c r="G1507" s="47"/>
      <c r="H1507" s="47"/>
    </row>
    <row r="1508" spans="1:8">
      <c r="A1508" s="47"/>
      <c r="B1508" s="47"/>
      <c r="C1508" s="47"/>
      <c r="D1508" s="47"/>
      <c r="E1508" s="47"/>
      <c r="F1508" s="47"/>
      <c r="G1508" s="47"/>
      <c r="H1508" s="47"/>
    </row>
    <row r="1509" spans="1:8">
      <c r="A1509" s="47"/>
      <c r="B1509" s="47"/>
      <c r="C1509" s="47"/>
      <c r="D1509" s="47"/>
      <c r="E1509" s="47"/>
      <c r="F1509" s="47"/>
      <c r="G1509" s="47"/>
      <c r="H1509" s="47"/>
    </row>
    <row r="1510" spans="1:8">
      <c r="A1510" s="47"/>
      <c r="B1510" s="47"/>
      <c r="C1510" s="47"/>
      <c r="D1510" s="47"/>
      <c r="E1510" s="47"/>
      <c r="F1510" s="47"/>
      <c r="G1510" s="47"/>
      <c r="H1510" s="47"/>
    </row>
    <row r="1511" spans="1:8">
      <c r="A1511" s="47"/>
      <c r="B1511" s="47"/>
      <c r="C1511" s="47"/>
      <c r="D1511" s="47"/>
      <c r="E1511" s="47"/>
      <c r="F1511" s="47"/>
      <c r="G1511" s="47"/>
      <c r="H1511" s="47"/>
    </row>
    <row r="1512" spans="1:8">
      <c r="A1512" s="47"/>
      <c r="B1512" s="47"/>
      <c r="C1512" s="47"/>
      <c r="D1512" s="47"/>
      <c r="E1512" s="47"/>
      <c r="F1512" s="47"/>
      <c r="G1512" s="47"/>
      <c r="H1512" s="47"/>
    </row>
    <row r="1513" spans="1:8">
      <c r="A1513" s="47"/>
      <c r="B1513" s="47"/>
      <c r="C1513" s="47"/>
      <c r="D1513" s="47"/>
      <c r="E1513" s="47"/>
      <c r="F1513" s="47"/>
      <c r="G1513" s="47"/>
      <c r="H1513" s="47"/>
    </row>
    <row r="1514" spans="1:8">
      <c r="A1514" s="47"/>
      <c r="B1514" s="47"/>
      <c r="C1514" s="47"/>
      <c r="D1514" s="47"/>
      <c r="E1514" s="47"/>
      <c r="F1514" s="47"/>
      <c r="G1514" s="47"/>
      <c r="H1514" s="47"/>
    </row>
    <row r="1515" spans="1:8">
      <c r="A1515" s="47"/>
      <c r="B1515" s="47"/>
      <c r="C1515" s="47"/>
      <c r="D1515" s="47"/>
      <c r="E1515" s="47"/>
      <c r="F1515" s="47"/>
      <c r="G1515" s="47"/>
      <c r="H1515" s="47"/>
    </row>
    <row r="1516" spans="1:8">
      <c r="A1516" s="47"/>
      <c r="B1516" s="47"/>
      <c r="C1516" s="47"/>
      <c r="D1516" s="47"/>
      <c r="E1516" s="47"/>
      <c r="F1516" s="47"/>
      <c r="G1516" s="47"/>
      <c r="H1516" s="47"/>
    </row>
    <row r="1517" spans="1:8">
      <c r="A1517" s="47"/>
      <c r="B1517" s="47"/>
      <c r="C1517" s="47"/>
      <c r="D1517" s="47"/>
      <c r="E1517" s="47"/>
      <c r="F1517" s="47"/>
      <c r="G1517" s="47"/>
      <c r="H1517" s="47"/>
    </row>
    <row r="1518" spans="1:8">
      <c r="A1518" s="47"/>
      <c r="B1518" s="47"/>
      <c r="C1518" s="47"/>
      <c r="D1518" s="47"/>
      <c r="E1518" s="47"/>
      <c r="F1518" s="47"/>
      <c r="G1518" s="47"/>
      <c r="H1518" s="47"/>
    </row>
    <row r="1519" spans="1:8">
      <c r="A1519" s="47"/>
      <c r="B1519" s="47"/>
      <c r="C1519" s="47"/>
      <c r="D1519" s="47"/>
      <c r="E1519" s="47"/>
      <c r="F1519" s="47"/>
      <c r="G1519" s="47"/>
      <c r="H1519" s="47"/>
    </row>
    <row r="1520" spans="1:8">
      <c r="A1520" s="47"/>
      <c r="B1520" s="47"/>
      <c r="C1520" s="47"/>
      <c r="D1520" s="47"/>
      <c r="E1520" s="47"/>
      <c r="F1520" s="47"/>
      <c r="G1520" s="47"/>
      <c r="H1520" s="47"/>
    </row>
    <row r="1521" spans="1:8">
      <c r="A1521" s="47"/>
      <c r="B1521" s="47"/>
      <c r="C1521" s="47"/>
      <c r="D1521" s="47"/>
      <c r="E1521" s="47"/>
      <c r="F1521" s="47"/>
      <c r="G1521" s="47"/>
      <c r="H1521" s="47"/>
    </row>
    <row r="1522" spans="1:8">
      <c r="A1522" s="47"/>
      <c r="B1522" s="47"/>
      <c r="C1522" s="47"/>
      <c r="D1522" s="47"/>
      <c r="E1522" s="47"/>
      <c r="F1522" s="47"/>
      <c r="G1522" s="47"/>
      <c r="H1522" s="47"/>
    </row>
    <row r="1523" spans="1:8">
      <c r="A1523" s="47"/>
      <c r="B1523" s="47"/>
      <c r="C1523" s="47"/>
      <c r="D1523" s="47"/>
      <c r="E1523" s="47"/>
      <c r="F1523" s="47"/>
      <c r="G1523" s="47"/>
      <c r="H1523" s="47"/>
    </row>
    <row r="1524" spans="1:8">
      <c r="A1524" s="47"/>
      <c r="B1524" s="47"/>
      <c r="C1524" s="47"/>
      <c r="D1524" s="47"/>
      <c r="E1524" s="47"/>
      <c r="F1524" s="47"/>
      <c r="G1524" s="47"/>
      <c r="H1524" s="47"/>
    </row>
    <row r="1525" spans="1:8">
      <c r="A1525" s="47"/>
      <c r="B1525" s="47"/>
      <c r="C1525" s="47"/>
      <c r="D1525" s="47"/>
      <c r="E1525" s="47"/>
      <c r="F1525" s="47"/>
      <c r="G1525" s="47"/>
      <c r="H1525" s="47"/>
    </row>
    <row r="1526" spans="1:8">
      <c r="A1526" s="47"/>
      <c r="B1526" s="47"/>
      <c r="C1526" s="47"/>
      <c r="D1526" s="47"/>
      <c r="E1526" s="47"/>
      <c r="F1526" s="47"/>
      <c r="G1526" s="47"/>
      <c r="H1526" s="47"/>
    </row>
    <row r="1527" spans="1:8">
      <c r="A1527" s="47"/>
      <c r="B1527" s="47"/>
      <c r="C1527" s="47"/>
      <c r="D1527" s="47"/>
      <c r="E1527" s="47"/>
      <c r="F1527" s="47"/>
      <c r="G1527" s="47"/>
      <c r="H1527" s="47"/>
    </row>
    <row r="1528" spans="1:8">
      <c r="A1528" s="47"/>
      <c r="B1528" s="47"/>
      <c r="C1528" s="47"/>
      <c r="D1528" s="47"/>
      <c r="E1528" s="47"/>
      <c r="F1528" s="47"/>
      <c r="G1528" s="47"/>
      <c r="H1528" s="47"/>
    </row>
    <row r="1529" spans="1:8">
      <c r="A1529" s="47"/>
      <c r="B1529" s="47"/>
      <c r="C1529" s="47"/>
      <c r="D1529" s="47"/>
      <c r="E1529" s="47"/>
      <c r="F1529" s="47"/>
      <c r="G1529" s="47"/>
      <c r="H1529" s="47"/>
    </row>
    <row r="1530" spans="1:8">
      <c r="A1530" s="47"/>
      <c r="B1530" s="47"/>
      <c r="C1530" s="47"/>
      <c r="D1530" s="47"/>
      <c r="E1530" s="47"/>
      <c r="F1530" s="47"/>
      <c r="G1530" s="47"/>
      <c r="H1530" s="47"/>
    </row>
    <row r="1531" spans="1:8">
      <c r="A1531" s="47"/>
      <c r="B1531" s="47"/>
      <c r="C1531" s="47"/>
      <c r="D1531" s="47"/>
      <c r="E1531" s="47"/>
      <c r="F1531" s="47"/>
      <c r="G1531" s="47"/>
      <c r="H1531" s="47"/>
    </row>
    <row r="1532" spans="1:8">
      <c r="A1532" s="47"/>
      <c r="B1532" s="47"/>
      <c r="C1532" s="47"/>
      <c r="D1532" s="47"/>
      <c r="E1532" s="47"/>
      <c r="F1532" s="47"/>
      <c r="G1532" s="47"/>
      <c r="H1532" s="47"/>
    </row>
    <row r="1533" spans="1:8">
      <c r="A1533" s="47"/>
      <c r="B1533" s="47"/>
      <c r="C1533" s="47"/>
      <c r="D1533" s="47"/>
      <c r="E1533" s="47"/>
      <c r="F1533" s="47"/>
      <c r="G1533" s="47"/>
      <c r="H1533" s="47"/>
    </row>
    <row r="1534" spans="1:8">
      <c r="A1534" s="47"/>
      <c r="B1534" s="47"/>
      <c r="C1534" s="47"/>
      <c r="D1534" s="47"/>
      <c r="E1534" s="47"/>
      <c r="F1534" s="47"/>
      <c r="G1534" s="47"/>
      <c r="H1534" s="47"/>
    </row>
    <row r="1535" spans="1:8">
      <c r="A1535" s="47"/>
      <c r="B1535" s="47"/>
      <c r="C1535" s="47"/>
      <c r="D1535" s="47"/>
      <c r="E1535" s="47"/>
      <c r="F1535" s="47"/>
      <c r="G1535" s="47"/>
      <c r="H1535" s="47"/>
    </row>
    <row r="1536" spans="1:8">
      <c r="A1536" s="47"/>
      <c r="B1536" s="47"/>
      <c r="C1536" s="47"/>
      <c r="D1536" s="47"/>
      <c r="E1536" s="47"/>
      <c r="F1536" s="47"/>
      <c r="G1536" s="47"/>
      <c r="H1536" s="47"/>
    </row>
    <row r="1537" spans="1:8">
      <c r="A1537" s="47"/>
      <c r="B1537" s="47"/>
      <c r="C1537" s="47"/>
      <c r="D1537" s="47"/>
      <c r="E1537" s="47"/>
      <c r="F1537" s="47"/>
      <c r="G1537" s="47"/>
      <c r="H1537" s="47"/>
    </row>
    <row r="1538" spans="1:8">
      <c r="A1538" s="47"/>
      <c r="B1538" s="47"/>
      <c r="C1538" s="47"/>
      <c r="D1538" s="47"/>
      <c r="E1538" s="47"/>
      <c r="F1538" s="47"/>
      <c r="G1538" s="47"/>
      <c r="H1538" s="47"/>
    </row>
    <row r="1539" spans="1:8">
      <c r="A1539" s="47"/>
      <c r="B1539" s="47"/>
      <c r="C1539" s="47"/>
      <c r="D1539" s="47"/>
      <c r="E1539" s="47"/>
      <c r="F1539" s="47"/>
      <c r="G1539" s="47"/>
      <c r="H1539" s="47"/>
    </row>
    <row r="1540" spans="1:8">
      <c r="A1540" s="47"/>
      <c r="B1540" s="47"/>
      <c r="C1540" s="47"/>
      <c r="D1540" s="47"/>
      <c r="E1540" s="47"/>
      <c r="F1540" s="47"/>
      <c r="G1540" s="47"/>
      <c r="H1540" s="47"/>
    </row>
    <row r="1541" spans="1:8">
      <c r="A1541" s="47"/>
      <c r="B1541" s="47"/>
      <c r="C1541" s="47"/>
      <c r="D1541" s="47"/>
      <c r="E1541" s="47"/>
      <c r="F1541" s="47"/>
      <c r="G1541" s="47"/>
      <c r="H1541" s="47"/>
    </row>
    <row r="1542" spans="1:8">
      <c r="A1542" s="47"/>
      <c r="B1542" s="47"/>
      <c r="C1542" s="47"/>
      <c r="D1542" s="47"/>
      <c r="E1542" s="47"/>
      <c r="F1542" s="47"/>
      <c r="G1542" s="47"/>
      <c r="H1542" s="47"/>
    </row>
    <row r="1543" spans="1:8">
      <c r="A1543" s="47"/>
      <c r="B1543" s="47"/>
      <c r="C1543" s="47"/>
      <c r="D1543" s="47"/>
      <c r="E1543" s="47"/>
      <c r="F1543" s="47"/>
      <c r="G1543" s="47"/>
      <c r="H1543" s="47"/>
    </row>
    <row r="1544" spans="1:8">
      <c r="A1544" s="47"/>
      <c r="B1544" s="47"/>
      <c r="C1544" s="47"/>
      <c r="D1544" s="47"/>
      <c r="E1544" s="47"/>
      <c r="F1544" s="47"/>
      <c r="G1544" s="47"/>
      <c r="H1544" s="47"/>
    </row>
    <row r="1545" spans="1:8">
      <c r="A1545" s="47"/>
      <c r="B1545" s="47"/>
      <c r="C1545" s="47"/>
      <c r="D1545" s="47"/>
      <c r="E1545" s="47"/>
      <c r="F1545" s="47"/>
      <c r="G1545" s="47"/>
      <c r="H1545" s="47"/>
    </row>
    <row r="1546" spans="1:8">
      <c r="A1546" s="47"/>
      <c r="B1546" s="47"/>
      <c r="C1546" s="47"/>
      <c r="D1546" s="47"/>
      <c r="E1546" s="47"/>
      <c r="F1546" s="47"/>
      <c r="G1546" s="47"/>
      <c r="H1546" s="47"/>
    </row>
    <row r="1547" spans="1:8">
      <c r="A1547" s="47"/>
      <c r="B1547" s="47"/>
      <c r="C1547" s="47"/>
      <c r="D1547" s="47"/>
      <c r="E1547" s="47"/>
      <c r="F1547" s="47"/>
      <c r="G1547" s="47"/>
      <c r="H1547" s="47"/>
    </row>
    <row r="1548" spans="1:8">
      <c r="A1548" s="47"/>
      <c r="B1548" s="47"/>
      <c r="C1548" s="47"/>
      <c r="D1548" s="47"/>
      <c r="E1548" s="47"/>
      <c r="F1548" s="47"/>
      <c r="G1548" s="47"/>
      <c r="H1548" s="47"/>
    </row>
    <row r="1549" spans="1:8">
      <c r="A1549" s="47"/>
      <c r="B1549" s="47"/>
      <c r="C1549" s="47"/>
      <c r="D1549" s="47"/>
      <c r="E1549" s="47"/>
      <c r="F1549" s="47"/>
      <c r="G1549" s="47"/>
      <c r="H1549" s="47"/>
    </row>
    <row r="1550" spans="1:8">
      <c r="A1550" s="47"/>
      <c r="B1550" s="47"/>
      <c r="C1550" s="47"/>
      <c r="D1550" s="47"/>
      <c r="E1550" s="47"/>
      <c r="F1550" s="47"/>
      <c r="G1550" s="47"/>
      <c r="H1550" s="47"/>
    </row>
    <row r="1551" spans="1:8">
      <c r="A1551" s="47"/>
      <c r="B1551" s="47"/>
      <c r="C1551" s="47"/>
      <c r="D1551" s="47"/>
      <c r="E1551" s="47"/>
      <c r="F1551" s="47"/>
      <c r="G1551" s="47"/>
      <c r="H1551" s="47"/>
    </row>
    <row r="1552" spans="1:8">
      <c r="A1552" s="47"/>
      <c r="B1552" s="47"/>
      <c r="C1552" s="47"/>
      <c r="D1552" s="47"/>
      <c r="E1552" s="47"/>
      <c r="F1552" s="47"/>
      <c r="G1552" s="47"/>
      <c r="H1552" s="47"/>
    </row>
    <row r="1553" spans="1:8">
      <c r="A1553" s="47"/>
      <c r="B1553" s="47"/>
      <c r="C1553" s="47"/>
      <c r="D1553" s="47"/>
      <c r="E1553" s="47"/>
      <c r="F1553" s="47"/>
      <c r="G1553" s="47"/>
      <c r="H1553" s="47"/>
    </row>
    <row r="1554" spans="1:8">
      <c r="A1554" s="47"/>
      <c r="B1554" s="47"/>
      <c r="C1554" s="47"/>
      <c r="D1554" s="47"/>
      <c r="E1554" s="47"/>
      <c r="F1554" s="47"/>
      <c r="G1554" s="47"/>
      <c r="H1554" s="47"/>
    </row>
    <row r="1555" spans="1:8">
      <c r="A1555" s="47"/>
      <c r="B1555" s="47"/>
      <c r="C1555" s="47"/>
      <c r="D1555" s="47"/>
      <c r="E1555" s="47"/>
      <c r="F1555" s="47"/>
      <c r="G1555" s="47"/>
      <c r="H1555" s="47"/>
    </row>
    <row r="1556" spans="1:8">
      <c r="A1556" s="47"/>
      <c r="B1556" s="47"/>
      <c r="C1556" s="47"/>
      <c r="D1556" s="47"/>
      <c r="E1556" s="47"/>
      <c r="F1556" s="47"/>
      <c r="G1556" s="47"/>
      <c r="H1556" s="47"/>
    </row>
    <row r="1557" spans="1:8">
      <c r="A1557" s="47"/>
      <c r="B1557" s="47"/>
      <c r="C1557" s="47"/>
      <c r="D1557" s="47"/>
      <c r="E1557" s="47"/>
      <c r="F1557" s="47"/>
      <c r="G1557" s="47"/>
      <c r="H1557" s="47"/>
    </row>
    <row r="1558" spans="1:8">
      <c r="A1558" s="47"/>
      <c r="B1558" s="47"/>
      <c r="C1558" s="47"/>
      <c r="D1558" s="47"/>
      <c r="E1558" s="47"/>
      <c r="F1558" s="47"/>
      <c r="G1558" s="47"/>
      <c r="H1558" s="47"/>
    </row>
    <row r="1559" spans="1:8">
      <c r="A1559" s="47"/>
      <c r="B1559" s="47"/>
      <c r="C1559" s="47"/>
      <c r="D1559" s="47"/>
      <c r="E1559" s="47"/>
      <c r="F1559" s="47"/>
      <c r="G1559" s="47"/>
      <c r="H1559" s="47"/>
    </row>
    <row r="1560" spans="1:8">
      <c r="A1560" s="47"/>
      <c r="B1560" s="47"/>
      <c r="C1560" s="47"/>
      <c r="D1560" s="47"/>
      <c r="E1560" s="47"/>
      <c r="F1560" s="47"/>
      <c r="G1560" s="47"/>
      <c r="H1560" s="47"/>
    </row>
    <row r="1561" spans="1:8">
      <c r="A1561" s="47"/>
      <c r="B1561" s="47"/>
      <c r="C1561" s="47"/>
      <c r="D1561" s="47"/>
      <c r="E1561" s="47"/>
      <c r="F1561" s="47"/>
      <c r="G1561" s="47"/>
      <c r="H1561" s="47"/>
    </row>
    <row r="1562" spans="1:8">
      <c r="A1562" s="47"/>
      <c r="B1562" s="47"/>
      <c r="C1562" s="47"/>
      <c r="D1562" s="47"/>
      <c r="E1562" s="47"/>
      <c r="F1562" s="47"/>
      <c r="G1562" s="47"/>
      <c r="H1562" s="47"/>
    </row>
    <row r="1563" spans="1:8">
      <c r="A1563" s="47"/>
      <c r="B1563" s="47"/>
      <c r="C1563" s="47"/>
      <c r="D1563" s="47"/>
      <c r="E1563" s="47"/>
      <c r="F1563" s="47"/>
      <c r="G1563" s="47"/>
      <c r="H1563" s="47"/>
    </row>
    <row r="1564" spans="1:8">
      <c r="A1564" s="47"/>
      <c r="B1564" s="47"/>
      <c r="C1564" s="47"/>
      <c r="D1564" s="47"/>
      <c r="E1564" s="47"/>
      <c r="F1564" s="47"/>
      <c r="G1564" s="47"/>
      <c r="H1564" s="47"/>
    </row>
    <row r="1565" spans="1:8">
      <c r="A1565" s="47"/>
      <c r="B1565" s="47"/>
      <c r="C1565" s="47"/>
      <c r="D1565" s="47"/>
      <c r="E1565" s="47"/>
      <c r="F1565" s="47"/>
      <c r="G1565" s="47"/>
      <c r="H1565" s="47"/>
    </row>
    <row r="1566" spans="1:8">
      <c r="A1566" s="47"/>
      <c r="B1566" s="47"/>
      <c r="C1566" s="47"/>
      <c r="D1566" s="47"/>
      <c r="E1566" s="47"/>
      <c r="F1566" s="47"/>
      <c r="G1566" s="47"/>
      <c r="H1566" s="47"/>
    </row>
    <row r="1567" spans="1:8">
      <c r="A1567" s="47"/>
      <c r="B1567" s="47"/>
      <c r="C1567" s="47"/>
      <c r="D1567" s="47"/>
      <c r="E1567" s="47"/>
      <c r="F1567" s="47"/>
      <c r="G1567" s="47"/>
      <c r="H1567" s="47"/>
    </row>
    <row r="1568" spans="1:8">
      <c r="A1568" s="47"/>
      <c r="B1568" s="47"/>
      <c r="C1568" s="47"/>
      <c r="D1568" s="47"/>
      <c r="E1568" s="47"/>
      <c r="F1568" s="47"/>
      <c r="G1568" s="47"/>
      <c r="H1568" s="47"/>
    </row>
    <row r="1569" spans="1:8">
      <c r="A1569" s="47"/>
      <c r="B1569" s="47"/>
      <c r="C1569" s="47"/>
      <c r="D1569" s="47"/>
      <c r="E1569" s="47"/>
      <c r="F1569" s="47"/>
      <c r="G1569" s="47"/>
      <c r="H1569" s="47"/>
    </row>
    <row r="1570" spans="1:8">
      <c r="A1570" s="47"/>
      <c r="B1570" s="47"/>
      <c r="C1570" s="47"/>
      <c r="D1570" s="47"/>
      <c r="E1570" s="47"/>
      <c r="F1570" s="47"/>
      <c r="G1570" s="47"/>
      <c r="H1570" s="47"/>
    </row>
    <row r="1571" spans="1:8">
      <c r="A1571" s="47"/>
      <c r="B1571" s="47"/>
      <c r="C1571" s="47"/>
      <c r="D1571" s="47"/>
      <c r="E1571" s="47"/>
      <c r="F1571" s="47"/>
      <c r="G1571" s="47"/>
      <c r="H1571" s="47"/>
    </row>
    <row r="1572" spans="1:8">
      <c r="A1572" s="47"/>
      <c r="B1572" s="47"/>
      <c r="C1572" s="47"/>
      <c r="D1572" s="47"/>
      <c r="E1572" s="47"/>
      <c r="F1572" s="47"/>
      <c r="G1572" s="47"/>
      <c r="H1572" s="47"/>
    </row>
    <row r="1573" spans="1:8">
      <c r="A1573" s="47"/>
      <c r="B1573" s="47"/>
      <c r="C1573" s="47"/>
      <c r="D1573" s="47"/>
      <c r="E1573" s="47"/>
      <c r="F1573" s="47"/>
      <c r="G1573" s="47"/>
      <c r="H1573" s="47"/>
    </row>
    <row r="1574" spans="1:8">
      <c r="A1574" s="47"/>
      <c r="B1574" s="47"/>
      <c r="C1574" s="47"/>
      <c r="D1574" s="47"/>
      <c r="E1574" s="47"/>
      <c r="F1574" s="47"/>
      <c r="G1574" s="47"/>
      <c r="H1574" s="47"/>
    </row>
    <row r="1575" spans="1:8">
      <c r="A1575" s="47"/>
      <c r="B1575" s="47"/>
      <c r="C1575" s="47"/>
      <c r="D1575" s="47"/>
      <c r="E1575" s="47"/>
      <c r="F1575" s="47"/>
      <c r="G1575" s="47"/>
      <c r="H1575" s="47"/>
    </row>
    <row r="1576" spans="1:8">
      <c r="A1576" s="47"/>
      <c r="B1576" s="47"/>
      <c r="C1576" s="47"/>
      <c r="D1576" s="47"/>
      <c r="E1576" s="47"/>
      <c r="F1576" s="47"/>
      <c r="G1576" s="47"/>
      <c r="H1576" s="47"/>
    </row>
    <row r="1577" spans="1:8">
      <c r="A1577" s="47"/>
      <c r="B1577" s="47"/>
      <c r="C1577" s="47"/>
      <c r="D1577" s="47"/>
      <c r="E1577" s="47"/>
      <c r="F1577" s="47"/>
      <c r="G1577" s="47"/>
      <c r="H1577" s="47"/>
    </row>
    <row r="1578" spans="1:8">
      <c r="A1578" s="47"/>
      <c r="B1578" s="47"/>
      <c r="C1578" s="47"/>
      <c r="D1578" s="47"/>
      <c r="E1578" s="47"/>
      <c r="F1578" s="47"/>
      <c r="G1578" s="47"/>
      <c r="H1578" s="47"/>
    </row>
    <row r="1579" spans="1:8">
      <c r="A1579" s="47"/>
      <c r="B1579" s="47"/>
      <c r="C1579" s="47"/>
      <c r="D1579" s="47"/>
      <c r="E1579" s="47"/>
      <c r="F1579" s="47"/>
      <c r="G1579" s="47"/>
      <c r="H1579" s="47"/>
    </row>
    <row r="1580" spans="1:8">
      <c r="A1580" s="47"/>
      <c r="B1580" s="47"/>
      <c r="C1580" s="47"/>
      <c r="D1580" s="47"/>
      <c r="E1580" s="47"/>
      <c r="F1580" s="47"/>
      <c r="G1580" s="47"/>
      <c r="H1580" s="47"/>
    </row>
    <row r="1581" spans="1:8">
      <c r="A1581" s="47"/>
      <c r="B1581" s="47"/>
      <c r="C1581" s="47"/>
      <c r="D1581" s="47"/>
      <c r="E1581" s="47"/>
      <c r="F1581" s="47"/>
      <c r="G1581" s="47"/>
      <c r="H1581" s="47"/>
    </row>
    <row r="1582" spans="1:8">
      <c r="A1582" s="47"/>
      <c r="B1582" s="47"/>
      <c r="C1582" s="47"/>
      <c r="D1582" s="47"/>
      <c r="E1582" s="47"/>
      <c r="F1582" s="47"/>
      <c r="G1582" s="47"/>
      <c r="H1582" s="47"/>
    </row>
    <row r="1583" spans="1:8">
      <c r="A1583" s="47"/>
      <c r="B1583" s="47"/>
      <c r="C1583" s="47"/>
      <c r="D1583" s="47"/>
      <c r="E1583" s="47"/>
      <c r="F1583" s="47"/>
      <c r="G1583" s="47"/>
      <c r="H1583" s="47"/>
    </row>
    <row r="1584" spans="1:8">
      <c r="A1584" s="47"/>
      <c r="B1584" s="47"/>
      <c r="C1584" s="47"/>
      <c r="D1584" s="47"/>
      <c r="E1584" s="47"/>
      <c r="F1584" s="47"/>
      <c r="G1584" s="47"/>
      <c r="H1584" s="47"/>
    </row>
    <row r="1585" spans="1:8">
      <c r="A1585" s="47"/>
      <c r="B1585" s="47"/>
      <c r="C1585" s="47"/>
      <c r="D1585" s="47"/>
      <c r="E1585" s="47"/>
      <c r="F1585" s="47"/>
      <c r="G1585" s="47"/>
      <c r="H1585" s="47"/>
    </row>
    <row r="1586" spans="1:8">
      <c r="A1586" s="47"/>
      <c r="B1586" s="47"/>
      <c r="C1586" s="47"/>
      <c r="D1586" s="47"/>
      <c r="E1586" s="47"/>
      <c r="F1586" s="47"/>
      <c r="G1586" s="47"/>
      <c r="H1586" s="47"/>
    </row>
    <row r="1587" spans="1:8">
      <c r="A1587" s="47"/>
      <c r="B1587" s="47"/>
      <c r="C1587" s="47"/>
      <c r="D1587" s="47"/>
      <c r="E1587" s="47"/>
      <c r="F1587" s="47"/>
      <c r="G1587" s="47"/>
      <c r="H1587" s="47"/>
    </row>
    <row r="1588" spans="1:8">
      <c r="A1588" s="47"/>
      <c r="B1588" s="47"/>
      <c r="C1588" s="47"/>
      <c r="D1588" s="47"/>
      <c r="E1588" s="47"/>
      <c r="F1588" s="47"/>
      <c r="G1588" s="47"/>
      <c r="H1588" s="47"/>
    </row>
    <row r="1589" spans="1:8">
      <c r="A1589" s="47"/>
      <c r="B1589" s="47"/>
      <c r="C1589" s="47"/>
      <c r="D1589" s="47"/>
      <c r="E1589" s="47"/>
      <c r="F1589" s="47"/>
      <c r="G1589" s="47"/>
      <c r="H1589" s="47"/>
    </row>
    <row r="1590" spans="1:8">
      <c r="A1590" s="47"/>
      <c r="B1590" s="47"/>
      <c r="C1590" s="47"/>
      <c r="D1590" s="47"/>
      <c r="E1590" s="47"/>
      <c r="F1590" s="47"/>
      <c r="G1590" s="47"/>
      <c r="H1590" s="47"/>
    </row>
    <row r="1591" spans="1:8">
      <c r="A1591" s="47"/>
      <c r="B1591" s="47"/>
      <c r="C1591" s="47"/>
      <c r="D1591" s="47"/>
      <c r="E1591" s="47"/>
      <c r="F1591" s="47"/>
      <c r="G1591" s="47"/>
      <c r="H1591" s="47"/>
    </row>
    <row r="1592" spans="1:8">
      <c r="A1592" s="47"/>
      <c r="B1592" s="47"/>
      <c r="C1592" s="47"/>
      <c r="D1592" s="47"/>
      <c r="E1592" s="47"/>
      <c r="F1592" s="47"/>
      <c r="G1592" s="47"/>
      <c r="H1592" s="47"/>
    </row>
    <row r="1593" spans="1:8">
      <c r="A1593" s="47"/>
      <c r="B1593" s="47"/>
      <c r="C1593" s="47"/>
      <c r="D1593" s="47"/>
      <c r="E1593" s="47"/>
      <c r="F1593" s="47"/>
      <c r="G1593" s="47"/>
      <c r="H1593" s="47"/>
    </row>
    <row r="1594" spans="1:8">
      <c r="A1594" s="47"/>
      <c r="B1594" s="47"/>
      <c r="C1594" s="47"/>
      <c r="D1594" s="47"/>
      <c r="E1594" s="47"/>
      <c r="F1594" s="47"/>
      <c r="G1594" s="47"/>
      <c r="H1594" s="47"/>
    </row>
    <row r="1595" spans="1:8">
      <c r="A1595" s="47"/>
      <c r="B1595" s="47"/>
      <c r="C1595" s="47"/>
      <c r="D1595" s="47"/>
      <c r="E1595" s="47"/>
      <c r="F1595" s="47"/>
      <c r="G1595" s="47"/>
      <c r="H1595" s="47"/>
    </row>
    <row r="1596" spans="1:8">
      <c r="A1596" s="47"/>
      <c r="B1596" s="47"/>
      <c r="C1596" s="47"/>
      <c r="D1596" s="47"/>
      <c r="E1596" s="47"/>
      <c r="F1596" s="47"/>
      <c r="G1596" s="47"/>
      <c r="H1596" s="47"/>
    </row>
    <row r="1597" spans="1:8">
      <c r="A1597" s="47"/>
      <c r="B1597" s="47"/>
      <c r="C1597" s="47"/>
      <c r="D1597" s="47"/>
      <c r="E1597" s="47"/>
      <c r="F1597" s="47"/>
      <c r="G1597" s="47"/>
      <c r="H1597" s="47"/>
    </row>
    <row r="1598" spans="1:8">
      <c r="A1598" s="47"/>
      <c r="B1598" s="47"/>
      <c r="C1598" s="47"/>
      <c r="D1598" s="47"/>
      <c r="E1598" s="47"/>
      <c r="F1598" s="47"/>
      <c r="G1598" s="47"/>
      <c r="H1598" s="47"/>
    </row>
    <row r="1599" spans="1:8">
      <c r="A1599" s="47"/>
      <c r="B1599" s="47"/>
      <c r="C1599" s="47"/>
      <c r="D1599" s="47"/>
      <c r="E1599" s="47"/>
      <c r="F1599" s="47"/>
      <c r="G1599" s="47"/>
      <c r="H1599" s="47"/>
    </row>
    <row r="1600" spans="1:8">
      <c r="A1600" s="47"/>
      <c r="B1600" s="47"/>
      <c r="C1600" s="47"/>
      <c r="D1600" s="47"/>
      <c r="E1600" s="47"/>
      <c r="F1600" s="47"/>
      <c r="G1600" s="47"/>
      <c r="H1600" s="47"/>
    </row>
    <row r="1601" spans="1:8">
      <c r="A1601" s="47"/>
      <c r="B1601" s="47"/>
      <c r="C1601" s="47"/>
      <c r="D1601" s="47"/>
      <c r="E1601" s="47"/>
      <c r="F1601" s="47"/>
      <c r="G1601" s="47"/>
      <c r="H1601" s="47"/>
    </row>
    <row r="1602" spans="1:8">
      <c r="A1602" s="47"/>
      <c r="B1602" s="47"/>
      <c r="C1602" s="47"/>
      <c r="D1602" s="47"/>
      <c r="E1602" s="47"/>
      <c r="F1602" s="47"/>
      <c r="G1602" s="47"/>
      <c r="H1602" s="47"/>
    </row>
    <row r="1603" spans="1:8">
      <c r="A1603" s="47"/>
      <c r="B1603" s="47"/>
      <c r="C1603" s="47"/>
      <c r="D1603" s="47"/>
      <c r="E1603" s="47"/>
      <c r="F1603" s="47"/>
      <c r="G1603" s="47"/>
      <c r="H1603" s="47"/>
    </row>
    <row r="1604" spans="1:8">
      <c r="A1604" s="47"/>
      <c r="B1604" s="47"/>
      <c r="C1604" s="47"/>
      <c r="D1604" s="47"/>
      <c r="E1604" s="47"/>
      <c r="F1604" s="47"/>
      <c r="G1604" s="47"/>
      <c r="H1604" s="47"/>
    </row>
    <row r="1605" spans="1:8">
      <c r="A1605" s="47"/>
      <c r="B1605" s="47"/>
      <c r="C1605" s="47"/>
      <c r="D1605" s="47"/>
      <c r="E1605" s="47"/>
      <c r="F1605" s="47"/>
      <c r="G1605" s="47"/>
      <c r="H1605" s="47"/>
    </row>
    <row r="1606" spans="1:8">
      <c r="A1606" s="47"/>
      <c r="B1606" s="47"/>
      <c r="C1606" s="47"/>
      <c r="D1606" s="47"/>
      <c r="E1606" s="47"/>
      <c r="F1606" s="47"/>
      <c r="G1606" s="47"/>
      <c r="H1606" s="47"/>
    </row>
    <row r="1607" spans="1:8">
      <c r="A1607" s="47"/>
      <c r="B1607" s="47"/>
      <c r="C1607" s="47"/>
      <c r="D1607" s="47"/>
      <c r="E1607" s="47"/>
      <c r="F1607" s="47"/>
      <c r="G1607" s="47"/>
      <c r="H1607" s="47"/>
    </row>
    <row r="1608" spans="1:8">
      <c r="A1608" s="47"/>
      <c r="B1608" s="47"/>
      <c r="C1608" s="47"/>
      <c r="D1608" s="47"/>
      <c r="E1608" s="47"/>
      <c r="F1608" s="47"/>
      <c r="G1608" s="47"/>
      <c r="H1608" s="47"/>
    </row>
    <row r="1609" spans="1:8">
      <c r="A1609" s="47"/>
      <c r="B1609" s="47"/>
      <c r="C1609" s="47"/>
      <c r="D1609" s="47"/>
      <c r="E1609" s="47"/>
      <c r="F1609" s="47"/>
      <c r="G1609" s="47"/>
      <c r="H1609" s="47"/>
    </row>
    <row r="1610" spans="1:8">
      <c r="A1610" s="47"/>
      <c r="B1610" s="47"/>
      <c r="C1610" s="47"/>
      <c r="D1610" s="47"/>
      <c r="E1610" s="47"/>
      <c r="F1610" s="47"/>
      <c r="G1610" s="47"/>
      <c r="H1610" s="47"/>
    </row>
    <row r="1611" spans="1:8">
      <c r="A1611" s="47"/>
      <c r="B1611" s="47"/>
      <c r="C1611" s="47"/>
      <c r="D1611" s="47"/>
      <c r="E1611" s="47"/>
      <c r="F1611" s="47"/>
      <c r="G1611" s="47"/>
      <c r="H1611" s="47"/>
    </row>
    <row r="1612" spans="1:8">
      <c r="A1612" s="47"/>
      <c r="B1612" s="47"/>
      <c r="C1612" s="47"/>
      <c r="D1612" s="47"/>
      <c r="E1612" s="47"/>
      <c r="F1612" s="47"/>
      <c r="G1612" s="47"/>
      <c r="H1612" s="47"/>
    </row>
    <row r="1613" spans="1:8">
      <c r="A1613" s="47"/>
      <c r="B1613" s="47"/>
      <c r="C1613" s="47"/>
      <c r="D1613" s="47"/>
      <c r="E1613" s="47"/>
      <c r="F1613" s="47"/>
      <c r="G1613" s="47"/>
      <c r="H1613" s="47"/>
    </row>
    <row r="1614" spans="1:8">
      <c r="A1614" s="47"/>
      <c r="B1614" s="47"/>
      <c r="C1614" s="47"/>
      <c r="D1614" s="47"/>
      <c r="E1614" s="47"/>
      <c r="F1614" s="47"/>
      <c r="G1614" s="47"/>
      <c r="H1614" s="47"/>
    </row>
    <row r="1615" spans="1:8">
      <c r="A1615" s="47"/>
      <c r="B1615" s="47"/>
      <c r="C1615" s="47"/>
      <c r="D1615" s="47"/>
      <c r="E1615" s="47"/>
      <c r="F1615" s="47"/>
      <c r="G1615" s="47"/>
      <c r="H1615" s="47"/>
    </row>
    <row r="1616" spans="1:8">
      <c r="A1616" s="47"/>
      <c r="B1616" s="47"/>
      <c r="C1616" s="47"/>
      <c r="D1616" s="47"/>
      <c r="E1616" s="47"/>
      <c r="F1616" s="47"/>
      <c r="G1616" s="47"/>
      <c r="H1616" s="47"/>
    </row>
    <row r="1617" spans="1:8">
      <c r="A1617" s="47"/>
      <c r="B1617" s="47"/>
      <c r="C1617" s="47"/>
      <c r="D1617" s="47"/>
      <c r="E1617" s="47"/>
      <c r="F1617" s="47"/>
      <c r="G1617" s="47"/>
      <c r="H1617" s="47"/>
    </row>
    <row r="1618" spans="1:8">
      <c r="A1618" s="47"/>
      <c r="B1618" s="47"/>
      <c r="C1618" s="47"/>
      <c r="D1618" s="47"/>
      <c r="E1618" s="47"/>
      <c r="F1618" s="47"/>
      <c r="G1618" s="47"/>
      <c r="H1618" s="47"/>
    </row>
    <row r="1619" spans="1:8">
      <c r="A1619" s="47"/>
      <c r="B1619" s="47"/>
      <c r="C1619" s="47"/>
      <c r="D1619" s="47"/>
      <c r="E1619" s="47"/>
      <c r="F1619" s="47"/>
      <c r="G1619" s="47"/>
      <c r="H1619" s="47"/>
    </row>
    <row r="1620" spans="1:8">
      <c r="A1620" s="47"/>
      <c r="B1620" s="47"/>
      <c r="C1620" s="47"/>
      <c r="D1620" s="47"/>
      <c r="E1620" s="47"/>
      <c r="F1620" s="47"/>
      <c r="G1620" s="47"/>
      <c r="H1620" s="47"/>
    </row>
    <row r="1621" spans="1:8">
      <c r="A1621" s="47"/>
      <c r="B1621" s="47"/>
      <c r="C1621" s="47"/>
      <c r="D1621" s="47"/>
      <c r="E1621" s="47"/>
      <c r="F1621" s="47"/>
      <c r="G1621" s="47"/>
      <c r="H1621" s="47"/>
    </row>
    <row r="1622" spans="1:8">
      <c r="A1622" s="47"/>
      <c r="B1622" s="47"/>
      <c r="C1622" s="47"/>
      <c r="D1622" s="47"/>
      <c r="E1622" s="47"/>
      <c r="F1622" s="47"/>
      <c r="G1622" s="47"/>
      <c r="H1622" s="47"/>
    </row>
    <row r="1623" spans="1:8">
      <c r="A1623" s="47"/>
      <c r="B1623" s="47"/>
      <c r="C1623" s="47"/>
      <c r="D1623" s="47"/>
      <c r="E1623" s="47"/>
      <c r="F1623" s="47"/>
      <c r="G1623" s="47"/>
      <c r="H1623" s="47"/>
    </row>
    <row r="1624" spans="1:8">
      <c r="A1624" s="47"/>
      <c r="B1624" s="47"/>
      <c r="C1624" s="47"/>
      <c r="D1624" s="47"/>
      <c r="E1624" s="47"/>
      <c r="F1624" s="47"/>
      <c r="G1624" s="47"/>
      <c r="H1624" s="47"/>
    </row>
    <row r="1625" spans="1:8">
      <c r="A1625" s="47"/>
      <c r="B1625" s="47"/>
      <c r="C1625" s="47"/>
      <c r="D1625" s="47"/>
      <c r="E1625" s="47"/>
      <c r="F1625" s="47"/>
      <c r="G1625" s="47"/>
      <c r="H1625" s="47"/>
    </row>
    <row r="1626" spans="1:8">
      <c r="A1626" s="47"/>
      <c r="B1626" s="47"/>
      <c r="C1626" s="47"/>
      <c r="D1626" s="47"/>
      <c r="E1626" s="47"/>
      <c r="F1626" s="47"/>
      <c r="G1626" s="47"/>
      <c r="H1626" s="47"/>
    </row>
    <row r="1627" spans="1:8">
      <c r="A1627" s="47"/>
      <c r="B1627" s="47"/>
      <c r="C1627" s="47"/>
      <c r="D1627" s="47"/>
      <c r="E1627" s="47"/>
      <c r="F1627" s="47"/>
      <c r="G1627" s="47"/>
      <c r="H1627" s="47"/>
    </row>
    <row r="1628" spans="1:8">
      <c r="A1628" s="47"/>
      <c r="B1628" s="47"/>
      <c r="C1628" s="47"/>
      <c r="D1628" s="47"/>
      <c r="E1628" s="47"/>
      <c r="F1628" s="47"/>
      <c r="G1628" s="47"/>
      <c r="H1628" s="47"/>
    </row>
    <row r="1629" spans="1:8">
      <c r="A1629" s="47"/>
      <c r="B1629" s="47"/>
      <c r="C1629" s="47"/>
      <c r="D1629" s="47"/>
      <c r="E1629" s="47"/>
      <c r="F1629" s="47"/>
      <c r="G1629" s="47"/>
      <c r="H1629" s="47"/>
    </row>
    <row r="1630" spans="1:8">
      <c r="A1630" s="47"/>
      <c r="B1630" s="47"/>
      <c r="C1630" s="47"/>
      <c r="D1630" s="47"/>
      <c r="E1630" s="47"/>
      <c r="F1630" s="47"/>
      <c r="G1630" s="47"/>
      <c r="H1630" s="47"/>
    </row>
    <row r="1631" spans="1:8">
      <c r="A1631" s="47"/>
      <c r="B1631" s="47"/>
      <c r="C1631" s="47"/>
      <c r="D1631" s="47"/>
      <c r="E1631" s="47"/>
      <c r="F1631" s="47"/>
      <c r="G1631" s="47"/>
      <c r="H1631" s="47"/>
    </row>
    <row r="1632" spans="1:8">
      <c r="A1632" s="47"/>
      <c r="B1632" s="47"/>
      <c r="C1632" s="47"/>
      <c r="D1632" s="47"/>
      <c r="E1632" s="47"/>
      <c r="F1632" s="47"/>
      <c r="G1632" s="47"/>
      <c r="H1632" s="47"/>
    </row>
    <row r="1633" spans="1:8">
      <c r="A1633" s="47"/>
      <c r="B1633" s="47"/>
      <c r="C1633" s="47"/>
      <c r="D1633" s="47"/>
      <c r="E1633" s="47"/>
      <c r="F1633" s="47"/>
      <c r="G1633" s="47"/>
      <c r="H1633" s="47"/>
    </row>
    <row r="1634" spans="1:8">
      <c r="A1634" s="47"/>
      <c r="B1634" s="47"/>
      <c r="C1634" s="47"/>
      <c r="D1634" s="47"/>
      <c r="E1634" s="47"/>
      <c r="F1634" s="47"/>
      <c r="G1634" s="47"/>
      <c r="H1634" s="47"/>
    </row>
    <row r="1635" spans="1:8">
      <c r="A1635" s="47"/>
      <c r="B1635" s="47"/>
      <c r="C1635" s="47"/>
      <c r="D1635" s="47"/>
      <c r="E1635" s="47"/>
      <c r="F1635" s="47"/>
      <c r="G1635" s="47"/>
      <c r="H1635" s="47"/>
    </row>
    <row r="1636" spans="1:8">
      <c r="A1636" s="47"/>
      <c r="B1636" s="47"/>
      <c r="C1636" s="47"/>
      <c r="D1636" s="47"/>
      <c r="E1636" s="47"/>
      <c r="F1636" s="47"/>
      <c r="G1636" s="47"/>
      <c r="H1636" s="47"/>
    </row>
    <row r="1637" spans="1:8">
      <c r="A1637" s="47"/>
      <c r="B1637" s="47"/>
      <c r="C1637" s="47"/>
      <c r="D1637" s="47"/>
      <c r="E1637" s="47"/>
      <c r="F1637" s="47"/>
      <c r="G1637" s="47"/>
      <c r="H1637" s="47"/>
    </row>
    <row r="1638" spans="1:8">
      <c r="A1638" s="47"/>
      <c r="B1638" s="47"/>
      <c r="C1638" s="47"/>
      <c r="D1638" s="47"/>
      <c r="E1638" s="47"/>
      <c r="F1638" s="47"/>
      <c r="G1638" s="47"/>
      <c r="H1638" s="47"/>
    </row>
    <row r="1639" spans="1:8">
      <c r="A1639" s="47"/>
      <c r="B1639" s="47"/>
      <c r="C1639" s="47"/>
      <c r="D1639" s="47"/>
      <c r="E1639" s="47"/>
      <c r="F1639" s="47"/>
      <c r="G1639" s="47"/>
      <c r="H1639" s="47"/>
    </row>
    <row r="1640" spans="1:8">
      <c r="A1640" s="47"/>
      <c r="B1640" s="47"/>
      <c r="C1640" s="47"/>
      <c r="D1640" s="47"/>
      <c r="E1640" s="47"/>
      <c r="F1640" s="47"/>
      <c r="G1640" s="47"/>
      <c r="H1640" s="47"/>
    </row>
    <row r="1641" spans="1:8">
      <c r="A1641" s="47"/>
      <c r="B1641" s="47"/>
      <c r="C1641" s="47"/>
      <c r="D1641" s="47"/>
      <c r="E1641" s="47"/>
      <c r="F1641" s="47"/>
      <c r="G1641" s="47"/>
      <c r="H1641" s="47"/>
    </row>
    <row r="1642" spans="1:8">
      <c r="A1642" s="47"/>
      <c r="B1642" s="47"/>
      <c r="C1642" s="47"/>
      <c r="D1642" s="47"/>
      <c r="E1642" s="47"/>
      <c r="F1642" s="47"/>
      <c r="G1642" s="47"/>
      <c r="H1642" s="47"/>
    </row>
    <row r="1643" spans="1:8">
      <c r="A1643" s="47"/>
      <c r="B1643" s="47"/>
      <c r="C1643" s="47"/>
      <c r="D1643" s="47"/>
      <c r="E1643" s="47"/>
      <c r="F1643" s="47"/>
      <c r="G1643" s="47"/>
      <c r="H1643" s="47"/>
    </row>
    <row r="1644" spans="1:8">
      <c r="A1644" s="47"/>
      <c r="B1644" s="47"/>
      <c r="C1644" s="47"/>
      <c r="D1644" s="47"/>
      <c r="E1644" s="47"/>
      <c r="F1644" s="47"/>
      <c r="G1644" s="47"/>
      <c r="H1644" s="47"/>
    </row>
    <row r="1645" spans="1:8">
      <c r="A1645" s="47"/>
      <c r="B1645" s="47"/>
      <c r="C1645" s="47"/>
      <c r="D1645" s="47"/>
      <c r="E1645" s="47"/>
      <c r="F1645" s="47"/>
      <c r="G1645" s="47"/>
      <c r="H1645" s="47"/>
    </row>
    <row r="1646" spans="1:8">
      <c r="A1646" s="47"/>
      <c r="B1646" s="47"/>
      <c r="C1646" s="47"/>
      <c r="D1646" s="47"/>
      <c r="E1646" s="47"/>
      <c r="F1646" s="47"/>
      <c r="G1646" s="47"/>
      <c r="H1646" s="47"/>
    </row>
    <row r="1647" spans="1:8">
      <c r="A1647" s="47"/>
      <c r="B1647" s="47"/>
      <c r="C1647" s="47"/>
      <c r="D1647" s="47"/>
      <c r="E1647" s="47"/>
      <c r="F1647" s="47"/>
      <c r="G1647" s="47"/>
      <c r="H1647" s="47"/>
    </row>
    <row r="1648" spans="1:8">
      <c r="A1648" s="47"/>
      <c r="B1648" s="47"/>
      <c r="C1648" s="47"/>
      <c r="D1648" s="47"/>
      <c r="E1648" s="47"/>
      <c r="F1648" s="47"/>
      <c r="G1648" s="47"/>
      <c r="H1648" s="47"/>
    </row>
    <row r="1649" spans="1:8">
      <c r="A1649" s="47"/>
      <c r="B1649" s="47"/>
      <c r="C1649" s="47"/>
      <c r="D1649" s="47"/>
      <c r="E1649" s="47"/>
      <c r="F1649" s="47"/>
      <c r="G1649" s="47"/>
      <c r="H1649" s="47"/>
    </row>
    <row r="1650" spans="1:8">
      <c r="A1650" s="47"/>
      <c r="B1650" s="47"/>
      <c r="C1650" s="47"/>
      <c r="D1650" s="47"/>
      <c r="E1650" s="47"/>
      <c r="F1650" s="47"/>
      <c r="G1650" s="47"/>
      <c r="H1650" s="47"/>
    </row>
    <row r="1651" spans="1:8">
      <c r="A1651" s="47"/>
      <c r="B1651" s="47"/>
      <c r="C1651" s="47"/>
      <c r="D1651" s="47"/>
      <c r="E1651" s="47"/>
      <c r="F1651" s="47"/>
      <c r="G1651" s="47"/>
      <c r="H1651" s="47"/>
    </row>
    <row r="1652" spans="1:8">
      <c r="A1652" s="47"/>
      <c r="B1652" s="47"/>
      <c r="C1652" s="47"/>
      <c r="D1652" s="47"/>
      <c r="E1652" s="47"/>
      <c r="F1652" s="47"/>
      <c r="G1652" s="47"/>
      <c r="H1652" s="47"/>
    </row>
    <row r="1653" spans="1:8">
      <c r="A1653" s="47"/>
      <c r="B1653" s="47"/>
      <c r="C1653" s="47"/>
      <c r="D1653" s="47"/>
      <c r="E1653" s="47"/>
      <c r="F1653" s="47"/>
      <c r="G1653" s="47"/>
      <c r="H1653" s="47"/>
    </row>
    <row r="1654" spans="1:8">
      <c r="A1654" s="47"/>
      <c r="B1654" s="47"/>
      <c r="C1654" s="47"/>
      <c r="D1654" s="47"/>
      <c r="E1654" s="47"/>
      <c r="F1654" s="47"/>
      <c r="G1654" s="47"/>
      <c r="H1654" s="47"/>
    </row>
    <row r="1655" spans="1:8">
      <c r="A1655" s="47"/>
      <c r="B1655" s="47"/>
      <c r="C1655" s="47"/>
      <c r="D1655" s="47"/>
      <c r="E1655" s="47"/>
      <c r="F1655" s="47"/>
      <c r="G1655" s="47"/>
      <c r="H1655" s="47"/>
    </row>
    <row r="1656" spans="1:8">
      <c r="A1656" s="47"/>
      <c r="B1656" s="47"/>
      <c r="C1656" s="47"/>
      <c r="D1656" s="47"/>
      <c r="E1656" s="47"/>
      <c r="F1656" s="47"/>
      <c r="G1656" s="47"/>
      <c r="H1656" s="47"/>
    </row>
    <row r="1657" spans="1:8">
      <c r="A1657" s="47"/>
      <c r="B1657" s="47"/>
      <c r="C1657" s="47"/>
      <c r="D1657" s="47"/>
      <c r="E1657" s="47"/>
      <c r="F1657" s="47"/>
      <c r="G1657" s="47"/>
      <c r="H1657" s="47"/>
    </row>
    <row r="1658" spans="1:8">
      <c r="A1658" s="47"/>
      <c r="B1658" s="47"/>
      <c r="C1658" s="47"/>
      <c r="D1658" s="47"/>
      <c r="E1658" s="47"/>
      <c r="F1658" s="47"/>
      <c r="G1658" s="47"/>
      <c r="H1658" s="47"/>
    </row>
    <row r="1659" spans="1:8">
      <c r="A1659" s="47"/>
      <c r="B1659" s="47"/>
      <c r="C1659" s="47"/>
      <c r="D1659" s="47"/>
      <c r="E1659" s="47"/>
      <c r="F1659" s="47"/>
      <c r="G1659" s="47"/>
      <c r="H1659" s="47"/>
    </row>
    <row r="1660" spans="1:8">
      <c r="A1660" s="47"/>
      <c r="B1660" s="47"/>
      <c r="C1660" s="47"/>
      <c r="D1660" s="47"/>
      <c r="E1660" s="47"/>
      <c r="F1660" s="47"/>
      <c r="G1660" s="47"/>
      <c r="H1660" s="47"/>
    </row>
    <row r="1661" spans="1:8">
      <c r="A1661" s="47"/>
      <c r="B1661" s="47"/>
      <c r="C1661" s="47"/>
      <c r="D1661" s="47"/>
      <c r="E1661" s="47"/>
      <c r="F1661" s="47"/>
      <c r="G1661" s="47"/>
      <c r="H1661" s="47"/>
    </row>
    <row r="1662" spans="1:8">
      <c r="A1662" s="47"/>
      <c r="B1662" s="47"/>
      <c r="C1662" s="47"/>
      <c r="D1662" s="47"/>
      <c r="E1662" s="47"/>
      <c r="F1662" s="47"/>
      <c r="G1662" s="47"/>
      <c r="H1662" s="47"/>
    </row>
    <row r="1663" spans="1:8">
      <c r="A1663" s="47"/>
      <c r="B1663" s="47"/>
      <c r="C1663" s="47"/>
      <c r="D1663" s="47"/>
      <c r="E1663" s="47"/>
      <c r="F1663" s="47"/>
      <c r="G1663" s="47"/>
      <c r="H1663" s="47"/>
    </row>
    <row r="1664" spans="1:8">
      <c r="A1664" s="47"/>
      <c r="B1664" s="47"/>
      <c r="C1664" s="47"/>
      <c r="D1664" s="47"/>
      <c r="E1664" s="47"/>
      <c r="F1664" s="47"/>
      <c r="G1664" s="47"/>
      <c r="H1664" s="47"/>
    </row>
    <row r="1665" spans="1:8">
      <c r="A1665" s="47"/>
      <c r="B1665" s="47"/>
      <c r="C1665" s="47"/>
      <c r="D1665" s="47"/>
      <c r="E1665" s="47"/>
      <c r="F1665" s="47"/>
      <c r="G1665" s="47"/>
      <c r="H1665" s="47"/>
    </row>
    <row r="1666" spans="1:8">
      <c r="A1666" s="47"/>
      <c r="B1666" s="47"/>
      <c r="C1666" s="47"/>
      <c r="D1666" s="47"/>
      <c r="E1666" s="47"/>
      <c r="F1666" s="47"/>
      <c r="G1666" s="47"/>
      <c r="H1666" s="47"/>
    </row>
    <row r="1667" spans="1:8">
      <c r="A1667" s="47"/>
      <c r="B1667" s="47"/>
      <c r="C1667" s="47"/>
      <c r="D1667" s="47"/>
      <c r="E1667" s="47"/>
      <c r="F1667" s="47"/>
      <c r="G1667" s="47"/>
      <c r="H1667" s="47"/>
    </row>
    <row r="1668" spans="1:8">
      <c r="A1668" s="47"/>
      <c r="B1668" s="47"/>
      <c r="C1668" s="47"/>
      <c r="D1668" s="47"/>
      <c r="E1668" s="47"/>
      <c r="F1668" s="47"/>
      <c r="G1668" s="47"/>
      <c r="H1668" s="47"/>
    </row>
    <row r="1669" spans="1:8">
      <c r="A1669" s="47"/>
      <c r="B1669" s="47"/>
      <c r="C1669" s="47"/>
      <c r="D1669" s="47"/>
      <c r="E1669" s="47"/>
      <c r="F1669" s="47"/>
      <c r="G1669" s="47"/>
      <c r="H1669" s="47"/>
    </row>
    <row r="1670" spans="1:8">
      <c r="A1670" s="47"/>
      <c r="B1670" s="47"/>
      <c r="C1670" s="47"/>
      <c r="D1670" s="47"/>
      <c r="E1670" s="47"/>
      <c r="F1670" s="47"/>
      <c r="G1670" s="47"/>
      <c r="H1670" s="47"/>
    </row>
    <row r="1671" spans="1:8">
      <c r="A1671" s="47"/>
      <c r="B1671" s="47"/>
      <c r="C1671" s="47"/>
      <c r="D1671" s="47"/>
      <c r="E1671" s="47"/>
      <c r="F1671" s="47"/>
      <c r="G1671" s="47"/>
      <c r="H1671" s="47"/>
    </row>
    <row r="1672" spans="1:8">
      <c r="A1672" s="47"/>
      <c r="B1672" s="47"/>
      <c r="C1672" s="47"/>
      <c r="D1672" s="47"/>
      <c r="E1672" s="47"/>
      <c r="F1672" s="47"/>
      <c r="G1672" s="47"/>
      <c r="H1672" s="47"/>
    </row>
    <row r="1673" spans="1:8">
      <c r="A1673" s="47"/>
      <c r="B1673" s="47"/>
      <c r="C1673" s="47"/>
      <c r="D1673" s="47"/>
      <c r="E1673" s="47"/>
      <c r="F1673" s="47"/>
      <c r="G1673" s="47"/>
      <c r="H1673" s="47"/>
    </row>
    <row r="1674" spans="1:8">
      <c r="A1674" s="47"/>
      <c r="B1674" s="47"/>
      <c r="C1674" s="47"/>
      <c r="D1674" s="47"/>
      <c r="E1674" s="47"/>
      <c r="F1674" s="47"/>
      <c r="G1674" s="47"/>
      <c r="H1674" s="47"/>
    </row>
    <row r="1675" spans="1:8">
      <c r="A1675" s="47"/>
      <c r="B1675" s="47"/>
      <c r="C1675" s="47"/>
      <c r="D1675" s="47"/>
      <c r="E1675" s="47"/>
      <c r="F1675" s="47"/>
      <c r="G1675" s="47"/>
      <c r="H1675" s="47"/>
    </row>
    <row r="1676" spans="1:8">
      <c r="A1676" s="47"/>
      <c r="B1676" s="47"/>
      <c r="C1676" s="47"/>
      <c r="D1676" s="47"/>
      <c r="E1676" s="47"/>
      <c r="F1676" s="47"/>
      <c r="G1676" s="47"/>
      <c r="H1676" s="47"/>
    </row>
    <row r="1677" spans="1:8">
      <c r="A1677" s="47"/>
      <c r="B1677" s="47"/>
      <c r="C1677" s="47"/>
      <c r="D1677" s="47"/>
      <c r="E1677" s="47"/>
      <c r="F1677" s="47"/>
      <c r="G1677" s="47"/>
      <c r="H1677" s="47"/>
    </row>
    <row r="1678" spans="1:8">
      <c r="A1678" s="47"/>
      <c r="B1678" s="47"/>
      <c r="C1678" s="47"/>
      <c r="D1678" s="47"/>
      <c r="E1678" s="47"/>
      <c r="F1678" s="47"/>
      <c r="G1678" s="47"/>
      <c r="H1678" s="47"/>
    </row>
    <row r="1679" spans="1:8">
      <c r="A1679" s="47"/>
      <c r="B1679" s="47"/>
      <c r="C1679" s="47"/>
      <c r="D1679" s="47"/>
      <c r="E1679" s="47"/>
      <c r="F1679" s="47"/>
      <c r="G1679" s="47"/>
      <c r="H1679" s="47"/>
    </row>
    <row r="1680" spans="1:8">
      <c r="A1680" s="47"/>
      <c r="B1680" s="47"/>
      <c r="C1680" s="47"/>
      <c r="D1680" s="47"/>
      <c r="E1680" s="47"/>
      <c r="F1680" s="47"/>
      <c r="G1680" s="47"/>
      <c r="H1680" s="47"/>
    </row>
    <row r="1681" spans="1:8">
      <c r="A1681" s="47"/>
      <c r="B1681" s="47"/>
      <c r="C1681" s="47"/>
      <c r="D1681" s="47"/>
      <c r="E1681" s="47"/>
      <c r="F1681" s="47"/>
      <c r="G1681" s="47"/>
      <c r="H1681" s="47"/>
    </row>
    <row r="1682" spans="1:8">
      <c r="A1682" s="47"/>
      <c r="B1682" s="47"/>
      <c r="C1682" s="47"/>
      <c r="D1682" s="47"/>
      <c r="E1682" s="47"/>
      <c r="F1682" s="47"/>
      <c r="G1682" s="47"/>
      <c r="H1682" s="47"/>
    </row>
    <row r="1683" spans="1:8">
      <c r="A1683" s="47"/>
      <c r="B1683" s="47"/>
      <c r="C1683" s="47"/>
      <c r="D1683" s="47"/>
      <c r="E1683" s="47"/>
      <c r="F1683" s="47"/>
      <c r="G1683" s="47"/>
      <c r="H1683" s="47"/>
    </row>
    <row r="1684" spans="1:8">
      <c r="A1684" s="47"/>
      <c r="B1684" s="47"/>
      <c r="C1684" s="47"/>
      <c r="D1684" s="47"/>
      <c r="E1684" s="47"/>
      <c r="F1684" s="47"/>
      <c r="G1684" s="47"/>
      <c r="H1684" s="47"/>
    </row>
    <row r="1685" spans="1:8">
      <c r="A1685" s="47"/>
      <c r="B1685" s="47"/>
      <c r="C1685" s="47"/>
      <c r="D1685" s="47"/>
      <c r="E1685" s="47"/>
      <c r="F1685" s="47"/>
      <c r="G1685" s="47"/>
      <c r="H1685" s="47"/>
    </row>
    <row r="1686" spans="1:8">
      <c r="A1686" s="47"/>
      <c r="B1686" s="47"/>
      <c r="C1686" s="47"/>
      <c r="D1686" s="47"/>
      <c r="E1686" s="47"/>
      <c r="F1686" s="47"/>
      <c r="G1686" s="47"/>
      <c r="H1686" s="47"/>
    </row>
    <row r="1687" spans="1:8">
      <c r="A1687" s="47"/>
      <c r="B1687" s="47"/>
      <c r="C1687" s="47"/>
      <c r="D1687" s="47"/>
      <c r="E1687" s="47"/>
      <c r="F1687" s="47"/>
      <c r="G1687" s="47"/>
      <c r="H1687" s="47"/>
    </row>
    <row r="1688" spans="1:8">
      <c r="A1688" s="47"/>
      <c r="B1688" s="47"/>
      <c r="C1688" s="47"/>
      <c r="D1688" s="47"/>
      <c r="E1688" s="47"/>
      <c r="F1688" s="47"/>
      <c r="G1688" s="47"/>
      <c r="H1688" s="47"/>
    </row>
    <row r="1689" spans="1:8">
      <c r="A1689" s="47"/>
      <c r="B1689" s="47"/>
      <c r="C1689" s="47"/>
      <c r="D1689" s="47"/>
      <c r="E1689" s="47"/>
      <c r="F1689" s="47"/>
      <c r="G1689" s="47"/>
      <c r="H1689" s="47"/>
    </row>
    <row r="1690" spans="1:8">
      <c r="A1690" s="47"/>
      <c r="B1690" s="47"/>
      <c r="C1690" s="47"/>
      <c r="D1690" s="47"/>
      <c r="E1690" s="47"/>
      <c r="F1690" s="47"/>
      <c r="G1690" s="47"/>
      <c r="H1690" s="47"/>
    </row>
    <row r="1691" spans="1:8">
      <c r="A1691" s="47"/>
      <c r="B1691" s="47"/>
      <c r="C1691" s="47"/>
      <c r="D1691" s="47"/>
      <c r="E1691" s="47"/>
      <c r="F1691" s="47"/>
      <c r="G1691" s="47"/>
      <c r="H1691" s="47"/>
    </row>
    <row r="1692" spans="1:8">
      <c r="A1692" s="47"/>
      <c r="B1692" s="47"/>
      <c r="C1692" s="47"/>
      <c r="D1692" s="47"/>
      <c r="E1692" s="47"/>
      <c r="F1692" s="47"/>
      <c r="G1692" s="47"/>
      <c r="H1692" s="47"/>
    </row>
    <row r="1693" spans="1:8">
      <c r="A1693" s="47"/>
      <c r="B1693" s="47"/>
      <c r="C1693" s="47"/>
      <c r="D1693" s="47"/>
      <c r="E1693" s="47"/>
      <c r="F1693" s="47"/>
      <c r="G1693" s="47"/>
      <c r="H1693" s="47"/>
    </row>
    <row r="1694" spans="1:8">
      <c r="A1694" s="47"/>
      <c r="B1694" s="47"/>
      <c r="C1694" s="47"/>
      <c r="D1694" s="47"/>
      <c r="E1694" s="47"/>
      <c r="F1694" s="47"/>
      <c r="G1694" s="47"/>
      <c r="H1694" s="47"/>
    </row>
    <row r="1695" spans="1:8">
      <c r="A1695" s="47"/>
      <c r="B1695" s="47"/>
      <c r="C1695" s="47"/>
      <c r="D1695" s="47"/>
      <c r="E1695" s="47"/>
      <c r="F1695" s="47"/>
      <c r="G1695" s="47"/>
      <c r="H1695" s="47"/>
    </row>
    <row r="1696" spans="1:8">
      <c r="A1696" s="47"/>
      <c r="B1696" s="47"/>
      <c r="C1696" s="47"/>
      <c r="D1696" s="47"/>
      <c r="E1696" s="47"/>
      <c r="F1696" s="47"/>
      <c r="G1696" s="47"/>
      <c r="H1696" s="47"/>
    </row>
    <row r="1697" spans="1:8">
      <c r="A1697" s="47"/>
      <c r="B1697" s="47"/>
      <c r="C1697" s="47"/>
      <c r="D1697" s="47"/>
      <c r="E1697" s="47"/>
      <c r="F1697" s="47"/>
      <c r="G1697" s="47"/>
      <c r="H1697" s="47"/>
    </row>
    <row r="1698" spans="1:8">
      <c r="A1698" s="47"/>
      <c r="B1698" s="47"/>
      <c r="C1698" s="47"/>
      <c r="D1698" s="47"/>
      <c r="E1698" s="47"/>
      <c r="F1698" s="47"/>
      <c r="G1698" s="47"/>
      <c r="H1698" s="47"/>
    </row>
    <row r="1699" spans="1:8">
      <c r="A1699" s="47"/>
      <c r="B1699" s="47"/>
      <c r="C1699" s="47"/>
      <c r="D1699" s="47"/>
      <c r="E1699" s="47"/>
      <c r="F1699" s="47"/>
      <c r="G1699" s="47"/>
      <c r="H1699" s="47"/>
    </row>
    <row r="1700" spans="1:8">
      <c r="A1700" s="47"/>
      <c r="B1700" s="47"/>
      <c r="C1700" s="47"/>
      <c r="D1700" s="47"/>
      <c r="E1700" s="47"/>
      <c r="F1700" s="47"/>
      <c r="G1700" s="47"/>
      <c r="H1700" s="47"/>
    </row>
    <row r="1701" spans="1:8">
      <c r="A1701" s="47"/>
      <c r="B1701" s="47"/>
      <c r="C1701" s="47"/>
      <c r="D1701" s="47"/>
      <c r="E1701" s="47"/>
      <c r="F1701" s="47"/>
      <c r="G1701" s="47"/>
      <c r="H1701" s="47"/>
    </row>
    <row r="1702" spans="1:8">
      <c r="A1702" s="47"/>
      <c r="B1702" s="47"/>
      <c r="C1702" s="47"/>
      <c r="D1702" s="47"/>
      <c r="E1702" s="47"/>
      <c r="F1702" s="47"/>
      <c r="G1702" s="47"/>
      <c r="H1702" s="47"/>
    </row>
    <row r="1703" spans="1:8">
      <c r="A1703" s="47"/>
      <c r="B1703" s="47"/>
      <c r="C1703" s="47"/>
      <c r="D1703" s="47"/>
      <c r="E1703" s="47"/>
      <c r="F1703" s="47"/>
      <c r="G1703" s="47"/>
      <c r="H1703" s="47"/>
    </row>
    <row r="1704" spans="1:8">
      <c r="A1704" s="47"/>
      <c r="B1704" s="47"/>
      <c r="C1704" s="47"/>
      <c r="D1704" s="47"/>
      <c r="E1704" s="47"/>
      <c r="F1704" s="47"/>
      <c r="G1704" s="47"/>
      <c r="H1704" s="47"/>
    </row>
    <row r="1705" spans="1:8">
      <c r="A1705" s="47"/>
      <c r="B1705" s="47"/>
      <c r="C1705" s="47"/>
      <c r="D1705" s="47"/>
      <c r="E1705" s="47"/>
      <c r="F1705" s="47"/>
      <c r="G1705" s="47"/>
      <c r="H1705" s="47"/>
    </row>
    <row r="1706" spans="1:8">
      <c r="A1706" s="47"/>
      <c r="B1706" s="47"/>
      <c r="C1706" s="47"/>
      <c r="D1706" s="47"/>
      <c r="E1706" s="47"/>
      <c r="F1706" s="47"/>
      <c r="G1706" s="47"/>
      <c r="H1706" s="47"/>
    </row>
    <row r="1707" spans="1:8">
      <c r="A1707" s="47"/>
      <c r="B1707" s="47"/>
      <c r="C1707" s="47"/>
      <c r="D1707" s="47"/>
      <c r="E1707" s="47"/>
      <c r="F1707" s="47"/>
      <c r="G1707" s="47"/>
      <c r="H1707" s="47"/>
    </row>
    <row r="1708" spans="1:8">
      <c r="A1708" s="47"/>
      <c r="B1708" s="47"/>
      <c r="C1708" s="47"/>
      <c r="D1708" s="47"/>
      <c r="E1708" s="47"/>
      <c r="F1708" s="47"/>
      <c r="G1708" s="47"/>
      <c r="H1708" s="47"/>
    </row>
    <row r="1709" spans="1:8">
      <c r="A1709" s="47"/>
      <c r="B1709" s="47"/>
      <c r="C1709" s="47"/>
      <c r="D1709" s="47"/>
      <c r="E1709" s="47"/>
      <c r="F1709" s="47"/>
      <c r="G1709" s="47"/>
      <c r="H1709" s="47"/>
    </row>
    <row r="1710" spans="1:8">
      <c r="A1710" s="47"/>
      <c r="B1710" s="47"/>
      <c r="C1710" s="47"/>
      <c r="D1710" s="47"/>
      <c r="E1710" s="47"/>
      <c r="F1710" s="47"/>
      <c r="G1710" s="47"/>
      <c r="H1710" s="47"/>
    </row>
    <row r="1711" spans="1:8">
      <c r="A1711" s="47"/>
      <c r="B1711" s="47"/>
      <c r="C1711" s="47"/>
      <c r="D1711" s="47"/>
      <c r="E1711" s="47"/>
      <c r="F1711" s="47"/>
      <c r="G1711" s="47"/>
      <c r="H1711" s="47"/>
    </row>
    <row r="1712" spans="1:8">
      <c r="A1712" s="47"/>
      <c r="B1712" s="47"/>
      <c r="C1712" s="47"/>
      <c r="D1712" s="47"/>
      <c r="E1712" s="47"/>
      <c r="F1712" s="47"/>
      <c r="G1712" s="47"/>
      <c r="H1712" s="47"/>
    </row>
    <row r="1713" spans="1:8">
      <c r="A1713" s="47"/>
      <c r="B1713" s="47"/>
      <c r="C1713" s="47"/>
      <c r="D1713" s="47"/>
      <c r="E1713" s="47"/>
      <c r="F1713" s="47"/>
      <c r="G1713" s="47"/>
      <c r="H1713" s="47"/>
    </row>
    <row r="1714" spans="1:8">
      <c r="A1714" s="47"/>
      <c r="B1714" s="47"/>
      <c r="C1714" s="47"/>
      <c r="D1714" s="47"/>
      <c r="E1714" s="47"/>
      <c r="F1714" s="47"/>
      <c r="G1714" s="47"/>
      <c r="H1714" s="47"/>
    </row>
    <row r="1715" spans="1:8">
      <c r="A1715" s="47"/>
      <c r="B1715" s="47"/>
      <c r="C1715" s="47"/>
      <c r="D1715" s="47"/>
      <c r="E1715" s="47"/>
      <c r="F1715" s="47"/>
      <c r="G1715" s="47"/>
      <c r="H1715" s="47"/>
    </row>
    <row r="1716" spans="1:8">
      <c r="A1716" s="47"/>
      <c r="B1716" s="47"/>
      <c r="C1716" s="47"/>
      <c r="D1716" s="47"/>
      <c r="E1716" s="47"/>
      <c r="F1716" s="47"/>
      <c r="G1716" s="47"/>
      <c r="H1716" s="47"/>
    </row>
    <row r="1717" spans="1:8">
      <c r="A1717" s="47"/>
      <c r="B1717" s="47"/>
      <c r="C1717" s="47"/>
      <c r="D1717" s="47"/>
      <c r="E1717" s="47"/>
      <c r="F1717" s="47"/>
      <c r="G1717" s="47"/>
      <c r="H1717" s="47"/>
    </row>
    <row r="1718" spans="1:8">
      <c r="A1718" s="47"/>
      <c r="B1718" s="47"/>
      <c r="C1718" s="47"/>
      <c r="D1718" s="47"/>
      <c r="E1718" s="47"/>
      <c r="F1718" s="47"/>
      <c r="G1718" s="47"/>
      <c r="H1718" s="47"/>
    </row>
    <row r="1719" spans="1:8">
      <c r="A1719" s="47"/>
      <c r="B1719" s="47"/>
      <c r="C1719" s="47"/>
      <c r="D1719" s="47"/>
      <c r="E1719" s="47"/>
      <c r="F1719" s="47"/>
      <c r="G1719" s="47"/>
      <c r="H1719" s="47"/>
    </row>
    <row r="1720" spans="1:8">
      <c r="A1720" s="47"/>
      <c r="B1720" s="47"/>
      <c r="C1720" s="47"/>
      <c r="D1720" s="47"/>
      <c r="E1720" s="47"/>
      <c r="F1720" s="47"/>
      <c r="G1720" s="47"/>
      <c r="H1720" s="47"/>
    </row>
    <row r="1721" spans="1:8">
      <c r="A1721" s="47"/>
      <c r="B1721" s="47"/>
      <c r="C1721" s="47"/>
      <c r="D1721" s="47"/>
      <c r="E1721" s="47"/>
      <c r="F1721" s="47"/>
      <c r="G1721" s="47"/>
      <c r="H1721" s="47"/>
    </row>
    <row r="1722" spans="1:8">
      <c r="A1722" s="47"/>
      <c r="B1722" s="47"/>
      <c r="C1722" s="47"/>
      <c r="D1722" s="47"/>
      <c r="E1722" s="47"/>
      <c r="F1722" s="47"/>
      <c r="G1722" s="47"/>
      <c r="H1722" s="47"/>
    </row>
    <row r="1723" spans="1:8">
      <c r="A1723" s="47"/>
      <c r="B1723" s="47"/>
      <c r="C1723" s="47"/>
      <c r="D1723" s="47"/>
      <c r="E1723" s="47"/>
      <c r="F1723" s="47"/>
      <c r="G1723" s="47"/>
      <c r="H1723" s="47"/>
    </row>
    <row r="1724" spans="1:8">
      <c r="A1724" s="47"/>
      <c r="B1724" s="47"/>
      <c r="C1724" s="47"/>
      <c r="D1724" s="47"/>
      <c r="E1724" s="47"/>
      <c r="F1724" s="47"/>
      <c r="G1724" s="47"/>
      <c r="H1724" s="47"/>
    </row>
    <row r="1725" spans="1:8">
      <c r="A1725" s="47"/>
      <c r="B1725" s="47"/>
      <c r="C1725" s="47"/>
      <c r="D1725" s="47"/>
      <c r="E1725" s="47"/>
      <c r="F1725" s="47"/>
      <c r="G1725" s="47"/>
      <c r="H1725" s="47"/>
    </row>
    <row r="1726" spans="1:8">
      <c r="A1726" s="47"/>
      <c r="B1726" s="47"/>
      <c r="C1726" s="47"/>
      <c r="D1726" s="47"/>
      <c r="E1726" s="47"/>
      <c r="F1726" s="47"/>
      <c r="G1726" s="47"/>
      <c r="H1726" s="47"/>
    </row>
    <row r="1727" spans="1:8">
      <c r="A1727" s="47"/>
      <c r="B1727" s="47"/>
      <c r="C1727" s="47"/>
      <c r="D1727" s="47"/>
      <c r="E1727" s="47"/>
      <c r="F1727" s="47"/>
      <c r="G1727" s="47"/>
      <c r="H1727" s="47"/>
    </row>
    <row r="1728" spans="1:8">
      <c r="A1728" s="47"/>
      <c r="B1728" s="47"/>
      <c r="C1728" s="47"/>
      <c r="D1728" s="47"/>
      <c r="E1728" s="47"/>
      <c r="F1728" s="47"/>
      <c r="G1728" s="47"/>
      <c r="H1728" s="47"/>
    </row>
    <row r="1729" spans="1:8">
      <c r="A1729" s="47"/>
      <c r="B1729" s="47"/>
      <c r="C1729" s="47"/>
      <c r="D1729" s="47"/>
      <c r="E1729" s="47"/>
      <c r="F1729" s="47"/>
      <c r="G1729" s="47"/>
      <c r="H1729" s="47"/>
    </row>
    <row r="1730" spans="1:8">
      <c r="A1730" s="47"/>
      <c r="B1730" s="47"/>
      <c r="C1730" s="47"/>
      <c r="D1730" s="47"/>
      <c r="E1730" s="47"/>
      <c r="F1730" s="47"/>
      <c r="G1730" s="47"/>
      <c r="H1730" s="47"/>
    </row>
    <row r="1731" spans="1:8">
      <c r="A1731" s="47"/>
      <c r="B1731" s="47"/>
      <c r="C1731" s="47"/>
      <c r="D1731" s="47"/>
      <c r="E1731" s="47"/>
      <c r="F1731" s="47"/>
      <c r="G1731" s="47"/>
      <c r="H1731" s="47"/>
    </row>
    <row r="1732" spans="1:8">
      <c r="A1732" s="47"/>
      <c r="B1732" s="47"/>
      <c r="C1732" s="47"/>
      <c r="D1732" s="47"/>
      <c r="E1732" s="47"/>
      <c r="F1732" s="47"/>
      <c r="G1732" s="47"/>
      <c r="H1732" s="47"/>
    </row>
    <row r="1733" spans="1:8">
      <c r="A1733" s="47"/>
      <c r="B1733" s="47"/>
      <c r="C1733" s="47"/>
      <c r="D1733" s="47"/>
      <c r="E1733" s="47"/>
      <c r="F1733" s="47"/>
      <c r="G1733" s="47"/>
      <c r="H1733" s="47"/>
    </row>
    <row r="1734" spans="1:8">
      <c r="A1734" s="47"/>
      <c r="B1734" s="47"/>
      <c r="C1734" s="47"/>
      <c r="D1734" s="47"/>
      <c r="E1734" s="47"/>
      <c r="F1734" s="47"/>
      <c r="G1734" s="47"/>
      <c r="H1734" s="47"/>
    </row>
    <row r="1735" spans="1:8">
      <c r="A1735" s="47"/>
      <c r="B1735" s="47"/>
      <c r="C1735" s="47"/>
      <c r="D1735" s="47"/>
      <c r="E1735" s="47"/>
      <c r="F1735" s="47"/>
      <c r="G1735" s="47"/>
      <c r="H1735" s="47"/>
    </row>
    <row r="1736" spans="1:8">
      <c r="A1736" s="47"/>
      <c r="B1736" s="47"/>
      <c r="C1736" s="47"/>
      <c r="D1736" s="47"/>
      <c r="E1736" s="47"/>
      <c r="F1736" s="47"/>
      <c r="G1736" s="47"/>
      <c r="H1736" s="47"/>
    </row>
    <row r="1737" spans="1:8">
      <c r="A1737" s="47"/>
      <c r="B1737" s="47"/>
      <c r="C1737" s="47"/>
      <c r="D1737" s="47"/>
      <c r="E1737" s="47"/>
      <c r="F1737" s="47"/>
      <c r="G1737" s="47"/>
      <c r="H1737" s="47"/>
    </row>
    <row r="1738" spans="1:8">
      <c r="A1738" s="47"/>
      <c r="B1738" s="47"/>
      <c r="C1738" s="47"/>
      <c r="D1738" s="47"/>
      <c r="E1738" s="47"/>
      <c r="F1738" s="47"/>
      <c r="G1738" s="47"/>
      <c r="H1738" s="47"/>
    </row>
    <row r="1739" spans="1:8">
      <c r="A1739" s="47"/>
      <c r="B1739" s="47"/>
      <c r="C1739" s="47"/>
      <c r="D1739" s="47"/>
      <c r="E1739" s="47"/>
      <c r="F1739" s="47"/>
      <c r="G1739" s="47"/>
      <c r="H1739" s="47"/>
    </row>
    <row r="1740" spans="1:8">
      <c r="A1740" s="47"/>
      <c r="B1740" s="47"/>
      <c r="C1740" s="47"/>
      <c r="D1740" s="47"/>
      <c r="E1740" s="47"/>
      <c r="F1740" s="47"/>
      <c r="G1740" s="47"/>
      <c r="H1740" s="47"/>
    </row>
    <row r="1741" spans="1:8">
      <c r="A1741" s="47"/>
      <c r="B1741" s="47"/>
      <c r="C1741" s="47"/>
      <c r="D1741" s="47"/>
      <c r="E1741" s="47"/>
      <c r="F1741" s="47"/>
      <c r="G1741" s="47"/>
      <c r="H1741" s="47"/>
    </row>
    <row r="1742" spans="1:8">
      <c r="A1742" s="47"/>
      <c r="B1742" s="47"/>
      <c r="C1742" s="47"/>
      <c r="D1742" s="47"/>
      <c r="E1742" s="47"/>
      <c r="F1742" s="47"/>
      <c r="G1742" s="47"/>
      <c r="H1742" s="47"/>
    </row>
    <row r="1743" spans="1:8">
      <c r="A1743" s="47"/>
      <c r="B1743" s="47"/>
      <c r="C1743" s="47"/>
      <c r="D1743" s="47"/>
      <c r="E1743" s="47"/>
      <c r="F1743" s="47"/>
      <c r="G1743" s="47"/>
      <c r="H1743" s="47"/>
    </row>
    <row r="1744" spans="1:8">
      <c r="A1744" s="47"/>
      <c r="B1744" s="47"/>
      <c r="C1744" s="47"/>
      <c r="D1744" s="47"/>
      <c r="E1744" s="47"/>
      <c r="F1744" s="47"/>
      <c r="G1744" s="47"/>
      <c r="H1744" s="47"/>
    </row>
    <row r="1745" spans="1:8">
      <c r="A1745" s="47"/>
      <c r="B1745" s="47"/>
      <c r="C1745" s="47"/>
      <c r="D1745" s="47"/>
      <c r="E1745" s="47"/>
      <c r="F1745" s="47"/>
      <c r="G1745" s="47"/>
      <c r="H1745" s="47"/>
    </row>
    <row r="1746" spans="1:8">
      <c r="A1746" s="47"/>
      <c r="B1746" s="47"/>
      <c r="C1746" s="47"/>
      <c r="D1746" s="47"/>
      <c r="E1746" s="47"/>
      <c r="F1746" s="47"/>
      <c r="G1746" s="47"/>
      <c r="H1746" s="47"/>
    </row>
    <row r="1747" spans="1:8">
      <c r="A1747" s="47"/>
      <c r="B1747" s="47"/>
      <c r="C1747" s="47"/>
      <c r="D1747" s="47"/>
      <c r="E1747" s="47"/>
      <c r="F1747" s="47"/>
      <c r="G1747" s="47"/>
      <c r="H1747" s="47"/>
    </row>
    <row r="1748" spans="1:8">
      <c r="A1748" s="47"/>
      <c r="B1748" s="47"/>
      <c r="C1748" s="47"/>
      <c r="D1748" s="47"/>
      <c r="E1748" s="47"/>
      <c r="F1748" s="47"/>
      <c r="G1748" s="47"/>
      <c r="H1748" s="47"/>
    </row>
    <row r="1749" spans="1:8">
      <c r="A1749" s="47"/>
      <c r="B1749" s="47"/>
      <c r="C1749" s="47"/>
      <c r="D1749" s="47"/>
      <c r="E1749" s="47"/>
      <c r="F1749" s="47"/>
      <c r="G1749" s="47"/>
      <c r="H1749" s="47"/>
    </row>
    <row r="1750" spans="1:8">
      <c r="A1750" s="47"/>
      <c r="B1750" s="47"/>
      <c r="C1750" s="47"/>
      <c r="D1750" s="47"/>
      <c r="E1750" s="47"/>
      <c r="F1750" s="47"/>
      <c r="G1750" s="47"/>
      <c r="H1750" s="47"/>
    </row>
    <row r="1751" spans="1:8">
      <c r="A1751" s="47"/>
      <c r="B1751" s="47"/>
      <c r="C1751" s="47"/>
      <c r="D1751" s="47"/>
      <c r="E1751" s="47"/>
      <c r="F1751" s="47"/>
      <c r="G1751" s="47"/>
      <c r="H1751" s="47"/>
    </row>
    <row r="1752" spans="1:8">
      <c r="A1752" s="47"/>
      <c r="B1752" s="47"/>
      <c r="C1752" s="47"/>
      <c r="D1752" s="47"/>
      <c r="E1752" s="47"/>
      <c r="F1752" s="47"/>
      <c r="G1752" s="47"/>
      <c r="H1752" s="47"/>
    </row>
    <row r="1753" spans="1:8">
      <c r="A1753" s="47"/>
      <c r="B1753" s="47"/>
      <c r="C1753" s="47"/>
      <c r="D1753" s="47"/>
      <c r="E1753" s="47"/>
      <c r="F1753" s="47"/>
      <c r="G1753" s="47"/>
      <c r="H1753" s="47"/>
    </row>
    <row r="1754" spans="1:8">
      <c r="A1754" s="47"/>
      <c r="B1754" s="47"/>
      <c r="C1754" s="47"/>
      <c r="D1754" s="47"/>
      <c r="E1754" s="47"/>
      <c r="F1754" s="47"/>
      <c r="G1754" s="47"/>
      <c r="H1754" s="47"/>
    </row>
    <row r="1755" spans="1:8">
      <c r="A1755" s="47"/>
      <c r="B1755" s="47"/>
      <c r="C1755" s="47"/>
      <c r="D1755" s="47"/>
      <c r="E1755" s="47"/>
      <c r="F1755" s="47"/>
      <c r="G1755" s="47"/>
      <c r="H1755" s="47"/>
    </row>
    <row r="1756" spans="1:8">
      <c r="A1756" s="47"/>
      <c r="B1756" s="47"/>
      <c r="C1756" s="47"/>
      <c r="D1756" s="47"/>
      <c r="E1756" s="47"/>
      <c r="F1756" s="47"/>
      <c r="G1756" s="47"/>
      <c r="H1756" s="47"/>
    </row>
    <row r="1757" spans="1:8">
      <c r="A1757" s="47"/>
      <c r="B1757" s="47"/>
      <c r="C1757" s="47"/>
      <c r="D1757" s="47"/>
      <c r="E1757" s="47"/>
      <c r="F1757" s="47"/>
      <c r="G1757" s="47"/>
      <c r="H1757" s="47"/>
    </row>
    <row r="1758" spans="1:8">
      <c r="A1758" s="47"/>
      <c r="B1758" s="47"/>
      <c r="C1758" s="47"/>
      <c r="D1758" s="47"/>
      <c r="E1758" s="47"/>
      <c r="F1758" s="47"/>
      <c r="G1758" s="47"/>
      <c r="H1758" s="47"/>
    </row>
    <row r="1759" spans="1:8">
      <c r="A1759" s="47"/>
      <c r="B1759" s="47"/>
      <c r="C1759" s="47"/>
      <c r="D1759" s="47"/>
      <c r="E1759" s="47"/>
      <c r="F1759" s="47"/>
      <c r="G1759" s="47"/>
      <c r="H1759" s="47"/>
    </row>
    <row r="1760" spans="1:8">
      <c r="A1760" s="47"/>
      <c r="B1760" s="47"/>
      <c r="C1760" s="47"/>
      <c r="D1760" s="47"/>
      <c r="E1760" s="47"/>
      <c r="F1760" s="47"/>
      <c r="G1760" s="47"/>
      <c r="H1760" s="47"/>
    </row>
    <row r="1761" spans="1:8">
      <c r="A1761" s="47"/>
      <c r="B1761" s="47"/>
      <c r="C1761" s="47"/>
      <c r="D1761" s="47"/>
      <c r="E1761" s="47"/>
      <c r="F1761" s="47"/>
      <c r="G1761" s="47"/>
      <c r="H1761" s="47"/>
    </row>
    <row r="1762" spans="1:8">
      <c r="A1762" s="47"/>
      <c r="B1762" s="47"/>
      <c r="C1762" s="47"/>
      <c r="D1762" s="47"/>
      <c r="E1762" s="47"/>
      <c r="F1762" s="47"/>
      <c r="G1762" s="47"/>
      <c r="H1762" s="47"/>
    </row>
    <row r="1763" spans="1:8">
      <c r="A1763" s="47"/>
      <c r="B1763" s="47"/>
      <c r="C1763" s="47"/>
      <c r="D1763" s="47"/>
      <c r="E1763" s="47"/>
      <c r="F1763" s="47"/>
      <c r="G1763" s="47"/>
      <c r="H1763" s="47"/>
    </row>
    <row r="1764" spans="1:8">
      <c r="A1764" s="47"/>
      <c r="B1764" s="47"/>
      <c r="C1764" s="47"/>
      <c r="D1764" s="47"/>
      <c r="E1764" s="47"/>
      <c r="F1764" s="47"/>
      <c r="G1764" s="47"/>
      <c r="H1764" s="47"/>
    </row>
    <row r="1765" spans="1:8">
      <c r="A1765" s="47"/>
      <c r="B1765" s="47"/>
      <c r="C1765" s="47"/>
      <c r="D1765" s="47"/>
      <c r="E1765" s="47"/>
      <c r="F1765" s="47"/>
      <c r="G1765" s="47"/>
      <c r="H1765" s="47"/>
    </row>
    <row r="1766" spans="1:8">
      <c r="A1766" s="47"/>
      <c r="B1766" s="47"/>
      <c r="C1766" s="47"/>
      <c r="D1766" s="47"/>
      <c r="E1766" s="47"/>
      <c r="F1766" s="47"/>
      <c r="G1766" s="47"/>
      <c r="H1766" s="47"/>
    </row>
    <row r="1767" spans="1:8">
      <c r="A1767" s="47"/>
      <c r="B1767" s="47"/>
      <c r="C1767" s="47"/>
      <c r="D1767" s="47"/>
      <c r="E1767" s="47"/>
      <c r="F1767" s="47"/>
      <c r="G1767" s="47"/>
      <c r="H1767" s="47"/>
    </row>
    <row r="1768" spans="1:8">
      <c r="A1768" s="47"/>
      <c r="B1768" s="47"/>
      <c r="C1768" s="47"/>
      <c r="D1768" s="47"/>
      <c r="E1768" s="47"/>
      <c r="F1768" s="47"/>
      <c r="G1768" s="47"/>
      <c r="H1768" s="47"/>
    </row>
    <row r="1769" spans="1:8">
      <c r="A1769" s="47"/>
      <c r="B1769" s="47"/>
      <c r="C1769" s="47"/>
      <c r="D1769" s="47"/>
      <c r="E1769" s="47"/>
      <c r="F1769" s="47"/>
      <c r="G1769" s="47"/>
      <c r="H1769" s="47"/>
    </row>
    <row r="1770" spans="1:8">
      <c r="A1770" s="47"/>
      <c r="B1770" s="47"/>
      <c r="C1770" s="47"/>
      <c r="D1770" s="47"/>
      <c r="E1770" s="47"/>
      <c r="F1770" s="47"/>
      <c r="G1770" s="47"/>
      <c r="H1770" s="47"/>
    </row>
    <row r="1771" spans="1:8">
      <c r="A1771" s="47"/>
      <c r="B1771" s="47"/>
      <c r="C1771" s="47"/>
      <c r="D1771" s="47"/>
      <c r="E1771" s="47"/>
      <c r="F1771" s="47"/>
      <c r="G1771" s="47"/>
      <c r="H1771" s="47"/>
    </row>
    <row r="1772" spans="1:8">
      <c r="A1772" s="47"/>
      <c r="B1772" s="47"/>
      <c r="C1772" s="47"/>
      <c r="D1772" s="47"/>
      <c r="E1772" s="47"/>
      <c r="F1772" s="47"/>
      <c r="G1772" s="47"/>
      <c r="H1772" s="47"/>
    </row>
    <row r="1773" spans="1:8">
      <c r="A1773" s="47"/>
      <c r="B1773" s="47"/>
      <c r="C1773" s="47"/>
      <c r="D1773" s="47"/>
      <c r="E1773" s="47"/>
      <c r="F1773" s="47"/>
      <c r="G1773" s="47"/>
      <c r="H1773" s="47"/>
    </row>
    <row r="1774" spans="1:8">
      <c r="A1774" s="47"/>
      <c r="B1774" s="47"/>
      <c r="C1774" s="47"/>
      <c r="D1774" s="47"/>
      <c r="E1774" s="47"/>
      <c r="F1774" s="47"/>
      <c r="G1774" s="47"/>
      <c r="H1774" s="47"/>
    </row>
    <row r="1775" spans="1:8">
      <c r="A1775" s="47"/>
      <c r="B1775" s="47"/>
      <c r="C1775" s="47"/>
      <c r="D1775" s="47"/>
      <c r="E1775" s="47"/>
      <c r="F1775" s="47"/>
      <c r="G1775" s="47"/>
      <c r="H1775" s="47"/>
    </row>
    <row r="1776" spans="1:8">
      <c r="A1776" s="47"/>
      <c r="B1776" s="47"/>
      <c r="C1776" s="47"/>
      <c r="D1776" s="47"/>
      <c r="E1776" s="47"/>
      <c r="F1776" s="47"/>
      <c r="G1776" s="47"/>
      <c r="H1776" s="47"/>
    </row>
    <row r="1777" spans="1:8">
      <c r="A1777" s="47"/>
      <c r="B1777" s="47"/>
      <c r="C1777" s="47"/>
      <c r="D1777" s="47"/>
      <c r="E1777" s="47"/>
      <c r="F1777" s="47"/>
      <c r="G1777" s="47"/>
      <c r="H1777" s="47"/>
    </row>
    <row r="1778" spans="1:8">
      <c r="A1778" s="47"/>
      <c r="B1778" s="47"/>
      <c r="C1778" s="47"/>
      <c r="D1778" s="47"/>
      <c r="E1778" s="47"/>
      <c r="F1778" s="47"/>
      <c r="G1778" s="47"/>
      <c r="H1778" s="47"/>
    </row>
    <row r="1779" spans="1:8">
      <c r="A1779" s="47"/>
      <c r="B1779" s="47"/>
      <c r="C1779" s="47"/>
      <c r="D1779" s="47"/>
      <c r="E1779" s="47"/>
      <c r="F1779" s="47"/>
      <c r="G1779" s="47"/>
      <c r="H1779" s="47"/>
    </row>
    <row r="1780" spans="1:8">
      <c r="A1780" s="47"/>
      <c r="B1780" s="47"/>
      <c r="C1780" s="47"/>
      <c r="D1780" s="47"/>
      <c r="E1780" s="47"/>
      <c r="F1780" s="47"/>
      <c r="G1780" s="47"/>
      <c r="H1780" s="47"/>
    </row>
    <row r="1781" spans="1:8">
      <c r="A1781" s="47"/>
      <c r="B1781" s="47"/>
      <c r="C1781" s="47"/>
      <c r="D1781" s="47"/>
      <c r="E1781" s="47"/>
      <c r="F1781" s="47"/>
      <c r="G1781" s="47"/>
      <c r="H1781" s="47"/>
    </row>
    <row r="1782" spans="1:8">
      <c r="A1782" s="47"/>
      <c r="B1782" s="47"/>
      <c r="C1782" s="47"/>
      <c r="D1782" s="47"/>
      <c r="E1782" s="47"/>
      <c r="F1782" s="47"/>
      <c r="G1782" s="47"/>
      <c r="H1782" s="47"/>
    </row>
    <row r="1783" spans="1:8">
      <c r="A1783" s="47"/>
      <c r="B1783" s="47"/>
      <c r="C1783" s="47"/>
      <c r="D1783" s="47"/>
      <c r="E1783" s="47"/>
      <c r="F1783" s="47"/>
      <c r="G1783" s="47"/>
      <c r="H1783" s="47"/>
    </row>
    <row r="1784" spans="1:8">
      <c r="A1784" s="47"/>
      <c r="B1784" s="47"/>
      <c r="C1784" s="47"/>
      <c r="D1784" s="47"/>
      <c r="E1784" s="47"/>
      <c r="F1784" s="47"/>
      <c r="G1784" s="47"/>
      <c r="H1784" s="47"/>
    </row>
    <row r="1785" spans="1:8">
      <c r="A1785" s="47"/>
      <c r="B1785" s="47"/>
      <c r="C1785" s="47"/>
      <c r="D1785" s="47"/>
      <c r="E1785" s="47"/>
      <c r="F1785" s="47"/>
      <c r="G1785" s="47"/>
      <c r="H1785" s="47"/>
    </row>
    <row r="1786" spans="1:8">
      <c r="A1786" s="47"/>
      <c r="B1786" s="47"/>
      <c r="C1786" s="47"/>
      <c r="D1786" s="47"/>
      <c r="E1786" s="47"/>
      <c r="F1786" s="47"/>
      <c r="G1786" s="47"/>
      <c r="H1786" s="47"/>
    </row>
    <row r="1787" spans="1:8">
      <c r="A1787" s="47"/>
      <c r="B1787" s="47"/>
      <c r="C1787" s="47"/>
      <c r="D1787" s="47"/>
      <c r="E1787" s="47"/>
      <c r="F1787" s="47"/>
      <c r="G1787" s="47"/>
      <c r="H1787" s="47"/>
    </row>
    <row r="1788" spans="1:8">
      <c r="A1788" s="47"/>
      <c r="B1788" s="47"/>
      <c r="C1788" s="47"/>
      <c r="D1788" s="47"/>
      <c r="E1788" s="47"/>
      <c r="F1788" s="47"/>
      <c r="G1788" s="47"/>
      <c r="H1788" s="47"/>
    </row>
    <row r="1789" spans="1:8">
      <c r="A1789" s="47"/>
      <c r="B1789" s="47"/>
      <c r="C1789" s="47"/>
      <c r="D1789" s="47"/>
      <c r="E1789" s="47"/>
      <c r="F1789" s="47"/>
      <c r="G1789" s="47"/>
      <c r="H1789" s="47"/>
    </row>
    <row r="1790" spans="1:8">
      <c r="A1790" s="47"/>
      <c r="B1790" s="47"/>
      <c r="C1790" s="47"/>
      <c r="D1790" s="47"/>
      <c r="E1790" s="47"/>
      <c r="F1790" s="47"/>
      <c r="G1790" s="47"/>
      <c r="H1790" s="47"/>
    </row>
    <row r="1791" spans="1:8">
      <c r="A1791" s="47"/>
      <c r="B1791" s="47"/>
      <c r="C1791" s="47"/>
      <c r="D1791" s="47"/>
      <c r="E1791" s="47"/>
      <c r="F1791" s="47"/>
      <c r="G1791" s="47"/>
      <c r="H1791" s="47"/>
    </row>
    <row r="1792" spans="1:8">
      <c r="A1792" s="47"/>
      <c r="B1792" s="47"/>
      <c r="C1792" s="47"/>
      <c r="D1792" s="47"/>
      <c r="E1792" s="47"/>
      <c r="F1792" s="47"/>
      <c r="G1792" s="47"/>
      <c r="H1792" s="47"/>
    </row>
    <row r="1793" spans="1:8">
      <c r="A1793" s="47"/>
      <c r="B1793" s="47"/>
      <c r="C1793" s="47"/>
      <c r="D1793" s="47"/>
      <c r="E1793" s="47"/>
      <c r="F1793" s="47"/>
      <c r="G1793" s="47"/>
      <c r="H1793" s="47"/>
    </row>
    <row r="1794" spans="1:8">
      <c r="A1794" s="47"/>
      <c r="B1794" s="47"/>
      <c r="C1794" s="47"/>
      <c r="D1794" s="47"/>
      <c r="E1794" s="47"/>
      <c r="F1794" s="47"/>
      <c r="G1794" s="47"/>
      <c r="H1794" s="47"/>
    </row>
    <row r="1795" spans="1:8">
      <c r="A1795" s="47"/>
      <c r="B1795" s="47"/>
      <c r="C1795" s="47"/>
      <c r="D1795" s="47"/>
      <c r="E1795" s="47"/>
      <c r="F1795" s="47"/>
      <c r="G1795" s="47"/>
      <c r="H1795" s="47"/>
    </row>
    <row r="1796" spans="1:8">
      <c r="A1796" s="47"/>
      <c r="B1796" s="47"/>
      <c r="C1796" s="47"/>
      <c r="D1796" s="47"/>
      <c r="E1796" s="47"/>
      <c r="F1796" s="47"/>
      <c r="G1796" s="47"/>
      <c r="H1796" s="47"/>
    </row>
    <row r="1797" spans="1:8">
      <c r="A1797" s="47"/>
      <c r="B1797" s="47"/>
      <c r="C1797" s="47"/>
      <c r="D1797" s="47"/>
      <c r="E1797" s="47"/>
      <c r="F1797" s="47"/>
      <c r="G1797" s="47"/>
      <c r="H1797" s="47"/>
    </row>
    <row r="1798" spans="1:8">
      <c r="A1798" s="47"/>
      <c r="B1798" s="47"/>
      <c r="C1798" s="47"/>
      <c r="D1798" s="47"/>
      <c r="E1798" s="47"/>
      <c r="F1798" s="47"/>
      <c r="G1798" s="47"/>
      <c r="H1798" s="47"/>
    </row>
    <row r="1799" spans="1:8">
      <c r="A1799" s="47"/>
      <c r="B1799" s="47"/>
      <c r="C1799" s="47"/>
      <c r="D1799" s="47"/>
      <c r="E1799" s="47"/>
      <c r="F1799" s="47"/>
      <c r="G1799" s="47"/>
      <c r="H1799" s="47"/>
    </row>
    <row r="1800" spans="1:8">
      <c r="A1800" s="47"/>
      <c r="B1800" s="47"/>
      <c r="C1800" s="47"/>
      <c r="D1800" s="47"/>
      <c r="E1800" s="47"/>
      <c r="F1800" s="47"/>
      <c r="G1800" s="47"/>
      <c r="H1800" s="47"/>
    </row>
    <row r="1801" spans="1:8">
      <c r="A1801" s="47"/>
      <c r="B1801" s="47"/>
      <c r="C1801" s="47"/>
      <c r="D1801" s="47"/>
      <c r="E1801" s="47"/>
      <c r="F1801" s="47"/>
      <c r="G1801" s="47"/>
      <c r="H1801" s="47"/>
    </row>
    <row r="1802" spans="1:8">
      <c r="A1802" s="47"/>
      <c r="B1802" s="47"/>
      <c r="C1802" s="47"/>
      <c r="D1802" s="47"/>
      <c r="E1802" s="47"/>
      <c r="F1802" s="47"/>
      <c r="G1802" s="47"/>
      <c r="H1802" s="47"/>
    </row>
    <row r="1803" spans="1:8">
      <c r="A1803" s="47"/>
      <c r="B1803" s="47"/>
      <c r="C1803" s="47"/>
      <c r="D1803" s="47"/>
      <c r="E1803" s="47"/>
      <c r="F1803" s="47"/>
      <c r="G1803" s="47"/>
      <c r="H1803" s="47"/>
    </row>
    <row r="1804" spans="1:8">
      <c r="A1804" s="47"/>
      <c r="B1804" s="47"/>
      <c r="C1804" s="47"/>
      <c r="D1804" s="47"/>
      <c r="E1804" s="47"/>
      <c r="F1804" s="47"/>
      <c r="G1804" s="47"/>
      <c r="H1804" s="47"/>
    </row>
    <row r="1805" spans="1:8">
      <c r="A1805" s="47"/>
      <c r="B1805" s="47"/>
      <c r="C1805" s="47"/>
      <c r="D1805" s="47"/>
      <c r="E1805" s="47"/>
      <c r="F1805" s="47"/>
      <c r="G1805" s="47"/>
      <c r="H1805" s="47"/>
    </row>
    <row r="1806" spans="1:8">
      <c r="A1806" s="47"/>
      <c r="B1806" s="47"/>
      <c r="C1806" s="47"/>
      <c r="D1806" s="47"/>
      <c r="E1806" s="47"/>
      <c r="F1806" s="47"/>
      <c r="G1806" s="47"/>
      <c r="H1806" s="47"/>
    </row>
    <row r="1807" spans="1:8">
      <c r="A1807" s="47"/>
      <c r="B1807" s="47"/>
      <c r="C1807" s="47"/>
      <c r="D1807" s="47"/>
      <c r="E1807" s="47"/>
      <c r="F1807" s="47"/>
      <c r="G1807" s="47"/>
      <c r="H1807" s="47"/>
    </row>
    <row r="1808" spans="1:8">
      <c r="A1808" s="47"/>
      <c r="B1808" s="47"/>
      <c r="C1808" s="47"/>
      <c r="D1808" s="47"/>
      <c r="E1808" s="47"/>
      <c r="F1808" s="47"/>
      <c r="G1808" s="47"/>
      <c r="H1808" s="47"/>
    </row>
    <row r="1809" spans="1:8">
      <c r="A1809" s="47"/>
      <c r="B1809" s="47"/>
      <c r="C1809" s="47"/>
      <c r="D1809" s="47"/>
      <c r="E1809" s="47"/>
      <c r="F1809" s="47"/>
      <c r="G1809" s="47"/>
      <c r="H1809" s="47"/>
    </row>
    <row r="1810" spans="1:8">
      <c r="A1810" s="47"/>
      <c r="B1810" s="47"/>
      <c r="C1810" s="47"/>
      <c r="D1810" s="47"/>
      <c r="E1810" s="47"/>
      <c r="F1810" s="47"/>
      <c r="G1810" s="47"/>
      <c r="H1810" s="47"/>
    </row>
    <row r="1811" spans="1:8">
      <c r="A1811" s="47"/>
      <c r="B1811" s="47"/>
      <c r="C1811" s="47"/>
      <c r="D1811" s="47"/>
      <c r="E1811" s="47"/>
      <c r="F1811" s="47"/>
      <c r="G1811" s="47"/>
      <c r="H1811" s="47"/>
    </row>
    <row r="1812" spans="1:8">
      <c r="A1812" s="47"/>
      <c r="B1812" s="47"/>
      <c r="C1812" s="47"/>
      <c r="D1812" s="47"/>
      <c r="E1812" s="47"/>
      <c r="F1812" s="47"/>
      <c r="G1812" s="47"/>
      <c r="H1812" s="47"/>
    </row>
    <row r="1813" spans="1:8">
      <c r="A1813" s="47"/>
      <c r="B1813" s="47"/>
      <c r="C1813" s="47"/>
      <c r="D1813" s="47"/>
      <c r="E1813" s="47"/>
      <c r="F1813" s="47"/>
      <c r="G1813" s="47"/>
      <c r="H1813" s="47"/>
    </row>
    <row r="1814" spans="1:8">
      <c r="A1814" s="47"/>
      <c r="B1814" s="47"/>
      <c r="C1814" s="47"/>
      <c r="D1814" s="47"/>
      <c r="E1814" s="47"/>
      <c r="F1814" s="47"/>
      <c r="G1814" s="47"/>
      <c r="H1814" s="47"/>
    </row>
    <row r="1815" spans="1:8">
      <c r="A1815" s="47"/>
      <c r="B1815" s="47"/>
      <c r="C1815" s="47"/>
      <c r="D1815" s="47"/>
      <c r="E1815" s="47"/>
      <c r="F1815" s="47"/>
      <c r="G1815" s="47"/>
      <c r="H1815" s="47"/>
    </row>
    <row r="1816" spans="1:8">
      <c r="A1816" s="47"/>
      <c r="B1816" s="47"/>
      <c r="C1816" s="47"/>
      <c r="D1816" s="47"/>
      <c r="E1816" s="47"/>
      <c r="F1816" s="47"/>
      <c r="G1816" s="47"/>
      <c r="H1816" s="47"/>
    </row>
    <row r="1817" spans="1:8">
      <c r="A1817" s="47"/>
      <c r="B1817" s="47"/>
      <c r="C1817" s="47"/>
      <c r="D1817" s="47"/>
      <c r="E1817" s="47"/>
      <c r="F1817" s="47"/>
      <c r="G1817" s="47"/>
      <c r="H1817" s="47"/>
    </row>
    <row r="1818" spans="1:8">
      <c r="A1818" s="47"/>
      <c r="B1818" s="47"/>
      <c r="C1818" s="47"/>
      <c r="D1818" s="47"/>
      <c r="E1818" s="47"/>
      <c r="F1818" s="47"/>
      <c r="G1818" s="47"/>
      <c r="H1818" s="47"/>
    </row>
    <row r="1819" spans="1:8">
      <c r="A1819" s="47"/>
      <c r="B1819" s="47"/>
      <c r="C1819" s="47"/>
      <c r="D1819" s="47"/>
      <c r="E1819" s="47"/>
      <c r="F1819" s="47"/>
      <c r="G1819" s="47"/>
      <c r="H1819" s="47"/>
    </row>
    <row r="1820" spans="1:8">
      <c r="A1820" s="47"/>
      <c r="B1820" s="47"/>
      <c r="C1820" s="47"/>
      <c r="D1820" s="47"/>
      <c r="E1820" s="47"/>
      <c r="F1820" s="47"/>
      <c r="G1820" s="47"/>
      <c r="H1820" s="47"/>
    </row>
    <row r="1821" spans="1:8">
      <c r="A1821" s="47"/>
      <c r="B1821" s="47"/>
      <c r="C1821" s="47"/>
      <c r="D1821" s="47"/>
      <c r="E1821" s="47"/>
      <c r="F1821" s="47"/>
      <c r="G1821" s="47"/>
      <c r="H1821" s="47"/>
    </row>
    <row r="1822" spans="1:8">
      <c r="A1822" s="47"/>
      <c r="B1822" s="47"/>
      <c r="C1822" s="47"/>
      <c r="D1822" s="47"/>
      <c r="E1822" s="47"/>
      <c r="F1822" s="47"/>
      <c r="G1822" s="47"/>
      <c r="H1822" s="47"/>
    </row>
    <row r="1823" spans="1:8">
      <c r="A1823" s="47"/>
      <c r="B1823" s="47"/>
      <c r="C1823" s="47"/>
      <c r="D1823" s="47"/>
      <c r="E1823" s="47"/>
      <c r="F1823" s="47"/>
      <c r="G1823" s="47"/>
      <c r="H1823" s="47"/>
    </row>
    <row r="1824" spans="1:8">
      <c r="A1824" s="47"/>
      <c r="B1824" s="47"/>
      <c r="C1824" s="47"/>
      <c r="D1824" s="47"/>
      <c r="E1824" s="47"/>
      <c r="F1824" s="47"/>
      <c r="G1824" s="47"/>
      <c r="H1824" s="47"/>
    </row>
    <row r="1825" spans="1:8">
      <c r="A1825" s="47"/>
      <c r="B1825" s="47"/>
      <c r="C1825" s="47"/>
      <c r="D1825" s="47"/>
      <c r="E1825" s="47"/>
      <c r="F1825" s="47"/>
      <c r="G1825" s="47"/>
      <c r="H1825" s="47"/>
    </row>
    <row r="1826" spans="1:8">
      <c r="A1826" s="47"/>
      <c r="B1826" s="47"/>
      <c r="C1826" s="47"/>
      <c r="D1826" s="47"/>
      <c r="E1826" s="47"/>
      <c r="F1826" s="47"/>
      <c r="G1826" s="47"/>
      <c r="H1826" s="47"/>
    </row>
    <row r="1827" spans="1:8">
      <c r="A1827" s="47"/>
      <c r="B1827" s="47"/>
      <c r="C1827" s="47"/>
      <c r="D1827" s="47"/>
      <c r="E1827" s="47"/>
      <c r="F1827" s="47"/>
      <c r="G1827" s="47"/>
      <c r="H1827" s="47"/>
    </row>
    <row r="1828" spans="1:8">
      <c r="A1828" s="47"/>
      <c r="B1828" s="47"/>
      <c r="C1828" s="47"/>
      <c r="D1828" s="47"/>
      <c r="E1828" s="47"/>
      <c r="F1828" s="47"/>
      <c r="G1828" s="47"/>
      <c r="H1828" s="47"/>
    </row>
    <row r="1829" spans="1:8">
      <c r="A1829" s="47"/>
      <c r="B1829" s="47"/>
      <c r="C1829" s="47"/>
      <c r="D1829" s="47"/>
      <c r="E1829" s="47"/>
      <c r="F1829" s="47"/>
      <c r="G1829" s="47"/>
      <c r="H1829" s="47"/>
    </row>
    <row r="1830" spans="1:8">
      <c r="A1830" s="47"/>
      <c r="B1830" s="47"/>
      <c r="C1830" s="47"/>
      <c r="D1830" s="47"/>
      <c r="E1830" s="47"/>
      <c r="F1830" s="47"/>
      <c r="G1830" s="47"/>
      <c r="H1830" s="47"/>
    </row>
    <row r="1831" spans="1:8">
      <c r="A1831" s="47"/>
      <c r="B1831" s="47"/>
      <c r="C1831" s="47"/>
      <c r="D1831" s="47"/>
      <c r="E1831" s="47"/>
      <c r="F1831" s="47"/>
      <c r="G1831" s="47"/>
      <c r="H1831" s="47"/>
    </row>
    <row r="1832" spans="1:8">
      <c r="A1832" s="47"/>
      <c r="B1832" s="47"/>
      <c r="C1832" s="47"/>
      <c r="D1832" s="47"/>
      <c r="E1832" s="47"/>
      <c r="F1832" s="47"/>
      <c r="G1832" s="47"/>
      <c r="H1832" s="47"/>
    </row>
    <row r="1833" spans="1:8">
      <c r="A1833" s="47"/>
      <c r="B1833" s="47"/>
      <c r="C1833" s="47"/>
      <c r="D1833" s="47"/>
      <c r="E1833" s="47"/>
      <c r="F1833" s="47"/>
      <c r="G1833" s="47"/>
      <c r="H1833" s="47"/>
    </row>
    <row r="1834" spans="1:8">
      <c r="A1834" s="47"/>
      <c r="B1834" s="47"/>
      <c r="C1834" s="47"/>
      <c r="D1834" s="47"/>
      <c r="E1834" s="47"/>
      <c r="F1834" s="47"/>
      <c r="G1834" s="47"/>
      <c r="H1834" s="47"/>
    </row>
    <row r="1835" spans="1:8">
      <c r="A1835" s="47"/>
      <c r="B1835" s="47"/>
      <c r="C1835" s="47"/>
      <c r="D1835" s="47"/>
      <c r="E1835" s="47"/>
      <c r="F1835" s="47"/>
      <c r="G1835" s="47"/>
      <c r="H1835" s="47"/>
    </row>
    <row r="1836" spans="1:8">
      <c r="A1836" s="47"/>
      <c r="B1836" s="47"/>
      <c r="C1836" s="47"/>
      <c r="D1836" s="47"/>
      <c r="E1836" s="47"/>
      <c r="F1836" s="47"/>
      <c r="G1836" s="47"/>
      <c r="H1836" s="47"/>
    </row>
    <row r="1837" spans="1:8">
      <c r="A1837" s="47"/>
      <c r="B1837" s="47"/>
      <c r="C1837" s="47"/>
      <c r="D1837" s="47"/>
      <c r="E1837" s="47"/>
      <c r="F1837" s="47"/>
      <c r="G1837" s="47"/>
      <c r="H1837" s="47"/>
    </row>
    <row r="1838" spans="1:8">
      <c r="A1838" s="47"/>
      <c r="B1838" s="47"/>
      <c r="C1838" s="47"/>
      <c r="D1838" s="47"/>
      <c r="E1838" s="47"/>
      <c r="F1838" s="47"/>
      <c r="G1838" s="47"/>
      <c r="H1838" s="47"/>
    </row>
    <row r="1839" spans="1:8">
      <c r="A1839" s="47"/>
      <c r="B1839" s="47"/>
      <c r="C1839" s="47"/>
      <c r="D1839" s="47"/>
      <c r="E1839" s="47"/>
      <c r="F1839" s="47"/>
      <c r="G1839" s="47"/>
      <c r="H1839" s="47"/>
    </row>
    <row r="1840" spans="1:8">
      <c r="A1840" s="47"/>
      <c r="B1840" s="47"/>
      <c r="C1840" s="47"/>
      <c r="D1840" s="47"/>
      <c r="E1840" s="47"/>
      <c r="F1840" s="47"/>
      <c r="G1840" s="47"/>
      <c r="H1840" s="47"/>
    </row>
    <row r="1841" spans="1:8">
      <c r="A1841" s="47"/>
      <c r="B1841" s="47"/>
      <c r="C1841" s="47"/>
      <c r="D1841" s="47"/>
      <c r="E1841" s="47"/>
      <c r="F1841" s="47"/>
      <c r="G1841" s="47"/>
      <c r="H1841" s="47"/>
    </row>
    <row r="1842" spans="1:8">
      <c r="A1842" s="47"/>
      <c r="B1842" s="47"/>
      <c r="C1842" s="47"/>
      <c r="D1842" s="47"/>
      <c r="E1842" s="47"/>
      <c r="F1842" s="47"/>
      <c r="G1842" s="47"/>
      <c r="H1842" s="47"/>
    </row>
    <row r="1843" spans="1:8">
      <c r="A1843" s="47"/>
      <c r="B1843" s="47"/>
      <c r="C1843" s="47"/>
      <c r="D1843" s="47"/>
      <c r="E1843" s="47"/>
      <c r="F1843" s="47"/>
      <c r="G1843" s="47"/>
      <c r="H1843" s="47"/>
    </row>
    <row r="1844" spans="1:8">
      <c r="A1844" s="47"/>
      <c r="B1844" s="47"/>
      <c r="C1844" s="47"/>
      <c r="D1844" s="47"/>
      <c r="E1844" s="47"/>
      <c r="F1844" s="47"/>
      <c r="G1844" s="47"/>
      <c r="H1844" s="47"/>
    </row>
    <row r="1845" spans="1:8">
      <c r="A1845" s="47"/>
      <c r="B1845" s="47"/>
      <c r="C1845" s="47"/>
      <c r="D1845" s="47"/>
      <c r="E1845" s="47"/>
      <c r="F1845" s="47"/>
      <c r="G1845" s="47"/>
      <c r="H1845" s="47"/>
    </row>
    <row r="1846" spans="1:8">
      <c r="A1846" s="47"/>
      <c r="B1846" s="47"/>
      <c r="C1846" s="47"/>
      <c r="D1846" s="47"/>
      <c r="E1846" s="47"/>
      <c r="F1846" s="47"/>
      <c r="G1846" s="47"/>
      <c r="H1846" s="47"/>
    </row>
    <row r="1847" spans="1:8">
      <c r="A1847" s="47"/>
      <c r="B1847" s="47"/>
      <c r="C1847" s="47"/>
      <c r="D1847" s="47"/>
      <c r="E1847" s="47"/>
      <c r="F1847" s="47"/>
      <c r="G1847" s="47"/>
      <c r="H1847" s="47"/>
    </row>
    <row r="1848" spans="1:8">
      <c r="A1848" s="47"/>
      <c r="B1848" s="47"/>
      <c r="C1848" s="47"/>
      <c r="D1848" s="47"/>
      <c r="E1848" s="47"/>
      <c r="F1848" s="47"/>
      <c r="G1848" s="47"/>
      <c r="H1848" s="47"/>
    </row>
    <row r="1849" spans="1:8">
      <c r="A1849" s="47"/>
      <c r="B1849" s="47"/>
      <c r="C1849" s="47"/>
      <c r="D1849" s="47"/>
      <c r="E1849" s="47"/>
      <c r="F1849" s="47"/>
      <c r="G1849" s="47"/>
      <c r="H1849" s="47"/>
    </row>
    <row r="1850" spans="1:8">
      <c r="A1850" s="47"/>
      <c r="B1850" s="47"/>
      <c r="C1850" s="47"/>
      <c r="D1850" s="47"/>
      <c r="E1850" s="47"/>
      <c r="F1850" s="47"/>
      <c r="G1850" s="47"/>
      <c r="H1850" s="47"/>
    </row>
    <row r="1851" spans="1:8">
      <c r="A1851" s="47"/>
      <c r="B1851" s="47"/>
      <c r="C1851" s="47"/>
      <c r="D1851" s="47"/>
      <c r="E1851" s="47"/>
      <c r="F1851" s="47"/>
      <c r="G1851" s="47"/>
      <c r="H1851" s="47"/>
    </row>
    <row r="1852" spans="1:8">
      <c r="A1852" s="47"/>
      <c r="B1852" s="47"/>
      <c r="C1852" s="47"/>
      <c r="D1852" s="47"/>
      <c r="E1852" s="47"/>
      <c r="F1852" s="47"/>
      <c r="G1852" s="47"/>
      <c r="H1852" s="47"/>
    </row>
    <row r="1853" spans="1:8">
      <c r="A1853" s="47"/>
      <c r="B1853" s="47"/>
      <c r="C1853" s="47"/>
      <c r="D1853" s="47"/>
      <c r="E1853" s="47"/>
      <c r="F1853" s="47"/>
      <c r="G1853" s="47"/>
      <c r="H1853" s="47"/>
    </row>
    <row r="1854" spans="1:8">
      <c r="A1854" s="47"/>
      <c r="B1854" s="47"/>
      <c r="C1854" s="47"/>
      <c r="D1854" s="47"/>
      <c r="E1854" s="47"/>
      <c r="F1854" s="47"/>
      <c r="G1854" s="47"/>
      <c r="H1854" s="47"/>
    </row>
    <row r="1855" spans="1:8">
      <c r="A1855" s="47"/>
      <c r="B1855" s="47"/>
      <c r="C1855" s="47"/>
      <c r="D1855" s="47"/>
      <c r="E1855" s="47"/>
      <c r="F1855" s="47"/>
      <c r="G1855" s="47"/>
      <c r="H1855" s="47"/>
    </row>
    <row r="1856" spans="1:8">
      <c r="A1856" s="47"/>
      <c r="B1856" s="47"/>
      <c r="C1856" s="47"/>
      <c r="D1856" s="47"/>
      <c r="E1856" s="47"/>
      <c r="F1856" s="47"/>
      <c r="G1856" s="47"/>
      <c r="H1856" s="47"/>
    </row>
    <row r="1857" spans="1:8">
      <c r="A1857" s="47"/>
      <c r="B1857" s="47"/>
      <c r="C1857" s="47"/>
      <c r="D1857" s="47"/>
      <c r="E1857" s="47"/>
      <c r="F1857" s="47"/>
      <c r="G1857" s="47"/>
      <c r="H1857" s="47"/>
    </row>
    <row r="1858" spans="1:8">
      <c r="A1858" s="47"/>
      <c r="B1858" s="47"/>
      <c r="C1858" s="47"/>
      <c r="D1858" s="47"/>
      <c r="E1858" s="47"/>
      <c r="F1858" s="47"/>
      <c r="G1858" s="47"/>
      <c r="H1858" s="47"/>
    </row>
    <row r="1859" spans="1:8">
      <c r="A1859" s="47"/>
      <c r="B1859" s="47"/>
      <c r="C1859" s="47"/>
      <c r="D1859" s="47"/>
      <c r="E1859" s="47"/>
      <c r="F1859" s="47"/>
      <c r="G1859" s="47"/>
      <c r="H1859" s="47"/>
    </row>
    <row r="1860" spans="1:8">
      <c r="A1860" s="47"/>
      <c r="B1860" s="47"/>
      <c r="C1860" s="47"/>
      <c r="D1860" s="47"/>
      <c r="E1860" s="47"/>
      <c r="F1860" s="47"/>
      <c r="G1860" s="47"/>
      <c r="H1860" s="47"/>
    </row>
    <row r="1861" spans="1:8">
      <c r="A1861" s="47"/>
      <c r="B1861" s="47"/>
      <c r="C1861" s="47"/>
      <c r="D1861" s="47"/>
      <c r="E1861" s="47"/>
      <c r="F1861" s="47"/>
      <c r="G1861" s="47"/>
      <c r="H1861" s="47"/>
    </row>
    <row r="1862" spans="1:8">
      <c r="A1862" s="47"/>
      <c r="B1862" s="47"/>
      <c r="C1862" s="47"/>
      <c r="D1862" s="47"/>
      <c r="E1862" s="47"/>
      <c r="F1862" s="47"/>
      <c r="G1862" s="47"/>
      <c r="H1862" s="47"/>
    </row>
    <row r="1863" spans="1:8">
      <c r="A1863" s="47"/>
      <c r="B1863" s="47"/>
      <c r="C1863" s="47"/>
      <c r="D1863" s="47"/>
      <c r="E1863" s="47"/>
      <c r="F1863" s="47"/>
      <c r="G1863" s="47"/>
      <c r="H1863" s="47"/>
    </row>
    <row r="1864" spans="1:8">
      <c r="A1864" s="47"/>
      <c r="B1864" s="47"/>
      <c r="C1864" s="47"/>
      <c r="D1864" s="47"/>
      <c r="E1864" s="47"/>
      <c r="F1864" s="47"/>
      <c r="G1864" s="47"/>
      <c r="H1864" s="47"/>
    </row>
    <row r="1865" spans="1:8">
      <c r="A1865" s="47"/>
      <c r="B1865" s="47"/>
      <c r="C1865" s="47"/>
      <c r="D1865" s="47"/>
      <c r="E1865" s="47"/>
      <c r="F1865" s="47"/>
      <c r="G1865" s="47"/>
      <c r="H1865" s="47"/>
    </row>
    <row r="1866" spans="1:8">
      <c r="A1866" s="47"/>
      <c r="B1866" s="47"/>
      <c r="C1866" s="47"/>
      <c r="D1866" s="47"/>
      <c r="E1866" s="47"/>
      <c r="F1866" s="47"/>
      <c r="G1866" s="47"/>
      <c r="H1866" s="47"/>
    </row>
    <row r="1867" spans="1:8">
      <c r="A1867" s="47"/>
      <c r="B1867" s="47"/>
      <c r="C1867" s="47"/>
      <c r="D1867" s="47"/>
      <c r="E1867" s="47"/>
      <c r="F1867" s="47"/>
      <c r="G1867" s="47"/>
      <c r="H1867" s="47"/>
    </row>
    <row r="1868" spans="1:8">
      <c r="A1868" s="47"/>
      <c r="B1868" s="47"/>
      <c r="C1868" s="47"/>
      <c r="D1868" s="47"/>
      <c r="E1868" s="47"/>
      <c r="F1868" s="47"/>
      <c r="G1868" s="47"/>
      <c r="H1868" s="47"/>
    </row>
    <row r="1869" spans="1:8">
      <c r="A1869" s="47"/>
      <c r="B1869" s="47"/>
      <c r="C1869" s="47"/>
      <c r="D1869" s="47"/>
      <c r="E1869" s="47"/>
      <c r="F1869" s="47"/>
      <c r="G1869" s="47"/>
      <c r="H1869" s="47"/>
    </row>
    <row r="1870" spans="1:8">
      <c r="A1870" s="47"/>
      <c r="B1870" s="47"/>
      <c r="C1870" s="47"/>
      <c r="D1870" s="47"/>
      <c r="E1870" s="47"/>
      <c r="F1870" s="47"/>
      <c r="G1870" s="47"/>
      <c r="H1870" s="47"/>
    </row>
    <row r="1871" spans="1:8">
      <c r="A1871" s="47"/>
      <c r="B1871" s="47"/>
      <c r="C1871" s="47"/>
      <c r="D1871" s="47"/>
      <c r="E1871" s="47"/>
      <c r="F1871" s="47"/>
      <c r="G1871" s="47"/>
      <c r="H1871" s="47"/>
    </row>
    <row r="1872" spans="1:8">
      <c r="A1872" s="47"/>
      <c r="B1872" s="47"/>
      <c r="C1872" s="47"/>
      <c r="D1872" s="47"/>
      <c r="E1872" s="47"/>
      <c r="F1872" s="47"/>
      <c r="G1872" s="47"/>
      <c r="H1872" s="47"/>
    </row>
    <row r="1873" spans="1:8">
      <c r="A1873" s="47"/>
      <c r="B1873" s="47"/>
      <c r="C1873" s="47"/>
      <c r="D1873" s="47"/>
      <c r="E1873" s="47"/>
      <c r="F1873" s="47"/>
      <c r="G1873" s="47"/>
      <c r="H1873" s="47"/>
    </row>
    <row r="1874" spans="1:8">
      <c r="A1874" s="47"/>
      <c r="B1874" s="47"/>
      <c r="C1874" s="47"/>
      <c r="D1874" s="47"/>
      <c r="E1874" s="47"/>
      <c r="F1874" s="47"/>
      <c r="G1874" s="47"/>
      <c r="H1874" s="47"/>
    </row>
    <row r="1875" spans="1:8">
      <c r="A1875" s="47"/>
      <c r="B1875" s="47"/>
      <c r="C1875" s="47"/>
      <c r="D1875" s="47"/>
      <c r="E1875" s="47"/>
      <c r="F1875" s="47"/>
      <c r="G1875" s="47"/>
      <c r="H1875" s="47"/>
    </row>
    <row r="1876" spans="1:8">
      <c r="A1876" s="47"/>
      <c r="B1876" s="47"/>
      <c r="C1876" s="47"/>
      <c r="D1876" s="47"/>
      <c r="E1876" s="47"/>
      <c r="F1876" s="47"/>
      <c r="G1876" s="47"/>
      <c r="H1876" s="47"/>
    </row>
    <row r="1877" spans="1:8">
      <c r="A1877" s="47"/>
      <c r="B1877" s="47"/>
      <c r="C1877" s="47"/>
      <c r="D1877" s="47"/>
      <c r="E1877" s="47"/>
      <c r="F1877" s="47"/>
      <c r="G1877" s="47"/>
      <c r="H1877" s="47"/>
    </row>
    <row r="1878" spans="1:8">
      <c r="A1878" s="47"/>
      <c r="B1878" s="47"/>
      <c r="C1878" s="47"/>
      <c r="D1878" s="47"/>
      <c r="E1878" s="47"/>
      <c r="F1878" s="47"/>
      <c r="G1878" s="47"/>
      <c r="H1878" s="47"/>
    </row>
    <row r="1879" spans="1:8">
      <c r="A1879" s="47"/>
      <c r="B1879" s="47"/>
      <c r="C1879" s="47"/>
      <c r="D1879" s="47"/>
      <c r="E1879" s="47"/>
      <c r="F1879" s="47"/>
      <c r="G1879" s="47"/>
      <c r="H1879" s="47"/>
    </row>
    <row r="1880" spans="1:8">
      <c r="A1880" s="47"/>
      <c r="B1880" s="47"/>
      <c r="C1880" s="47"/>
      <c r="D1880" s="47"/>
      <c r="E1880" s="47"/>
      <c r="F1880" s="47"/>
      <c r="G1880" s="47"/>
      <c r="H1880" s="47"/>
    </row>
    <row r="1881" spans="1:8">
      <c r="A1881" s="47"/>
      <c r="B1881" s="47"/>
      <c r="C1881" s="47"/>
      <c r="D1881" s="47"/>
      <c r="E1881" s="47"/>
      <c r="F1881" s="47"/>
      <c r="G1881" s="47"/>
      <c r="H1881" s="47"/>
    </row>
    <row r="1882" spans="1:8">
      <c r="A1882" s="47"/>
      <c r="B1882" s="47"/>
      <c r="C1882" s="47"/>
      <c r="D1882" s="47"/>
      <c r="E1882" s="47"/>
      <c r="F1882" s="47"/>
      <c r="G1882" s="47"/>
      <c r="H1882" s="47"/>
    </row>
    <row r="1883" spans="1:8">
      <c r="A1883" s="47"/>
      <c r="B1883" s="47"/>
      <c r="C1883" s="47"/>
      <c r="D1883" s="47"/>
      <c r="E1883" s="47"/>
      <c r="F1883" s="47"/>
      <c r="G1883" s="47"/>
      <c r="H1883" s="47"/>
    </row>
    <row r="1884" spans="1:8">
      <c r="A1884" s="47"/>
      <c r="B1884" s="47"/>
      <c r="C1884" s="47"/>
      <c r="D1884" s="47"/>
      <c r="E1884" s="47"/>
      <c r="F1884" s="47"/>
      <c r="G1884" s="47"/>
      <c r="H1884" s="47"/>
    </row>
    <row r="1885" spans="1:8">
      <c r="A1885" s="47"/>
      <c r="B1885" s="47"/>
      <c r="C1885" s="47"/>
      <c r="D1885" s="47"/>
      <c r="E1885" s="47"/>
      <c r="F1885" s="47"/>
      <c r="G1885" s="47"/>
      <c r="H1885" s="47"/>
    </row>
    <row r="1886" spans="1:8">
      <c r="A1886" s="47"/>
      <c r="B1886" s="47"/>
      <c r="C1886" s="47"/>
      <c r="D1886" s="47"/>
      <c r="E1886" s="47"/>
      <c r="F1886" s="47"/>
      <c r="G1886" s="47"/>
      <c r="H1886" s="47"/>
    </row>
    <row r="1887" spans="1:8">
      <c r="A1887" s="47"/>
      <c r="B1887" s="47"/>
      <c r="C1887" s="47"/>
      <c r="D1887" s="47"/>
      <c r="E1887" s="47"/>
      <c r="F1887" s="47"/>
      <c r="G1887" s="47"/>
      <c r="H1887" s="47"/>
    </row>
    <row r="1888" spans="1:8">
      <c r="A1888" s="47"/>
      <c r="B1888" s="47"/>
      <c r="C1888" s="47"/>
      <c r="D1888" s="47"/>
      <c r="E1888" s="47"/>
      <c r="F1888" s="47"/>
      <c r="G1888" s="47"/>
      <c r="H1888" s="47"/>
    </row>
    <row r="1889" spans="1:8">
      <c r="A1889" s="47"/>
      <c r="B1889" s="47"/>
      <c r="C1889" s="47"/>
      <c r="D1889" s="47"/>
      <c r="E1889" s="47"/>
      <c r="F1889" s="47"/>
      <c r="G1889" s="47"/>
      <c r="H1889" s="47"/>
    </row>
    <row r="1890" spans="1:8">
      <c r="A1890" s="47"/>
      <c r="B1890" s="47"/>
      <c r="C1890" s="47"/>
      <c r="D1890" s="47"/>
      <c r="E1890" s="47"/>
      <c r="F1890" s="47"/>
      <c r="G1890" s="47"/>
      <c r="H1890" s="47"/>
    </row>
    <row r="1891" spans="1:8">
      <c r="A1891" s="47"/>
      <c r="B1891" s="47"/>
      <c r="C1891" s="47"/>
      <c r="D1891" s="47"/>
      <c r="E1891" s="47"/>
      <c r="F1891" s="47"/>
      <c r="G1891" s="47"/>
      <c r="H1891" s="47"/>
    </row>
    <row r="1892" spans="1:8">
      <c r="A1892" s="47"/>
      <c r="B1892" s="47"/>
      <c r="C1892" s="47"/>
      <c r="D1892" s="47"/>
      <c r="E1892" s="47"/>
      <c r="F1892" s="47"/>
      <c r="G1892" s="47"/>
      <c r="H1892" s="47"/>
    </row>
    <row r="1893" spans="1:8">
      <c r="A1893" s="47"/>
      <c r="B1893" s="47"/>
      <c r="C1893" s="47"/>
      <c r="D1893" s="47"/>
      <c r="E1893" s="47"/>
      <c r="F1893" s="47"/>
      <c r="G1893" s="47"/>
      <c r="H1893" s="47"/>
    </row>
    <row r="1894" spans="1:8">
      <c r="A1894" s="47"/>
      <c r="B1894" s="47"/>
      <c r="C1894" s="47"/>
      <c r="D1894" s="47"/>
      <c r="E1894" s="47"/>
      <c r="F1894" s="47"/>
      <c r="G1894" s="47"/>
      <c r="H1894" s="47"/>
    </row>
    <row r="1895" spans="1:8">
      <c r="A1895" s="47"/>
      <c r="B1895" s="47"/>
      <c r="C1895" s="47"/>
      <c r="D1895" s="47"/>
      <c r="E1895" s="47"/>
      <c r="F1895" s="47"/>
      <c r="G1895" s="47"/>
      <c r="H1895" s="47"/>
    </row>
    <row r="1896" spans="1:8">
      <c r="A1896" s="47"/>
      <c r="B1896" s="47"/>
      <c r="C1896" s="47"/>
      <c r="D1896" s="47"/>
      <c r="E1896" s="47"/>
      <c r="F1896" s="47"/>
      <c r="G1896" s="47"/>
      <c r="H1896" s="47"/>
    </row>
    <row r="1897" spans="1:8">
      <c r="A1897" s="47"/>
      <c r="B1897" s="47"/>
      <c r="C1897" s="47"/>
      <c r="D1897" s="47"/>
      <c r="E1897" s="47"/>
      <c r="F1897" s="47"/>
      <c r="G1897" s="47"/>
      <c r="H1897" s="47"/>
    </row>
    <row r="1898" spans="1:8">
      <c r="A1898" s="47"/>
      <c r="B1898" s="47"/>
      <c r="C1898" s="47"/>
      <c r="D1898" s="47"/>
      <c r="E1898" s="47"/>
      <c r="F1898" s="47"/>
      <c r="G1898" s="47"/>
      <c r="H1898" s="47"/>
    </row>
    <row r="1899" spans="1:8">
      <c r="A1899" s="47"/>
      <c r="B1899" s="47"/>
      <c r="C1899" s="47"/>
      <c r="D1899" s="47"/>
      <c r="E1899" s="47"/>
      <c r="F1899" s="47"/>
      <c r="G1899" s="47"/>
      <c r="H1899" s="47"/>
    </row>
    <row r="1900" spans="1:8">
      <c r="A1900" s="47"/>
      <c r="B1900" s="47"/>
      <c r="C1900" s="47"/>
      <c r="D1900" s="47"/>
      <c r="E1900" s="47"/>
      <c r="F1900" s="47"/>
      <c r="G1900" s="47"/>
      <c r="H1900" s="47"/>
    </row>
    <row r="1901" spans="1:8">
      <c r="A1901" s="47"/>
      <c r="B1901" s="47"/>
      <c r="C1901" s="47"/>
      <c r="D1901" s="47"/>
      <c r="E1901" s="47"/>
      <c r="F1901" s="47"/>
      <c r="G1901" s="47"/>
      <c r="H1901" s="47"/>
    </row>
    <row r="1902" spans="1:8">
      <c r="A1902" s="47"/>
      <c r="B1902" s="47"/>
      <c r="C1902" s="47"/>
      <c r="D1902" s="47"/>
      <c r="E1902" s="47"/>
      <c r="F1902" s="47"/>
      <c r="G1902" s="47"/>
      <c r="H1902" s="47"/>
    </row>
    <row r="1903" spans="1:8">
      <c r="A1903" s="47"/>
      <c r="B1903" s="47"/>
      <c r="C1903" s="47"/>
      <c r="D1903" s="47"/>
      <c r="E1903" s="47"/>
      <c r="F1903" s="47"/>
      <c r="G1903" s="47"/>
      <c r="H1903" s="47"/>
    </row>
    <row r="1904" spans="1:8">
      <c r="A1904" s="47"/>
      <c r="B1904" s="47"/>
      <c r="C1904" s="47"/>
      <c r="D1904" s="47"/>
      <c r="E1904" s="47"/>
      <c r="F1904" s="47"/>
      <c r="G1904" s="47"/>
      <c r="H1904" s="47"/>
    </row>
    <row r="1905" spans="1:8">
      <c r="A1905" s="47"/>
      <c r="B1905" s="47"/>
      <c r="C1905" s="47"/>
      <c r="D1905" s="47"/>
      <c r="E1905" s="47"/>
      <c r="F1905" s="47"/>
      <c r="G1905" s="47"/>
      <c r="H1905" s="47"/>
    </row>
  </sheetData>
  <sheetProtection selectLockedCells="1" sort="0" autoFilter="0"/>
  <customSheetViews>
    <customSheetView guid="{52AE7582-FD95-46D8-BA65-D10753F310CC}" showPageBreaks="1" fitToPage="1" printArea="1" view="pageBreakPreview">
      <pane ySplit="1" topLeftCell="A2" activePane="bottomLeft" state="frozen"/>
      <selection pane="bottomLeft" activeCell="D3" sqref="D3"/>
      <pageMargins left="0" right="0" top="0" bottom="0" header="0" footer="0"/>
      <printOptions gridLines="1"/>
      <pageSetup paperSize="9" scale="67" fitToHeight="0" orientation="landscape" cellComments="atEnd" r:id="rId1"/>
      <headerFooter>
        <oddHeader>&amp;L&amp;[Cover]</oddHeader>
        <oddFooter>&amp;C&amp;L&amp;&amp;R&amp;P of &amp;R&amp;P of &amp;N</oddFooter>
      </headerFooter>
    </customSheetView>
    <customSheetView guid="{38D3F89A-32F8-4A57-A6F8-1BC1DD4CBDE7}" showPageBreaks="1" fitToPage="1" printArea="1" view="pageBreakPreview">
      <pane ySplit="1" topLeftCell="A2" activePane="bottomLeft" state="frozen"/>
      <selection pane="bottomLeft" activeCell="D3" sqref="D3"/>
      <pageMargins left="0" right="0" top="0" bottom="0" header="0" footer="0"/>
      <printOptions gridLines="1"/>
      <pageSetup paperSize="9" scale="66" fitToHeight="0" orientation="landscape" cellComments="atEnd" r:id="rId2"/>
      <headerFooter>
        <oddHeader>&amp;L&amp;[Cover]</oddHeader>
        <oddFooter>&amp;C&amp;L&amp;&amp;R&amp;P of &amp;R&amp;P of &amp;N</oddFooter>
      </headerFooter>
    </customSheetView>
  </customSheetViews>
  <dataValidations count="1">
    <dataValidation type="list" allowBlank="1" showInputMessage="1" showErrorMessage="1" sqref="F2:F35">
      <formula1>Priority</formula1>
    </dataValidation>
  </dataValidations>
  <printOptions gridLines="1"/>
  <pageMargins left="0" right="0" top="0" bottom="0" header="0" footer="0"/>
  <pageSetup paperSize="9" scale="65" fitToHeight="0" orientation="landscape" cellComments="atEnd" r:id="rId3"/>
  <headerFooter>
    <oddHeader>&amp;L&amp;[Cover]</oddHeader>
    <oddFooter>&amp;C&amp;L&amp;&amp;R&amp;P of &amp;R&amp;P of &amp;N</oddFooter>
  </headerFooter>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608CAB"/>
  </sheetPr>
  <dimension ref="A1:W80"/>
  <sheetViews>
    <sheetView tabSelected="1" zoomScale="85" zoomScaleNormal="85" zoomScaleSheetLayoutView="85" workbookViewId="0">
      <selection activeCell="C2" sqref="C2"/>
    </sheetView>
  </sheetViews>
  <sheetFormatPr defaultRowHeight="15"/>
  <cols>
    <col min="1" max="1" width="5.42578125" style="8" customWidth="1"/>
    <col min="2" max="2" width="12.42578125" style="8" customWidth="1"/>
    <col min="3" max="3" width="24" style="7" customWidth="1"/>
    <col min="4" max="4" width="17.42578125" style="7" customWidth="1"/>
    <col min="5" max="5" width="22" style="8" customWidth="1"/>
    <col min="6" max="6" width="10.140625" style="8" customWidth="1"/>
    <col min="7" max="7" width="24.42578125" style="8" customWidth="1"/>
    <col min="8" max="8" width="25.5703125" style="7" customWidth="1"/>
    <col min="9" max="9" width="16" style="9" customWidth="1"/>
    <col min="10" max="10" width="12.28515625" style="8" customWidth="1"/>
    <col min="11" max="11" width="31.42578125" style="8" customWidth="1"/>
    <col min="12" max="12" width="31.85546875" style="8" customWidth="1"/>
    <col min="13" max="13" width="8.5703125" style="8" customWidth="1"/>
    <col min="14" max="14" width="11.85546875" style="8" customWidth="1"/>
    <col min="15" max="16" width="9.140625" style="8"/>
    <col min="17" max="17" width="8.7109375" style="8" customWidth="1"/>
    <col min="18" max="18" width="9.28515625" style="8" customWidth="1"/>
    <col min="19" max="19" width="11.85546875" style="8" customWidth="1"/>
    <col min="20" max="20" width="17.28515625" style="10" bestFit="1" customWidth="1"/>
    <col min="21" max="23" width="52.28515625" style="11" customWidth="1"/>
    <col min="24" max="16384" width="9.140625" style="8"/>
  </cols>
  <sheetData>
    <row r="1" spans="1:23" s="22" customFormat="1" ht="51.75" customHeight="1">
      <c r="A1" s="51" t="s">
        <v>0</v>
      </c>
      <c r="B1" s="51" t="s">
        <v>343</v>
      </c>
      <c r="C1" s="51" t="s">
        <v>309</v>
      </c>
      <c r="D1" s="51" t="s">
        <v>310</v>
      </c>
      <c r="E1" s="51" t="s">
        <v>311</v>
      </c>
      <c r="F1" s="51" t="s">
        <v>2</v>
      </c>
      <c r="G1" s="51" t="s">
        <v>376</v>
      </c>
      <c r="H1" s="51" t="s">
        <v>385</v>
      </c>
      <c r="I1" s="42" t="s">
        <v>312</v>
      </c>
      <c r="J1" s="43" t="s">
        <v>8</v>
      </c>
      <c r="K1" s="43" t="s">
        <v>607</v>
      </c>
      <c r="L1" s="43" t="s">
        <v>608</v>
      </c>
      <c r="M1" s="43" t="s">
        <v>359</v>
      </c>
      <c r="N1" s="43" t="s">
        <v>506</v>
      </c>
      <c r="O1" s="43" t="s">
        <v>409</v>
      </c>
      <c r="P1" s="43" t="s">
        <v>408</v>
      </c>
      <c r="Q1" s="43" t="s">
        <v>3</v>
      </c>
      <c r="R1" s="43" t="s">
        <v>4</v>
      </c>
      <c r="S1" s="43" t="s">
        <v>5</v>
      </c>
      <c r="T1" s="45" t="s">
        <v>6</v>
      </c>
      <c r="U1" s="45" t="s">
        <v>1</v>
      </c>
      <c r="V1" s="45" t="s">
        <v>9</v>
      </c>
      <c r="W1" s="45" t="s">
        <v>10</v>
      </c>
    </row>
    <row r="2" spans="1:23" ht="133.5" customHeight="1">
      <c r="A2" s="36">
        <f>IF(B2="","",COUNTIF($B$2:B2,"&lt;&gt;"&amp;""))</f>
        <v>1</v>
      </c>
      <c r="B2" s="37" t="s">
        <v>594</v>
      </c>
      <c r="C2" s="38" t="str">
        <f ca="1">FormatTest!A2</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D2" s="38" t="s">
        <v>592</v>
      </c>
      <c r="E2" s="39" t="str">
        <f ca="1">FormatTest!C2</f>
        <v>&lt;BR&gt;&lt;BR&gt;Benefit Status=CUR&lt;BR&gt;Review created on FAL screen=No Review&lt;BR&gt;Customer FTB (A) Status=CUR&lt;BR&gt;Customer FTB (B) Status=CUR&lt;BR&gt;Customer RA Status=N-HOM&lt;BR&gt;Child Eligibility FTB(A)=Y&lt;BR&gt;Child Eligibility FTB(B)=Y</v>
      </c>
      <c r="F2" s="37" t="s">
        <v>13</v>
      </c>
      <c r="G2" s="37"/>
      <c r="H2" s="37"/>
      <c r="I2" s="41" t="str">
        <f ca="1">OFFSET(BuildTest!$D$202,MOD(ROW()-ROW($D$2),ROWS(BuildTest!$D$202:$D$202)),TRUNC((ROW()-ROW($D$2))/ROWS(BuildTest!$D$202:$D$202)),1,1)</f>
        <v>FTB.Regression.NCL.Partnered customer.All</v>
      </c>
      <c r="J2" s="41" t="s">
        <v>16</v>
      </c>
      <c r="K2" s="41" t="str">
        <f ca="1">FormatTest!F2</f>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L2" s="41" t="str">
        <f ca="1">FormatTest!G2</f>
        <v>Verify Assessment and Eligibility outcome
&lt;BR&gt;&lt;BR&gt;Benefit Status=CUR&lt;BR&gt;Review created on FAL screen=No Review&lt;BR&gt;Customer FTB (A) Status=CUR&lt;BR&gt;Customer FTB (B) Status=CUR&lt;BR&gt;Customer RA Status=N-HOM&lt;BR&gt;Child Eligibility FTB(A)=Y&lt;BR&gt;Child Eligibility FTB(B)=Y</v>
      </c>
      <c r="M2" s="41" t="s">
        <v>322</v>
      </c>
      <c r="N2" s="41"/>
      <c r="O2" s="41" t="s">
        <v>410</v>
      </c>
      <c r="P2" s="41" t="s">
        <v>609</v>
      </c>
      <c r="Q2" s="41" t="s">
        <v>441</v>
      </c>
      <c r="R2" s="41" t="s">
        <v>14</v>
      </c>
      <c r="S2" s="41" t="s">
        <v>893</v>
      </c>
      <c r="T2" s="44" t="str">
        <f ca="1">IF(ISBLANK(A2),"",IF(A2&lt;10,"00",IF(A2&gt;99,"","0"))&amp;A2&amp;IF(LEFT(I2,1)=".",I2,"."&amp;I2))</f>
        <v>001.FTB.Regression.NCL.Partnered customer.All</v>
      </c>
      <c r="U2" s="44" t="str">
        <f ca="1">CONCATENATE("&lt;HTML&gt;&lt;font color=#0000FF&gt;&lt;B&gt;PURPOSE:  &lt;/B&gt;&lt;/font&gt;&lt;BR&gt;",C2,"&lt;BR&gt;&lt;BR&gt;&lt;BR&gt;&lt;font color=#0000FF&gt;&lt;B&gt;Pre-requisites:  &lt;/B&gt;&lt;/font&gt;",D2,"&lt;BR&gt;&lt;BR&gt;&lt;font color=#0000FF&gt;&lt;B&gt;User Spec Name:  &lt;/B&gt;&lt;/font&gt;",Cover!$C$8,"&lt;BR&gt;",Cover!$F$8,"&lt;BR&gt;&lt;font color=#0000FF&gt;&lt;B&gt;User Spec Reference:  &lt;/B&gt;&lt;/font&gt;",B2,"&lt;/HTML&gt;")</f>
        <v>&lt;HTML&gt;&lt;font color=#0000FF&gt;&lt;B&gt;PURPOSE:  &lt;/B&gt;&lt;/font&gt;&lt;BR&gt;The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1&lt;/HTML&gt;</v>
      </c>
      <c r="V2" s="44" t="str">
        <f ca="1">CONCATENATE("&lt;HTML&gt;",K2,"&lt;/HTML&gt;")</f>
        <v>&lt;HTML&gt;Index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care&lt;/HTML&gt;</v>
      </c>
      <c r="W2" s="44" t="str">
        <f ca="1">CONCATENATE("&lt;HTML&gt;",L2,"&lt;/HTML&gt;")</f>
        <v>&lt;HTML&gt;Verify Assessment and Eligibility outcome
&lt;BR&gt;&lt;BR&gt;Benefit Status=CUR&lt;BR&gt;Review created on FAL screen=No Review&lt;BR&gt;Customer FTB (A) Status=CUR&lt;BR&gt;Customer FTB (B) Status=CUR&lt;BR&gt;Customer RA Status=N-HOM&lt;BR&gt;Child Eligibility FTB(A)=Y&lt;BR&gt;Child Eligibility FTB(B)=Y&lt;/HTML&gt;</v>
      </c>
    </row>
    <row r="3" spans="1:23" ht="51.75" customHeight="1">
      <c r="A3" s="36">
        <f>IF(B3="","",COUNTIF($B$2:B3,"&lt;&gt;"&amp;""))</f>
        <v>2</v>
      </c>
      <c r="B3" s="37" t="s">
        <v>594</v>
      </c>
      <c r="C3" s="38" t="str">
        <f ca="1">FormatTest!A3</f>
        <v>The purpose of the test is to verify &lt;BR&gt;&lt;BR&gt;&lt;BR&gt;&lt;BR&gt;Benefit Status=CUR&lt;BR&gt;Review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AU citizen&lt;BR&gt;Direct Credit details   = Coded Exemption - FNG&lt;BR&gt;TFN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D3" s="38" t="s">
        <v>592</v>
      </c>
      <c r="E3" s="39" t="str">
        <f ca="1">FormatTest!C3</f>
        <v>&lt;BR&gt;&lt;BR&gt;Benefit Status=CUR&lt;BR&gt;Review created on FAL screen=No Review&lt;BR&gt;Customer FTB (A) Status=NULL&lt;BR&gt;Customer FTB (B) Status=NULL&lt;BR&gt;Customer RA Status=N-NULL&lt;BR&gt;Child Eligibility FTB(A)=Y&lt;BR&gt;Child Eligibility FTB(B)=Y</v>
      </c>
      <c r="F3" s="37" t="s">
        <v>13</v>
      </c>
      <c r="G3" s="37"/>
      <c r="H3" s="37"/>
      <c r="I3" s="41" t="str">
        <f ca="1">OFFSET(BuildTest!$D$202,MOD(ROW()-ROW($D$2),ROWS(BuildTest!$D$202:$D$202)),TRUNC((ROW()-ROW($D$2))/ROWS(BuildTest!$D$202:$D$202)),1,1)</f>
        <v>FTB.Regression.NCL.Partnered customer.Direct credit circ.Exempt FNG</v>
      </c>
      <c r="J3" s="41" t="s">
        <v>16</v>
      </c>
      <c r="K3" s="41" t="str">
        <f ca="1">FormatTest!F3</f>
        <v>Index a FTB/NCL with below circumstance description &lt;BR&gt;&lt;BR&gt;&lt;B&gt;Customer  circumstances&lt;/B&gt;&lt;BR&gt;Residential Qualification = AU citizen&lt;BR&gt;Direct Credit details   = Coded Exemption - FNG&lt;BR&gt;TFN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L3" s="41" t="str">
        <f ca="1">FormatTest!G3</f>
        <v>Verify Assessment and Eligibility outcome
&lt;BR&gt;&lt;BR&gt;Benefit Status=CUR&lt;BR&gt;Review created on FAL screen=No Review&lt;BR&gt;Customer FTB (A) Status=NULL&lt;BR&gt;Customer FTB (B) Status=NULL&lt;BR&gt;Customer RA Status=N-NULL&lt;BR&gt;Child Eligibility FTB(A)=Y&lt;BR&gt;Child Eligibility FTB(B)=Y</v>
      </c>
      <c r="M3" s="41" t="s">
        <v>322</v>
      </c>
      <c r="N3" s="41"/>
      <c r="O3" s="41" t="s">
        <v>410</v>
      </c>
      <c r="P3" s="41" t="s">
        <v>609</v>
      </c>
      <c r="Q3" s="41" t="s">
        <v>441</v>
      </c>
      <c r="R3" s="41" t="s">
        <v>14</v>
      </c>
      <c r="S3" s="41" t="s">
        <v>893</v>
      </c>
      <c r="T3" s="44" t="str">
        <f t="shared" ref="T3:T10" ca="1" si="0">IF(ISBLANK(A3),"",IF(A3&lt;10,"00",IF(A3&gt;99,"","0"))&amp;A3&amp;IF(LEFT(I3,1)=".",I3,"."&amp;I3))</f>
        <v>002.FTB.Regression.NCL.Partnered customer.Direct credit circ.Exempt FNG</v>
      </c>
      <c r="U3" s="44" t="str">
        <f ca="1">CONCATENATE("&lt;HTML&gt;&lt;font color=#0000FF&gt;&lt;B&gt;PURPOSE:  &lt;/B&gt;&lt;/font&gt;&lt;BR&gt;",C3,"&lt;BR&gt;&lt;BR&gt;&lt;BR&gt;&lt;font color=#0000FF&gt;&lt;B&gt;Pre-requisites:  &lt;/B&gt;&lt;/font&gt;",D3,"&lt;BR&gt;&lt;BR&gt;&lt;font color=#0000FF&gt;&lt;B&gt;User Spec Name:  &lt;/B&gt;&lt;/font&gt;",Cover!$C$8,"&lt;BR&gt;",Cover!$F$8,"&lt;BR&gt;&lt;font color=#0000FF&gt;&lt;B&gt;User Spec Reference:  &lt;/B&gt;&lt;/font&gt;",B3,"&lt;/HTML&gt;")</f>
        <v>&lt;HTML&gt;&lt;font color=#0000FF&gt;&lt;B&gt;PURPOSE:  &lt;/B&gt;&lt;/font&gt;&lt;BR&gt;The purpose of the test is to verify &lt;BR&gt;&lt;BR&gt;&lt;BR&gt;&lt;BR&gt;Benefit Status=CUR&lt;BR&gt;Review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AU citizen&lt;BR&gt;Direct Credit details   = Coded Exemption - FNG&lt;BR&gt;TFN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1&lt;/HTML&gt;</v>
      </c>
      <c r="V3" s="44" t="str">
        <f t="shared" ref="V3:V4" ca="1" si="1">CONCATENATE("&lt;HTML&gt;",K3,"&lt;/HTML&gt;")</f>
        <v>&lt;HTML&gt;Index a FTB/NCL with below circumstance description &lt;BR&gt;&lt;BR&gt;&lt;B&gt;Customer  circumstances&lt;/B&gt;&lt;BR&gt;Residential Qualification = AU citizen&lt;BR&gt;Direct Credit details   = Coded Exemption - FNG&lt;BR&gt;TFN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care&lt;/HTML&gt;</v>
      </c>
      <c r="W3" s="44" t="str">
        <f t="shared" ref="W3:W4" ca="1" si="2">CONCATENATE("&lt;HTML&gt;",L3,"&lt;/HTML&gt;")</f>
        <v>&lt;HTML&gt;Verify Assessment and Eligibility outcome
&lt;BR&gt;&lt;BR&gt;Benefit Status=CUR&lt;BR&gt;Review created on FAL screen=No Review&lt;BR&gt;Customer FTB (A) Status=NULL&lt;BR&gt;Customer FTB (B) Status=NULL&lt;BR&gt;Customer RA Status=N-NULL&lt;BR&gt;Child Eligibility FTB(A)=Y&lt;BR&gt;Child Eligibility FTB(B)=Y&lt;/HTML&gt;</v>
      </c>
    </row>
    <row r="4" spans="1:23" ht="63.75" customHeight="1">
      <c r="A4" s="36">
        <f>IF(B4="","",COUNTIF($B$2:B4,"&lt;&gt;"&amp;""))</f>
        <v>3</v>
      </c>
      <c r="B4" s="37" t="s">
        <v>594</v>
      </c>
      <c r="C4" s="38" t="str">
        <f ca="1">FormatTest!A4</f>
        <v>The purpose of the test is to verify &lt;BR&gt;&lt;BR&gt;&lt;BR&gt;&lt;BR&gt;Benefit Status=NEF-BAN&lt;BR&gt;Review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AU citizen&lt;BR&gt;Direct Credit details   = Not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D4" s="38" t="s">
        <v>592</v>
      </c>
      <c r="E4" s="39" t="str">
        <f ca="1">FormatTest!C4</f>
        <v>&lt;BR&gt;&lt;BR&gt;Benefit Status=NEF-BAN&lt;BR&gt;Review created on FAL screen=No Review&lt;BR&gt;Customer FTB (A) Status=NULL&lt;BR&gt;Customer FTB (B) Status=NULL&lt;BR&gt;Customer RA Status=N-NULL&lt;BR&gt;Child Eligibility FTB(A)=Y&lt;BR&gt;Child Eligibility FTB(B)=Y</v>
      </c>
      <c r="F4" s="37" t="s">
        <v>13</v>
      </c>
      <c r="G4" s="37"/>
      <c r="H4" s="37"/>
      <c r="I4" s="41" t="str">
        <f ca="1">OFFSET(BuildTest!$D$202,MOD(ROW()-ROW($D$2),ROWS(BuildTest!$D$202:$D$202)),TRUNC((ROW()-ROW($D$2))/ROWS(BuildTest!$D$202:$D$202)),1,1)</f>
        <v>FTB.Regression.NCL.Partnered customer.Direct credit circ.Not Coded</v>
      </c>
      <c r="J4" s="41" t="s">
        <v>16</v>
      </c>
      <c r="K4" s="41" t="str">
        <f ca="1">FormatTest!F4</f>
        <v>Index a FTB/NCL with below circumstance description &lt;BR&gt;&lt;BR&gt;&lt;B&gt;Customer  circumstances&lt;/B&gt;&lt;BR&gt;Residential Qualification = AU citizen&lt;BR&gt;Direct Credit details   = Not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L4" s="41" t="str">
        <f ca="1">FormatTest!G4</f>
        <v>Verify Assessment and Eligibility outcome
&lt;BR&gt;&lt;BR&gt;Benefit Status=NEF-BAN&lt;BR&gt;Review created on FAL screen=No Review&lt;BR&gt;Customer FTB (A) Status=NULL&lt;BR&gt;Customer FTB (B) Status=NULL&lt;BR&gt;Customer RA Status=N-NULL&lt;BR&gt;Child Eligibility FTB(A)=Y&lt;BR&gt;Child Eligibility FTB(B)=Y</v>
      </c>
      <c r="M4" s="41" t="s">
        <v>322</v>
      </c>
      <c r="N4" s="41"/>
      <c r="O4" s="41" t="s">
        <v>410</v>
      </c>
      <c r="P4" s="41" t="s">
        <v>609</v>
      </c>
      <c r="Q4" s="41" t="s">
        <v>441</v>
      </c>
      <c r="R4" s="41" t="s">
        <v>14</v>
      </c>
      <c r="S4" s="41" t="s">
        <v>893</v>
      </c>
      <c r="T4" s="44" t="str">
        <f t="shared" ca="1" si="0"/>
        <v>003.FTB.Regression.NCL.Partnered customer.Direct credit circ.Not Coded</v>
      </c>
      <c r="U4" s="44" t="str">
        <f ca="1">CONCATENATE("&lt;HTML&gt;&lt;font color=#0000FF&gt;&lt;B&gt;PURPOSE:  &lt;/B&gt;&lt;/font&gt;&lt;BR&gt;",C4,"&lt;BR&gt;&lt;BR&gt;&lt;BR&gt;&lt;font color=#0000FF&gt;&lt;B&gt;Pre-requisites:  &lt;/B&gt;&lt;/font&gt;",D4,"&lt;BR&gt;&lt;BR&gt;&lt;font color=#0000FF&gt;&lt;B&gt;User Spec Name:  &lt;/B&gt;&lt;/font&gt;",Cover!$C$8,"&lt;BR&gt;",Cover!$F$8,"&lt;BR&gt;&lt;font color=#0000FF&gt;&lt;B&gt;User Spec Reference:  &lt;/B&gt;&lt;/font&gt;",B4,"&lt;/HTML&gt;")</f>
        <v>&lt;HTML&gt;&lt;font color=#0000FF&gt;&lt;B&gt;PURPOSE:  &lt;/B&gt;&lt;/font&gt;&lt;BR&gt;The purpose of the test is to verify &lt;BR&gt;&lt;BR&gt;&lt;BR&gt;&lt;BR&gt;Benefit Status=NEF-BAN&lt;BR&gt;Review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AU citizen&lt;BR&gt;Direct Credit details   = Not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1&lt;/HTML&gt;</v>
      </c>
      <c r="V4" s="44" t="str">
        <f t="shared" ca="1" si="1"/>
        <v>&lt;HTML&gt;Index a FTB/NCL with below circumstance description &lt;BR&gt;&lt;BR&gt;&lt;B&gt;Customer  circumstances&lt;/B&gt;&lt;BR&gt;Residential Qualification = AU citizen&lt;BR&gt;Direct Credit details   = Not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care&lt;/HTML&gt;</v>
      </c>
      <c r="W4" s="44" t="str">
        <f t="shared" ca="1" si="2"/>
        <v>&lt;HTML&gt;Verify Assessment and Eligibility outcome
&lt;BR&gt;&lt;BR&gt;Benefit Status=NEF-BAN&lt;BR&gt;Review created on FAL screen=No Review&lt;BR&gt;Customer FTB (A) Status=NULL&lt;BR&gt;Customer FTB (B) Status=NULL&lt;BR&gt;Customer RA Status=N-NULL&lt;BR&gt;Child Eligibility FTB(A)=Y&lt;BR&gt;Child Eligibility FTB(B)=Y&lt;/HTML&gt;</v>
      </c>
    </row>
    <row r="5" spans="1:23" ht="77.25" customHeight="1">
      <c r="A5" s="36">
        <f>IF(B5="","",COUNTIF($B$2:B5,"&lt;&gt;"&amp;""))</f>
        <v>4</v>
      </c>
      <c r="B5" s="37" t="s">
        <v>594</v>
      </c>
      <c r="C5" s="38" t="str">
        <f ca="1">FormatTest!A5</f>
        <v>The purpose of the test is to verify &lt;BR&gt;&lt;BR&gt;&lt;BR&gt;&lt;BR&gt;Benefit Status=CUR&lt;BR&gt;Review created on FAL screen=TFN - EXEMPTION REVIEW (TEX)&lt;BR&gt;Customer FTB (A) Status=CUR&lt;BR&gt;Customer FTB (B) Status=NULL&lt;BR&gt;Customer RA Status=N-NULL&lt;BR&gt;Child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 Exemption - PVI&lt;BR&gt;Primary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D5" s="38" t="s">
        <v>592</v>
      </c>
      <c r="E5" s="39" t="str">
        <f ca="1">FormatTest!C5</f>
        <v>&lt;BR&gt;&lt;BR&gt;Benefit Status=CUR&lt;BR&gt;Review created on FAL screen=TFN - EXEMPTION REVIEW (TEX)&lt;BR&gt;Customer FTB (A) Status=CUR&lt;BR&gt;Customer FTB (B) Status=NULL&lt;BR&gt;Customer RA Status=N-NULL&lt;BR&gt;Child Eligibility FTB(A)=Y&lt;BR&gt;Child Eligibility FTB(B)=Y</v>
      </c>
      <c r="F5" s="37" t="s">
        <v>13</v>
      </c>
      <c r="G5" s="37"/>
      <c r="H5" s="37"/>
      <c r="I5" s="41" t="str">
        <f ca="1">OFFSET(BuildTest!$D$202,MOD(ROW()-ROW($D$2),ROWS(BuildTest!$D$202:$D$202)),TRUNC((ROW()-ROW($D$2))/ROWS(BuildTest!$D$202:$D$202)),1,1)</f>
        <v>FTB.Regression.NCL.Partnered customer.TFN circ.PTR TFN exempt PVI</v>
      </c>
      <c r="J5" s="41" t="s">
        <v>16</v>
      </c>
      <c r="K5" s="41" t="str">
        <f ca="1">FormatTest!F5</f>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 Exemption - PVI&lt;BR&gt;Primary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L5" s="41" t="str">
        <f ca="1">FormatTest!G5</f>
        <v>Verify Assessment and Eligibility outcome
&lt;BR&gt;&lt;BR&gt;Benefit Status=CUR&lt;BR&gt;Review created on FAL screen=TFN - EXEMPTION REVIEW (TEX)&lt;BR&gt;Customer FTB (A) Status=CUR&lt;BR&gt;Customer FTB (B) Status=NULL&lt;BR&gt;Customer RA Status=N-NULL&lt;BR&gt;Child Eligibility FTB(A)=Y&lt;BR&gt;Child Eligibility FTB(B)=Y</v>
      </c>
      <c r="M5" s="41" t="s">
        <v>322</v>
      </c>
      <c r="N5" s="41"/>
      <c r="O5" s="41" t="s">
        <v>410</v>
      </c>
      <c r="P5" s="41" t="s">
        <v>609</v>
      </c>
      <c r="Q5" s="41" t="s">
        <v>441</v>
      </c>
      <c r="R5" s="41" t="s">
        <v>14</v>
      </c>
      <c r="S5" s="41" t="s">
        <v>893</v>
      </c>
      <c r="T5" s="44" t="str">
        <f t="shared" ca="1" si="0"/>
        <v>004.FTB.Regression.NCL.Partnered customer.TFN circ.PTR TFN exempt PVI</v>
      </c>
      <c r="U5" s="44" t="str">
        <f ca="1">CONCATENATE("&lt;HTML&gt;&lt;font color=#0000FF&gt;&lt;B&gt;PURPOSE:  &lt;/B&gt;&lt;/font&gt;&lt;BR&gt;",C5,"&lt;BR&gt;&lt;BR&gt;&lt;BR&gt;&lt;font color=#0000FF&gt;&lt;B&gt;Pre-requisites:  &lt;/B&gt;&lt;/font&gt;",D5,"&lt;BR&gt;&lt;BR&gt;&lt;font color=#0000FF&gt;&lt;B&gt;User Spec Name:  &lt;/B&gt;&lt;/font&gt;",Cover!$C$8,"&lt;BR&gt;",Cover!$F$8,"&lt;BR&gt;&lt;font color=#0000FF&gt;&lt;B&gt;User Spec Reference:  &lt;/B&gt;&lt;/font&gt;",B5,"&lt;/HTML&gt;")</f>
        <v>&lt;HTML&gt;&lt;font color=#0000FF&gt;&lt;B&gt;PURPOSE:  &lt;/B&gt;&lt;/font&gt;&lt;BR&gt;The purpose of the test is to verify &lt;BR&gt;&lt;BR&gt;&lt;BR&gt;&lt;BR&gt;Benefit Status=CUR&lt;BR&gt;Review created on FAL screen=TFN - EXEMPTION REVIEW (TEX)&lt;BR&gt;Customer FTB (A) Status=CUR&lt;BR&gt;Customer FTB (B) Status=NULL&lt;BR&gt;Customer RA Status=N-NULL&lt;BR&gt;Child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 Exemption - PVI&lt;BR&gt;Primary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1&lt;/HTML&gt;</v>
      </c>
      <c r="V5" s="44" t="str">
        <f t="shared" ref="V5:V8" ca="1" si="3">CONCATENATE("&lt;HTML&gt;",K5,"&lt;/HTML&gt;")</f>
        <v>&lt;HTML&gt;Index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 Exemption - PVI&lt;BR&gt;Primary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care&lt;/HTML&gt;</v>
      </c>
      <c r="W5" s="44" t="str">
        <f t="shared" ref="W5:W8" ca="1" si="4">CONCATENATE("&lt;HTML&gt;",L5,"&lt;/HTML&gt;")</f>
        <v>&lt;HTML&gt;Verify Assessment and Eligibility outcome
&lt;BR&gt;&lt;BR&gt;Benefit Status=CUR&lt;BR&gt;Review created on FAL screen=TFN - EXEMPTION REVIEW (TEX)&lt;BR&gt;Customer FTB (A) Status=CUR&lt;BR&gt;Customer FTB (B) Status=NULL&lt;BR&gt;Customer RA Status=N-NULL&lt;BR&gt;Child Eligibility FTB(A)=Y&lt;BR&gt;Child Eligibility FTB(B)=Y&lt;/HTML&gt;</v>
      </c>
    </row>
    <row r="6" spans="1:23" ht="51.75" customHeight="1">
      <c r="A6" s="36">
        <f>IF(B6="","",COUNTIF($B$2:B6,"&lt;&gt;"&amp;""))</f>
        <v>5</v>
      </c>
      <c r="B6" s="37" t="s">
        <v>594</v>
      </c>
      <c r="C6" s="38" t="str">
        <f ca="1">FormatTest!A6</f>
        <v>The purpose of the test is to verify &lt;BR&gt;&lt;BR&gt;&lt;BR&gt;&lt;BR&gt;Benefit Status=CUR&lt;BR&gt;Review created on FAL screen=TFN - EXEMPTION REVIEW (TEX)&lt;BR&gt;Customer FTB (A) Status=CUR&lt;BR&gt;Customer FTB (B) Status=NULL&lt;BR&gt;Customer RA Status=N-NULL&lt;BR&gt;Child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 Exemption - PUC&lt;BR&gt;Primary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D6" s="38" t="s">
        <v>592</v>
      </c>
      <c r="E6" s="39" t="str">
        <f ca="1">FormatTest!C6</f>
        <v>&lt;BR&gt;&lt;BR&gt;Benefit Status=CUR&lt;BR&gt;Review created on FAL screen=TFN - EXEMPTION REVIEW (TEX)&lt;BR&gt;Customer FTB (A) Status=CUR&lt;BR&gt;Customer FTB (B) Status=NULL&lt;BR&gt;Customer RA Status=N-NULL&lt;BR&gt;Child Eligibility FTB(A)=Y&lt;BR&gt;Child Eligibility FTB(B)=Y</v>
      </c>
      <c r="F6" s="37" t="s">
        <v>13</v>
      </c>
      <c r="G6" s="37"/>
      <c r="H6" s="37"/>
      <c r="I6" s="41" t="str">
        <f ca="1">OFFSET(BuildTest!$D$202,MOD(ROW()-ROW($D$2),ROWS(BuildTest!$D$202:$D$202)),TRUNC((ROW()-ROW($D$2))/ROWS(BuildTest!$D$202:$D$202)),1,1)</f>
        <v>FTB.Regression.NCL.Partnered customer.TFN circ.PTR TFN exempt PUC</v>
      </c>
      <c r="J6" s="41" t="s">
        <v>16</v>
      </c>
      <c r="K6" s="41" t="str">
        <f ca="1">FormatTest!F6</f>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 Exemption - PUC&lt;BR&gt;Primary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L6" s="41" t="str">
        <f ca="1">FormatTest!G6</f>
        <v>Verify Assessment and Eligibility outcome
&lt;BR&gt;&lt;BR&gt;Benefit Status=CUR&lt;BR&gt;Review created on FAL screen=TFN - EXEMPTION REVIEW (TEX)&lt;BR&gt;Customer FTB (A) Status=CUR&lt;BR&gt;Customer FTB (B) Status=NULL&lt;BR&gt;Customer RA Status=N-NULL&lt;BR&gt;Child Eligibility FTB(A)=Y&lt;BR&gt;Child Eligibility FTB(B)=Y</v>
      </c>
      <c r="M6" s="41" t="s">
        <v>322</v>
      </c>
      <c r="N6" s="41"/>
      <c r="O6" s="41" t="s">
        <v>410</v>
      </c>
      <c r="P6" s="41" t="s">
        <v>609</v>
      </c>
      <c r="Q6" s="41" t="s">
        <v>441</v>
      </c>
      <c r="R6" s="41" t="s">
        <v>14</v>
      </c>
      <c r="S6" s="41" t="s">
        <v>893</v>
      </c>
      <c r="T6" s="44" t="str">
        <f t="shared" ca="1" si="0"/>
        <v>005.FTB.Regression.NCL.Partnered customer.TFN circ.PTR TFN exempt PUC</v>
      </c>
      <c r="U6" s="44" t="str">
        <f ca="1">CONCATENATE("&lt;HTML&gt;&lt;font color=#0000FF&gt;&lt;B&gt;PURPOSE:  &lt;/B&gt;&lt;/font&gt;&lt;BR&gt;",C6,"&lt;BR&gt;&lt;BR&gt;&lt;BR&gt;&lt;font color=#0000FF&gt;&lt;B&gt;Pre-requisites:  &lt;/B&gt;&lt;/font&gt;",D6,"&lt;BR&gt;&lt;BR&gt;&lt;font color=#0000FF&gt;&lt;B&gt;User Spec Name:  &lt;/B&gt;&lt;/font&gt;",Cover!$C$8,"&lt;BR&gt;",Cover!$F$8,"&lt;BR&gt;&lt;font color=#0000FF&gt;&lt;B&gt;User Spec Reference:  &lt;/B&gt;&lt;/font&gt;",B6,"&lt;/HTML&gt;")</f>
        <v>&lt;HTML&gt;&lt;font color=#0000FF&gt;&lt;B&gt;PURPOSE:  &lt;/B&gt;&lt;/font&gt;&lt;BR&gt;The purpose of the test is to verify &lt;BR&gt;&lt;BR&gt;&lt;BR&gt;&lt;BR&gt;Benefit Status=CUR&lt;BR&gt;Review created on FAL screen=TFN - EXEMPTION REVIEW (TEX)&lt;BR&gt;Customer FTB (A) Status=CUR&lt;BR&gt;Customer FTB (B) Status=NULL&lt;BR&gt;Customer RA Status=N-NULL&lt;BR&gt;Child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 Exemption - PUC&lt;BR&gt;Primary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1&lt;/HTML&gt;</v>
      </c>
      <c r="V6" s="44" t="str">
        <f t="shared" ca="1" si="3"/>
        <v>&lt;HTML&gt;Index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 Exemption - PUC&lt;BR&gt;Primary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care&lt;/HTML&gt;</v>
      </c>
      <c r="W6" s="44" t="str">
        <f t="shared" ca="1" si="4"/>
        <v>&lt;HTML&gt;Verify Assessment and Eligibility outcome
&lt;BR&gt;&lt;BR&gt;Benefit Status=CUR&lt;BR&gt;Review created on FAL screen=TFN - EXEMPTION REVIEW (TEX)&lt;BR&gt;Customer FTB (A) Status=CUR&lt;BR&gt;Customer FTB (B) Status=NULL&lt;BR&gt;Customer RA Status=N-NULL&lt;BR&gt;Child Eligibility FTB(A)=Y&lt;BR&gt;Child Eligibility FTB(B)=Y&lt;/HTML&gt;</v>
      </c>
    </row>
    <row r="7" spans="1:23" ht="49.5" customHeight="1">
      <c r="A7" s="36">
        <f>IF(B7="","",COUNTIF($B$2:B7,"&lt;&gt;"&amp;""))</f>
        <v>6</v>
      </c>
      <c r="B7" s="37" t="s">
        <v>594</v>
      </c>
      <c r="C7" s="38" t="str">
        <f ca="1">FormatTest!A7</f>
        <v>The purpose of the test is to verify &lt;BR&gt;&lt;BR&gt;&lt;BR&gt;&lt;BR&gt;Benefit Status=NEF-NTP&lt;BR&gt;Review created on FAL screen=No Review&lt;BR&gt;Customer FTB (A) Status=NEF-NTP&lt;BR&gt;Customer FTB (B) Status=NEF-NTP&lt;BR&gt;Customer RA Status=N-NULL&lt;BR&gt;Child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Not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D7" s="38" t="s">
        <v>592</v>
      </c>
      <c r="E7" s="39" t="str">
        <f ca="1">FormatTest!C7</f>
        <v>&lt;BR&gt;&lt;BR&gt;Benefit Status=NEF-NTP&lt;BR&gt;Review created on FAL screen=No Review&lt;BR&gt;Customer FTB (A) Status=NEF-NTP&lt;BR&gt;Customer FTB (B) Status=NEF-NTP&lt;BR&gt;Customer RA Status=N-NULL&lt;BR&gt;Child Eligibility FTB(A)=Y&lt;BR&gt;Child Eligibility FTB(B)=Y</v>
      </c>
      <c r="F7" s="37" t="s">
        <v>13</v>
      </c>
      <c r="G7" s="37"/>
      <c r="H7" s="37"/>
      <c r="I7" s="41" t="str">
        <f ca="1">OFFSET(BuildTest!$D$202,MOD(ROW()-ROW($D$2),ROWS(BuildTest!$D$202:$D$202)),TRUNC((ROW()-ROW($D$2))/ROWS(BuildTest!$D$202:$D$202)),1,1)</f>
        <v>FTB.Regression.NCL.Partnered customer.TFN circ.PTR TFN not coded</v>
      </c>
      <c r="J7" s="41" t="s">
        <v>16</v>
      </c>
      <c r="K7" s="41" t="str">
        <f ca="1">FormatTest!F7</f>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Not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L7" s="41" t="str">
        <f ca="1">FormatTest!G7</f>
        <v>Verify Assessment and Eligibility outcome
&lt;BR&gt;&lt;BR&gt;Benefit Status=NEF-NTP&lt;BR&gt;Review created on FAL screen=No Review&lt;BR&gt;Customer FTB (A) Status=NEF-NTP&lt;BR&gt;Customer FTB (B) Status=NEF-NTP&lt;BR&gt;Customer RA Status=N-NULL&lt;BR&gt;Child Eligibility FTB(A)=Y&lt;BR&gt;Child Eligibility FTB(B)=Y</v>
      </c>
      <c r="M7" s="41" t="s">
        <v>322</v>
      </c>
      <c r="N7" s="41"/>
      <c r="O7" s="41" t="s">
        <v>410</v>
      </c>
      <c r="P7" s="41" t="s">
        <v>609</v>
      </c>
      <c r="Q7" s="41" t="s">
        <v>441</v>
      </c>
      <c r="R7" s="41" t="s">
        <v>14</v>
      </c>
      <c r="S7" s="41" t="s">
        <v>893</v>
      </c>
      <c r="T7" s="44" t="str">
        <f t="shared" ca="1" si="0"/>
        <v>006.FTB.Regression.NCL.Partnered customer.TFN circ.PTR TFN not coded</v>
      </c>
      <c r="U7" s="44" t="str">
        <f ca="1">CONCATENATE("&lt;HTML&gt;&lt;font color=#0000FF&gt;&lt;B&gt;PURPOSE:  &lt;/B&gt;&lt;/font&gt;&lt;BR&gt;",C7,"&lt;BR&gt;&lt;BR&gt;&lt;BR&gt;&lt;font color=#0000FF&gt;&lt;B&gt;Pre-requisites:  &lt;/B&gt;&lt;/font&gt;",D7,"&lt;BR&gt;&lt;BR&gt;&lt;font color=#0000FF&gt;&lt;B&gt;User Spec Name:  &lt;/B&gt;&lt;/font&gt;",Cover!$C$8,"&lt;BR&gt;",Cover!$F$8,"&lt;BR&gt;&lt;font color=#0000FF&gt;&lt;B&gt;User Spec Reference:  &lt;/B&gt;&lt;/font&gt;",B7,"&lt;/HTML&gt;")</f>
        <v>&lt;HTML&gt;&lt;font color=#0000FF&gt;&lt;B&gt;PURPOSE:  &lt;/B&gt;&lt;/font&gt;&lt;BR&gt;The purpose of the test is to verify &lt;BR&gt;&lt;BR&gt;&lt;BR&gt;&lt;BR&gt;Benefit Status=NEF-NTP&lt;BR&gt;Review created on FAL screen=No Review&lt;BR&gt;Customer FTB (A) Status=NEF-NTP&lt;BR&gt;Customer FTB (B) Status=NEF-NTP&lt;BR&gt;Customer RA Status=N-NULL&lt;BR&gt;Child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Not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1&lt;/HTML&gt;</v>
      </c>
      <c r="V7" s="44" t="str">
        <f t="shared" ca="1" si="3"/>
        <v>&lt;HTML&gt;Index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Not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care&lt;/HTML&gt;</v>
      </c>
      <c r="W7" s="44" t="str">
        <f t="shared" ca="1" si="4"/>
        <v>&lt;HTML&gt;Verify Assessment and Eligibility outcome
&lt;BR&gt;&lt;BR&gt;Benefit Status=NEF-NTP&lt;BR&gt;Review created on FAL screen=No Review&lt;BR&gt;Customer FTB (A) Status=NEF-NTP&lt;BR&gt;Customer FTB (B) Status=NEF-NTP&lt;BR&gt;Customer RA Status=N-NULL&lt;BR&gt;Child Eligibility FTB(A)=Y&lt;BR&gt;Child Eligibility FTB(B)=Y&lt;/HTML&gt;</v>
      </c>
    </row>
    <row r="8" spans="1:23" ht="77.25" customHeight="1">
      <c r="A8" s="36">
        <f>IF(B8="","",COUNTIF($B$2:B8,"&lt;&gt;"&amp;""))</f>
        <v>7</v>
      </c>
      <c r="B8" s="37" t="s">
        <v>594</v>
      </c>
      <c r="C8" s="38" t="str">
        <f ca="1">FormatTest!A8</f>
        <v>The purpose of the test is to verify &lt;BR&gt;&lt;BR&gt;&lt;BR&gt;&lt;BR&gt;Benefit Status=NEF-NTC&lt;BR&gt;Review created on FAL screen=TFN - EXEMPTION REVIEW (TEX)&lt;BR&gt;Customer FTB (A) Status=NULL&lt;BR&gt;Customer FTB (B) Status=NULL&lt;BR&gt;Customer RA Status=N-NULL&lt;BR&gt;Child Eligibility FTB(A)=Y&lt;BR&gt;Child Eligibility FTB(B)=Y&lt;BR&gt;&lt;BR&gt; for below input circumstances&lt;BR&gt;&lt;BR&gt;&lt;B&gt;Customer  circumstances&lt;/B&gt;&lt;BR&gt;Residential Qualification = AU citizen&lt;BR&gt;Direct Credit details   = Coded&lt;BR&gt;TFN details = Not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D8" s="38" t="s">
        <v>592</v>
      </c>
      <c r="E8" s="39" t="str">
        <f ca="1">FormatTest!C8</f>
        <v>&lt;BR&gt;&lt;BR&gt;Benefit Status=NEF-NTC&lt;BR&gt;Review created on FAL screen=TFN - EXEMPTION REVIEW (TEX)&lt;BR&gt;Customer FTB (A) Status=NULL&lt;BR&gt;Customer FTB (B) Status=NULL&lt;BR&gt;Customer RA Status=N-NULL&lt;BR&gt;Child Eligibility FTB(A)=Y&lt;BR&gt;Child Eligibility FTB(B)=Y</v>
      </c>
      <c r="F8" s="37" t="s">
        <v>13</v>
      </c>
      <c r="G8" s="37"/>
      <c r="H8" s="37"/>
      <c r="I8" s="41" t="str">
        <f ca="1">OFFSET(BuildTest!$D$202,MOD(ROW()-ROW($D$2),ROWS(BuildTest!$D$202:$D$202)),TRUNC((ROW()-ROW($D$2))/ROWS(BuildTest!$D$202:$D$202)),1,1)</f>
        <v>FTB.Regression.NCL.Partnered customer.TFN circ.not coded and PTR TFN coded</v>
      </c>
      <c r="J8" s="41" t="s">
        <v>16</v>
      </c>
      <c r="K8" s="41" t="str">
        <f ca="1">FormatTest!F8</f>
        <v>Index a FTB/NCL with below circumstance description &lt;BR&gt;&lt;BR&gt;&lt;B&gt;Customer  circumstances&lt;/B&gt;&lt;BR&gt;Residential Qualification = AU citizen&lt;BR&gt;Direct Credit details   = Coded&lt;BR&gt;TFN details = Not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L8" s="41" t="str">
        <f ca="1">FormatTest!G8</f>
        <v>Verify Assessment and Eligibility outcome
&lt;BR&gt;&lt;BR&gt;Benefit Status=NEF-NTC&lt;BR&gt;Review created on FAL screen=TFN - EXEMPTION REVIEW (TEX)&lt;BR&gt;Customer FTB (A) Status=NULL&lt;BR&gt;Customer FTB (B) Status=NULL&lt;BR&gt;Customer RA Status=N-NULL&lt;BR&gt;Child Eligibility FTB(A)=Y&lt;BR&gt;Child Eligibility FTB(B)=Y</v>
      </c>
      <c r="M8" s="41" t="s">
        <v>322</v>
      </c>
      <c r="N8" s="41"/>
      <c r="O8" s="41" t="s">
        <v>410</v>
      </c>
      <c r="P8" s="41" t="s">
        <v>609</v>
      </c>
      <c r="Q8" s="41" t="s">
        <v>441</v>
      </c>
      <c r="R8" s="41" t="s">
        <v>14</v>
      </c>
      <c r="S8" s="41" t="s">
        <v>893</v>
      </c>
      <c r="T8" s="44" t="str">
        <f t="shared" ca="1" si="0"/>
        <v>007.FTB.Regression.NCL.Partnered customer.TFN circ.not coded and PTR TFN coded</v>
      </c>
      <c r="U8" s="44" t="str">
        <f ca="1">CONCATENATE("&lt;HTML&gt;&lt;font color=#0000FF&gt;&lt;B&gt;PURPOSE:  &lt;/B&gt;&lt;/font&gt;&lt;BR&gt;",C8,"&lt;BR&gt;&lt;BR&gt;&lt;BR&gt;&lt;font color=#0000FF&gt;&lt;B&gt;Pre-requisites:  &lt;/B&gt;&lt;/font&gt;",D8,"&lt;BR&gt;&lt;BR&gt;&lt;font color=#0000FF&gt;&lt;B&gt;User Spec Name:  &lt;/B&gt;&lt;/font&gt;",Cover!$C$8,"&lt;BR&gt;",Cover!$F$8,"&lt;BR&gt;&lt;font color=#0000FF&gt;&lt;B&gt;User Spec Reference:  &lt;/B&gt;&lt;/font&gt;",B8,"&lt;/HTML&gt;")</f>
        <v>&lt;HTML&gt;&lt;font color=#0000FF&gt;&lt;B&gt;PURPOSE:  &lt;/B&gt;&lt;/font&gt;&lt;BR&gt;The purpose of the test is to verify &lt;BR&gt;&lt;BR&gt;&lt;BR&gt;&lt;BR&gt;Benefit Status=NEF-NTC&lt;BR&gt;Review created on FAL screen=TFN - EXEMPTION REVIEW (TEX)&lt;BR&gt;Customer FTB (A) Status=NULL&lt;BR&gt;Customer FTB (B) Status=NULL&lt;BR&gt;Customer RA Status=N-NULL&lt;BR&gt;Child Eligibility FTB(A)=Y&lt;BR&gt;Child Eligibility FTB(B)=Y&lt;BR&gt;&lt;BR&gt; for below input circumstances&lt;BR&gt;&lt;BR&gt;&lt;B&gt;Customer  circumstances&lt;/B&gt;&lt;BR&gt;Residential Qualification = AU citizen&lt;BR&gt;Direct Credit details   = Coded&lt;BR&gt;TFN details = Not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1&lt;/HTML&gt;</v>
      </c>
      <c r="V8" s="44" t="str">
        <f t="shared" ca="1" si="3"/>
        <v>&lt;HTML&gt;Index a FTB/NCL with below circumstance description &lt;BR&gt;&lt;BR&gt;&lt;B&gt;Customer  circumstances&lt;/B&gt;&lt;BR&gt;Residential Qualification = AU citizen&lt;BR&gt;Direct Credit details   = Coded&lt;BR&gt;TFN details = Not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care&lt;/HTML&gt;</v>
      </c>
      <c r="W8" s="44" t="str">
        <f t="shared" ca="1" si="4"/>
        <v>&lt;HTML&gt;Verify Assessment and Eligibility outcome
&lt;BR&gt;&lt;BR&gt;Benefit Status=NEF-NTC&lt;BR&gt;Review created on FAL screen=TFN - EXEMPTION REVIEW (TEX)&lt;BR&gt;Customer FTB (A) Status=NULL&lt;BR&gt;Customer FTB (B) Status=NULL&lt;BR&gt;Customer RA Status=N-NULL&lt;BR&gt;Child Eligibility FTB(A)=Y&lt;BR&gt;Child Eligibility FTB(B)=Y&lt;/HTML&gt;</v>
      </c>
    </row>
    <row r="9" spans="1:23" ht="51.75" customHeight="1">
      <c r="A9" s="36">
        <f>IF(B9="","",COUNTIF($B$2:B9,"&lt;&gt;"&amp;""))</f>
        <v>8</v>
      </c>
      <c r="B9" s="37" t="s">
        <v>594</v>
      </c>
      <c r="C9" s="38" t="str">
        <f ca="1">FormatTest!A9</f>
        <v>The purpose of the test is to verify &lt;BR&gt;&lt;BR&gt;&lt;BR&gt;&lt;BR&gt;Benefit Status=NEF-NTC&lt;BR&gt;Review created on FAL screen=TFN - EXEMPTION REVIEW (TEX)&lt;BR&gt;Customer FTB (A) Status=NULL&lt;BR&gt;Customer FTB (B) Status=NULL&lt;BR&gt;Customer RA Status=N-NULL&lt;BR&gt;Child Eligibility FTB(A)=Y&lt;BR&gt;Child Eligibility FTB(B)=Y&lt;BR&gt;&lt;BR&gt; for below input circumstances&lt;BR&gt;&lt;BR&gt;&lt;B&gt;Customer  circumstances&lt;/B&gt;&lt;BR&gt;Residential Qualification = AU citizen&lt;BR&gt;Direct Credit details   = Coded&lt;BR&gt;TFN details = Not Coded&lt;BR&gt;Secondary Earner income = Less than $21,499&lt;BR&gt;&lt;BR&gt;&lt;B&gt;Partner  circumstances&lt;/B&gt;&lt;BR&gt;Residential Qualification = AU citizen&lt;BR&gt;TFN details = Coded Exemption - PVI&lt;BR&gt;Primary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D9" s="38" t="s">
        <v>592</v>
      </c>
      <c r="E9" s="39" t="str">
        <f ca="1">FormatTest!C9</f>
        <v>&lt;BR&gt;&lt;BR&gt;Benefit Status=NEF-NTC&lt;BR&gt;Review created on FAL screen=TFN - EXEMPTION REVIEW (TEX)&lt;BR&gt;Customer FTB (A) Status=NULL&lt;BR&gt;Customer FTB (B) Status=NULL&lt;BR&gt;Customer RA Status=N-NULL&lt;BR&gt;Child Eligibility FTB(A)=Y&lt;BR&gt;Child Eligibility FTB(B)=Y</v>
      </c>
      <c r="F9" s="37" t="s">
        <v>13</v>
      </c>
      <c r="G9" s="37"/>
      <c r="H9" s="37"/>
      <c r="I9" s="41" t="str">
        <f ca="1">OFFSET(BuildTest!$D$202,MOD(ROW()-ROW($D$2),ROWS(BuildTest!$D$202:$D$202)),TRUNC((ROW()-ROW($D$2))/ROWS(BuildTest!$D$202:$D$202)),1,1)</f>
        <v>FTB.Regression.NCL.Partnered customer.TFN circ.not coded and PTR TFN exempt PVI</v>
      </c>
      <c r="J9" s="41" t="s">
        <v>16</v>
      </c>
      <c r="K9" s="41" t="str">
        <f ca="1">FormatTest!F9</f>
        <v>Index a FTB/NCL with below circumstance description &lt;BR&gt;&lt;BR&gt;&lt;B&gt;Customer  circumstances&lt;/B&gt;&lt;BR&gt;Residential Qualification = AU citizen&lt;BR&gt;Direct Credit details   = Coded&lt;BR&gt;TFN details = Not Coded&lt;BR&gt;Secondary Earner income = Less than $21,499&lt;BR&gt;&lt;BR&gt;&lt;B&gt;Partner  circumstances&lt;/B&gt;&lt;BR&gt;Residential Qualification = AU citizen&lt;BR&gt;TFN details = Coded Exemption - PVI&lt;BR&gt;Primary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L9" s="41" t="str">
        <f ca="1">FormatTest!G9</f>
        <v>Verify Assessment and Eligibility outcome
&lt;BR&gt;&lt;BR&gt;Benefit Status=NEF-NTC&lt;BR&gt;Review created on FAL screen=TFN - EXEMPTION REVIEW (TEX)&lt;BR&gt;Customer FTB (A) Status=NULL&lt;BR&gt;Customer FTB (B) Status=NULL&lt;BR&gt;Customer RA Status=N-NULL&lt;BR&gt;Child Eligibility FTB(A)=Y&lt;BR&gt;Child Eligibility FTB(B)=Y</v>
      </c>
      <c r="M9" s="41" t="s">
        <v>322</v>
      </c>
      <c r="N9" s="41"/>
      <c r="O9" s="41" t="s">
        <v>410</v>
      </c>
      <c r="P9" s="41" t="s">
        <v>609</v>
      </c>
      <c r="Q9" s="41" t="s">
        <v>441</v>
      </c>
      <c r="R9" s="41" t="s">
        <v>14</v>
      </c>
      <c r="S9" s="41" t="s">
        <v>893</v>
      </c>
      <c r="T9" s="44" t="str">
        <f t="shared" ca="1" si="0"/>
        <v>008.FTB.Regression.NCL.Partnered customer.TFN circ.not coded and PTR TFN exempt PVI</v>
      </c>
      <c r="U9" s="44" t="str">
        <f ca="1">CONCATENATE("&lt;HTML&gt;&lt;font color=#0000FF&gt;&lt;B&gt;PURPOSE:  &lt;/B&gt;&lt;/font&gt;&lt;BR&gt;",C9,"&lt;BR&gt;&lt;BR&gt;&lt;BR&gt;&lt;font color=#0000FF&gt;&lt;B&gt;Pre-requisites:  &lt;/B&gt;&lt;/font&gt;",D9,"&lt;BR&gt;&lt;BR&gt;&lt;font color=#0000FF&gt;&lt;B&gt;User Spec Name:  &lt;/B&gt;&lt;/font&gt;",Cover!$C$8,"&lt;BR&gt;",Cover!$F$8,"&lt;BR&gt;&lt;font color=#0000FF&gt;&lt;B&gt;User Spec Reference:  &lt;/B&gt;&lt;/font&gt;",B9,"&lt;/HTML&gt;")</f>
        <v>&lt;HTML&gt;&lt;font color=#0000FF&gt;&lt;B&gt;PURPOSE:  &lt;/B&gt;&lt;/font&gt;&lt;BR&gt;The purpose of the test is to verify &lt;BR&gt;&lt;BR&gt;&lt;BR&gt;&lt;BR&gt;Benefit Status=NEF-NTC&lt;BR&gt;Review created on FAL screen=TFN - EXEMPTION REVIEW (TEX)&lt;BR&gt;Customer FTB (A) Status=NULL&lt;BR&gt;Customer FTB (B) Status=NULL&lt;BR&gt;Customer RA Status=N-NULL&lt;BR&gt;Child Eligibility FTB(A)=Y&lt;BR&gt;Child Eligibility FTB(B)=Y&lt;BR&gt;&lt;BR&gt; for below input circumstances&lt;BR&gt;&lt;BR&gt;&lt;B&gt;Customer  circumstances&lt;/B&gt;&lt;BR&gt;Residential Qualification = AU citizen&lt;BR&gt;Direct Credit details   = Coded&lt;BR&gt;TFN details = Not Coded&lt;BR&gt;Secondary Earner income = Less than $21,499&lt;BR&gt;&lt;BR&gt;&lt;B&gt;Partner  circumstances&lt;/B&gt;&lt;BR&gt;Residential Qualification = AU citizen&lt;BR&gt;TFN details = Coded Exemption - PVI&lt;BR&gt;Primary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1&lt;/HTML&gt;</v>
      </c>
      <c r="V9" s="44" t="str">
        <f t="shared" ref="V9:V11" ca="1" si="5">CONCATENATE("&lt;HTML&gt;",K9,"&lt;/HTML&gt;")</f>
        <v>&lt;HTML&gt;Index a FTB/NCL with below circumstance description &lt;BR&gt;&lt;BR&gt;&lt;B&gt;Customer  circumstances&lt;/B&gt;&lt;BR&gt;Residential Qualification = AU citizen&lt;BR&gt;Direct Credit details   = Coded&lt;BR&gt;TFN details = Not Coded&lt;BR&gt;Secondary Earner income = Less than $21,499&lt;BR&gt;&lt;BR&gt;&lt;B&gt;Partner  circumstances&lt;/B&gt;&lt;BR&gt;Residential Qualification = AU citizen&lt;BR&gt;TFN details = Coded Exemption - PVI&lt;BR&gt;Primary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care&lt;/HTML&gt;</v>
      </c>
      <c r="W9" s="44" t="str">
        <f t="shared" ref="W9:W11" ca="1" si="6">CONCATENATE("&lt;HTML&gt;",L9,"&lt;/HTML&gt;")</f>
        <v>&lt;HTML&gt;Verify Assessment and Eligibility outcome
&lt;BR&gt;&lt;BR&gt;Benefit Status=NEF-NTC&lt;BR&gt;Review created on FAL screen=TFN - EXEMPTION REVIEW (TEX)&lt;BR&gt;Customer FTB (A) Status=NULL&lt;BR&gt;Customer FTB (B) Status=NULL&lt;BR&gt;Customer RA Status=N-NULL&lt;BR&gt;Child Eligibility FTB(A)=Y&lt;BR&gt;Child Eligibility FTB(B)=Y&lt;/HTML&gt;</v>
      </c>
    </row>
    <row r="10" spans="1:23" ht="63.75" customHeight="1">
      <c r="A10" s="36">
        <f>IF(B10="","",COUNTIF($B$2:B10,"&lt;&gt;"&amp;""))</f>
        <v>9</v>
      </c>
      <c r="B10" s="37" t="s">
        <v>594</v>
      </c>
      <c r="C10" s="38" t="str">
        <f ca="1">FormatTest!A10</f>
        <v>The purpose of the test is to verify &lt;BR&gt;&lt;BR&gt;&lt;BR&gt;&lt;BR&gt;Benefit Status=NEF-NTC&lt;BR&gt;Review created on FAL screen=TFN - EXEMPTION REVIEW (TEX)&lt;BR&gt;Customer FTB (A) Status=NULL&lt;BR&gt;Customer FTB (B) Status=NULL&lt;BR&gt;Customer RA Status=N-NULL&lt;BR&gt;Child Eligibility FTB(A)=Y&lt;BR&gt;Child Eligibility FTB(B)=Y&lt;BR&gt;&lt;BR&gt; for below input circumstances&lt;BR&gt;&lt;BR&gt;&lt;B&gt;Customer  circumstances&lt;/B&gt;&lt;BR&gt;Residential Qualification = AU citizen&lt;BR&gt;Direct Credit details   = Coded&lt;BR&gt;TFN details = Not Coded&lt;BR&gt;Secondary Earner income = Less than $21,499&lt;BR&gt;&lt;BR&gt;&lt;B&gt;Partner  circumstances&lt;/B&gt;&lt;BR&gt;Residential Qualification = AU citizen&lt;BR&gt;TFN details = Coded Exemption - PUC&lt;BR&gt;Primary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D10" s="38" t="s">
        <v>592</v>
      </c>
      <c r="E10" s="39" t="str">
        <f ca="1">FormatTest!C10</f>
        <v>&lt;BR&gt;&lt;BR&gt;Benefit Status=NEF-NTC&lt;BR&gt;Review created on FAL screen=TFN - EXEMPTION REVIEW (TEX)&lt;BR&gt;Customer FTB (A) Status=NULL&lt;BR&gt;Customer FTB (B) Status=NULL&lt;BR&gt;Customer RA Status=N-NULL&lt;BR&gt;Child Eligibility FTB(A)=Y&lt;BR&gt;Child Eligibility FTB(B)=Y</v>
      </c>
      <c r="F10" s="37" t="s">
        <v>13</v>
      </c>
      <c r="G10" s="37"/>
      <c r="H10" s="37"/>
      <c r="I10" s="41" t="str">
        <f ca="1">OFFSET(BuildTest!$D$202,MOD(ROW()-ROW($D$2),ROWS(BuildTest!$D$202:$D$202)),TRUNC((ROW()-ROW($D$2))/ROWS(BuildTest!$D$202:$D$202)),1,1)</f>
        <v>FTB.Regression.NCL.Partnered customer.TFN circ.not coded and PTR TFN exempt PUC</v>
      </c>
      <c r="J10" s="41" t="s">
        <v>16</v>
      </c>
      <c r="K10" s="41" t="str">
        <f ca="1">FormatTest!F10</f>
        <v>Index a FTB/NCL with below circumstance description &lt;BR&gt;&lt;BR&gt;&lt;B&gt;Customer  circumstances&lt;/B&gt;&lt;BR&gt;Residential Qualification = AU citizen&lt;BR&gt;Direct Credit details   = Coded&lt;BR&gt;TFN details = Not Coded&lt;BR&gt;Secondary Earner income = Less than $21,499&lt;BR&gt;&lt;BR&gt;&lt;B&gt;Partner  circumstances&lt;/B&gt;&lt;BR&gt;Residential Qualification = AU citizen&lt;BR&gt;TFN details = Coded Exemption - PUC&lt;BR&gt;Primary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L10" s="41" t="str">
        <f ca="1">FormatTest!G10</f>
        <v>Verify Assessment and Eligibility outcome
&lt;BR&gt;&lt;BR&gt;Benefit Status=NEF-NTC&lt;BR&gt;Review created on FAL screen=TFN - EXEMPTION REVIEW (TEX)&lt;BR&gt;Customer FTB (A) Status=NULL&lt;BR&gt;Customer FTB (B) Status=NULL&lt;BR&gt;Customer RA Status=N-NULL&lt;BR&gt;Child Eligibility FTB(A)=Y&lt;BR&gt;Child Eligibility FTB(B)=Y</v>
      </c>
      <c r="M10" s="41" t="s">
        <v>322</v>
      </c>
      <c r="N10" s="41"/>
      <c r="O10" s="41" t="s">
        <v>410</v>
      </c>
      <c r="P10" s="41" t="s">
        <v>609</v>
      </c>
      <c r="Q10" s="41" t="s">
        <v>441</v>
      </c>
      <c r="R10" s="41" t="s">
        <v>14</v>
      </c>
      <c r="S10" s="41" t="s">
        <v>893</v>
      </c>
      <c r="T10" s="44" t="str">
        <f t="shared" ca="1" si="0"/>
        <v>009.FTB.Regression.NCL.Partnered customer.TFN circ.not coded and PTR TFN exempt PUC</v>
      </c>
      <c r="U10" s="44" t="str">
        <f ca="1">CONCATENATE("&lt;HTML&gt;&lt;font color=#0000FF&gt;&lt;B&gt;PURPOSE:  &lt;/B&gt;&lt;/font&gt;&lt;BR&gt;",C10,"&lt;BR&gt;&lt;BR&gt;&lt;BR&gt;&lt;font color=#0000FF&gt;&lt;B&gt;Pre-requisites:  &lt;/B&gt;&lt;/font&gt;",D10,"&lt;BR&gt;&lt;BR&gt;&lt;font color=#0000FF&gt;&lt;B&gt;User Spec Name:  &lt;/B&gt;&lt;/font&gt;",Cover!$C$8,"&lt;BR&gt;",Cover!$F$8,"&lt;BR&gt;&lt;font color=#0000FF&gt;&lt;B&gt;User Spec Reference:  &lt;/B&gt;&lt;/font&gt;",B10,"&lt;/HTML&gt;")</f>
        <v>&lt;HTML&gt;&lt;font color=#0000FF&gt;&lt;B&gt;PURPOSE:  &lt;/B&gt;&lt;/font&gt;&lt;BR&gt;The purpose of the test is to verify &lt;BR&gt;&lt;BR&gt;&lt;BR&gt;&lt;BR&gt;Benefit Status=NEF-NTC&lt;BR&gt;Review created on FAL screen=TFN - EXEMPTION REVIEW (TEX)&lt;BR&gt;Customer FTB (A) Status=NULL&lt;BR&gt;Customer FTB (B) Status=NULL&lt;BR&gt;Customer RA Status=N-NULL&lt;BR&gt;Child Eligibility FTB(A)=Y&lt;BR&gt;Child Eligibility FTB(B)=Y&lt;BR&gt;&lt;BR&gt; for below input circumstances&lt;BR&gt;&lt;BR&gt;&lt;B&gt;Customer  circumstances&lt;/B&gt;&lt;BR&gt;Residential Qualification = AU citizen&lt;BR&gt;Direct Credit details   = Coded&lt;BR&gt;TFN details = Not Coded&lt;BR&gt;Secondary Earner income = Less than $21,499&lt;BR&gt;&lt;BR&gt;&lt;B&gt;Partner  circumstances&lt;/B&gt;&lt;BR&gt;Residential Qualification = AU citizen&lt;BR&gt;TFN details = Coded Exemption - PUC&lt;BR&gt;Primary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1&lt;/HTML&gt;</v>
      </c>
      <c r="V10" s="44" t="str">
        <f t="shared" ca="1" si="5"/>
        <v>&lt;HTML&gt;Index a FTB/NCL with below circumstance description &lt;BR&gt;&lt;BR&gt;&lt;B&gt;Customer  circumstances&lt;/B&gt;&lt;BR&gt;Residential Qualification = AU citizen&lt;BR&gt;Direct Credit details   = Coded&lt;BR&gt;TFN details = Not Coded&lt;BR&gt;Secondary Earner income = Less than $21,499&lt;BR&gt;&lt;BR&gt;&lt;B&gt;Partner  circumstances&lt;/B&gt;&lt;BR&gt;Residential Qualification = AU citizen&lt;BR&gt;TFN details = Coded Exemption - PUC&lt;BR&gt;Primary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care&lt;/HTML&gt;</v>
      </c>
      <c r="W10" s="44" t="str">
        <f t="shared" ca="1" si="6"/>
        <v>&lt;HTML&gt;Verify Assessment and Eligibility outcome
&lt;BR&gt;&lt;BR&gt;Benefit Status=NEF-NTC&lt;BR&gt;Review created on FAL screen=TFN - EXEMPTION REVIEW (TEX)&lt;BR&gt;Customer FTB (A) Status=NULL&lt;BR&gt;Customer FTB (B) Status=NULL&lt;BR&gt;Customer RA Status=N-NULL&lt;BR&gt;Child Eligibility FTB(A)=Y&lt;BR&gt;Child Eligibility FTB(B)=Y&lt;/HTML&gt;</v>
      </c>
    </row>
    <row r="11" spans="1:23" ht="145.5" customHeight="1">
      <c r="A11" s="36">
        <f>IF(B11="","",COUNTIF($B$2:B11,"&lt;&gt;"&amp;""))</f>
        <v>10</v>
      </c>
      <c r="B11" s="37" t="s">
        <v>594</v>
      </c>
      <c r="C11" s="38" t="str">
        <f ca="1">FormatTest!A11</f>
        <v>The purpose of the test is to verify &lt;BR&gt;&lt;BR&gt;&lt;BR&gt;&lt;BR&gt;Benefit Status=NEF-NTB&lt;BR&gt;Review created on FAL screen=TFN - EXEMPTION REVIEW (TEX)&lt;BR&gt;Customer FTB (A) Status=NULL&lt;BR&gt;Customer FTB (B) Status=NULL&lt;BR&gt;Customer RA Status=N-NULL&lt;BR&gt;Child Eligibility FTB(A)=Y&lt;BR&gt;Child Eligibility FTB(B)=Y&lt;BR&gt;&lt;BR&gt; for below input circumstances&lt;BR&gt;&lt;BR&gt;&lt;B&gt;Customer  circumstances&lt;/B&gt;&lt;BR&gt;Residential Qualification = AU citizen&lt;BR&gt;Direct Credit details   = Coded&lt;BR&gt;TFN details = Not Coded&lt;BR&gt;Secondary Earner income = Less than $21,499&lt;BR&gt;&lt;BR&gt;&lt;B&gt;Partner  circumstances&lt;/B&gt;&lt;BR&gt;Residential Qualification = AU citizen&lt;BR&gt;TFN details = Not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D11" s="38" t="s">
        <v>592</v>
      </c>
      <c r="E11" s="39" t="str">
        <f ca="1">FormatTest!C11</f>
        <v>&lt;BR&gt;&lt;BR&gt;Benefit Status=NEF-NTB&lt;BR&gt;Review created on FAL screen=TFN - EXEMPTION REVIEW (TEX)&lt;BR&gt;Customer FTB (A) Status=NULL&lt;BR&gt;Customer FTB (B) Status=NULL&lt;BR&gt;Customer RA Status=N-NULL&lt;BR&gt;Child Eligibility FTB(A)=Y&lt;BR&gt;Child Eligibility FTB(B)=Y</v>
      </c>
      <c r="F11" s="37" t="s">
        <v>13</v>
      </c>
      <c r="G11" s="37"/>
      <c r="H11" s="37"/>
      <c r="I11" s="41" t="str">
        <f ca="1">OFFSET(BuildTest!$D$202,MOD(ROW()-ROW($D$2),ROWS(BuildTest!$D$202:$D$202)),TRUNC((ROW()-ROW($D$2))/ROWS(BuildTest!$D$202:$D$202)),1,1)</f>
        <v>FTB.Regression.NCL.Partnered customer.TFN circ.not coded and PTR TFN not coded</v>
      </c>
      <c r="J11" s="41" t="s">
        <v>16</v>
      </c>
      <c r="K11" s="41" t="str">
        <f ca="1">FormatTest!F11</f>
        <v>Index a FTB/NCL with below circumstance description &lt;BR&gt;&lt;BR&gt;&lt;B&gt;Customer  circumstances&lt;/B&gt;&lt;BR&gt;Residential Qualification = AU citizen&lt;BR&gt;Direct Credit details   = Coded&lt;BR&gt;TFN details = Not Coded&lt;BR&gt;Secondary Earner income = Less than $21,499&lt;BR&gt;&lt;BR&gt;&lt;B&gt;Partner  circumstances&lt;/B&gt;&lt;BR&gt;Residential Qualification = AU citizen&lt;BR&gt;TFN details = Not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L11" s="41" t="str">
        <f ca="1">FormatTest!G11</f>
        <v>Verify Assessment and Eligibility outcome
&lt;BR&gt;&lt;BR&gt;Benefit Status=NEF-NTB&lt;BR&gt;Review created on FAL screen=TFN - EXEMPTION REVIEW (TEX)&lt;BR&gt;Customer FTB (A) Status=NULL&lt;BR&gt;Customer FTB (B) Status=NULL&lt;BR&gt;Customer RA Status=N-NULL&lt;BR&gt;Child Eligibility FTB(A)=Y&lt;BR&gt;Child Eligibility FTB(B)=Y</v>
      </c>
      <c r="M11" s="41" t="s">
        <v>322</v>
      </c>
      <c r="N11" s="41"/>
      <c r="O11" s="41" t="s">
        <v>410</v>
      </c>
      <c r="P11" s="41" t="s">
        <v>609</v>
      </c>
      <c r="Q11" s="41" t="s">
        <v>441</v>
      </c>
      <c r="R11" s="41" t="s">
        <v>14</v>
      </c>
      <c r="S11" s="41" t="s">
        <v>893</v>
      </c>
      <c r="T11" s="44" t="str">
        <f t="shared" ref="T11:T12" ca="1" si="7">IF(ISBLANK(A11),"",IF(A11&lt;10,"00",IF(A11&gt;99,"","0"))&amp;A11&amp;IF(LEFT(I11,1)=".",I11,"."&amp;I11))</f>
        <v>010.FTB.Regression.NCL.Partnered customer.TFN circ.not coded and PTR TFN not coded</v>
      </c>
      <c r="U11" s="44" t="str">
        <f ca="1">CONCATENATE("&lt;HTML&gt;&lt;font color=#0000FF&gt;&lt;B&gt;PURPOSE:  &lt;/B&gt;&lt;/font&gt;&lt;BR&gt;",C11,"&lt;BR&gt;&lt;BR&gt;&lt;BR&gt;&lt;font color=#0000FF&gt;&lt;B&gt;Pre-requisites:  &lt;/B&gt;&lt;/font&gt;",D11,"&lt;BR&gt;&lt;BR&gt;&lt;font color=#0000FF&gt;&lt;B&gt;User Spec Name:  &lt;/B&gt;&lt;/font&gt;",Cover!$C$8,"&lt;BR&gt;",Cover!$F$8,"&lt;BR&gt;&lt;font color=#0000FF&gt;&lt;B&gt;User Spec Reference:  &lt;/B&gt;&lt;/font&gt;",B11,"&lt;/HTML&gt;")</f>
        <v>&lt;HTML&gt;&lt;font color=#0000FF&gt;&lt;B&gt;PURPOSE:  &lt;/B&gt;&lt;/font&gt;&lt;BR&gt;The purpose of the test is to verify &lt;BR&gt;&lt;BR&gt;&lt;BR&gt;&lt;BR&gt;Benefit Status=NEF-NTB&lt;BR&gt;Review created on FAL screen=TFN - EXEMPTION REVIEW (TEX)&lt;BR&gt;Customer FTB (A) Status=NULL&lt;BR&gt;Customer FTB (B) Status=NULL&lt;BR&gt;Customer RA Status=N-NULL&lt;BR&gt;Child Eligibility FTB(A)=Y&lt;BR&gt;Child Eligibility FTB(B)=Y&lt;BR&gt;&lt;BR&gt; for below input circumstances&lt;BR&gt;&lt;BR&gt;&lt;B&gt;Customer  circumstances&lt;/B&gt;&lt;BR&gt;Residential Qualification = AU citizen&lt;BR&gt;Direct Credit details   = Coded&lt;BR&gt;TFN details = Not Coded&lt;BR&gt;Secondary Earner income = Less than $21,499&lt;BR&gt;&lt;BR&gt;&lt;B&gt;Partner  circumstances&lt;/B&gt;&lt;BR&gt;Residential Qualification = AU citizen&lt;BR&gt;TFN details = Not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1&lt;/HTML&gt;</v>
      </c>
      <c r="V11" s="44" t="str">
        <f t="shared" ca="1" si="5"/>
        <v>&lt;HTML&gt;Index a FTB/NCL with below circumstance description &lt;BR&gt;&lt;BR&gt;&lt;B&gt;Customer  circumstances&lt;/B&gt;&lt;BR&gt;Residential Qualification = AU citizen&lt;BR&gt;Direct Credit details   = Coded&lt;BR&gt;TFN details = Not Coded&lt;BR&gt;Secondary Earner income = Less than $21,499&lt;BR&gt;&lt;BR&gt;&lt;B&gt;Partner  circumstances&lt;/B&gt;&lt;BR&gt;Residential Qualification = AU citizen&lt;BR&gt;TFN details = Not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care&lt;/HTML&gt;</v>
      </c>
      <c r="W11" s="44" t="str">
        <f t="shared" ca="1" si="6"/>
        <v>&lt;HTML&gt;Verify Assessment and Eligibility outcome
&lt;BR&gt;&lt;BR&gt;Benefit Status=NEF-NTB&lt;BR&gt;Review created on FAL screen=TFN - EXEMPTION REVIEW (TEX)&lt;BR&gt;Customer FTB (A) Status=NULL&lt;BR&gt;Customer FTB (B) Status=NULL&lt;BR&gt;Customer RA Status=N-NULL&lt;BR&gt;Child Eligibility FTB(A)=Y&lt;BR&gt;Child Eligibility FTB(B)=Y&lt;/HTML&gt;</v>
      </c>
    </row>
    <row r="12" spans="1:23" ht="145.5" customHeight="1">
      <c r="A12" s="36">
        <f>IF(B12="","",COUNTIF($B$2:B12,"&lt;&gt;"&amp;""))</f>
        <v>11</v>
      </c>
      <c r="B12" s="37" t="s">
        <v>594</v>
      </c>
      <c r="C12" s="38" t="str">
        <f ca="1">FormatTest!A12</f>
        <v>The purpose of the test is to verify &lt;BR&gt;&lt;BR&gt;&lt;BR&gt;&lt;BR&gt;Benefit Status=CUR&lt;BR&gt;Review created on FAL screen=No Review&lt;BR&gt;Customer FTB (A) Status=CAN-INC&lt;BR&gt;Customer FTB (B) Status=CUR&lt;BR&gt;Customer RA Status=N-NULL&lt;BR&gt;Child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More than $99,414 per yr&lt;BR&gt;&lt;BR&gt;&lt;B&gt;Child  circumstances&lt;/B&gt;&lt;BR&gt;Number of Child(ren) = 1&lt;BR&gt;Age of Child = &lt;= 5yr&lt;BR&gt;Principal Care Type = Natural Care&lt;BR&gt;Care Percentage = 100% of Customer's care</v>
      </c>
      <c r="D12" s="38" t="s">
        <v>592</v>
      </c>
      <c r="E12" s="39" t="str">
        <f ca="1">FormatTest!C12</f>
        <v>&lt;BR&gt;&lt;BR&gt;Benefit Status=CUR&lt;BR&gt;Review created on FAL screen=No Review&lt;BR&gt;Customer FTB (A) Status=CAN-INC&lt;BR&gt;Customer FTB (B) Status=CUR&lt;BR&gt;Customer RA Status=N-NULL&lt;BR&gt;Child Eligibility FTB(A)=Y&lt;BR&gt;Child Eligibility FTB(B)=Y</v>
      </c>
      <c r="F12" s="37" t="s">
        <v>13</v>
      </c>
      <c r="G12" s="37"/>
      <c r="H12" s="37"/>
      <c r="I12" s="41" t="str">
        <f ca="1">OFFSET(BuildTest!$D$202,MOD(ROW()-ROW($D$2),ROWS(BuildTest!$D$202:$D$202)),TRUNC((ROW()-ROW($D$2))/ROWS(BuildTest!$D$202:$D$202)),1,1)</f>
        <v>FTB.Regression.NCL.Partnered customer.Income circ.Sec Inc LT Limit.Pri Inc LT Limit.Combined INC GT Limit</v>
      </c>
      <c r="J12" s="41" t="s">
        <v>16</v>
      </c>
      <c r="K12" s="41" t="str">
        <f ca="1">FormatTest!F12</f>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More than $99,414 per yr&lt;BR&gt;&lt;BR&gt;&lt;B&gt;Child  circumstances&lt;/B&gt;&lt;BR&gt;Number of Child(ren) = 1&lt;BR&gt;Age of Child = &lt;= 5yr&lt;BR&gt;Principal Care Type = Natural Care&lt;BR&gt;Care Percentage = 100% of Customer's care</v>
      </c>
      <c r="L12" s="41" t="str">
        <f ca="1">FormatTest!G12</f>
        <v>Verify Assessment and Eligibility outcome
&lt;BR&gt;&lt;BR&gt;Benefit Status=CUR&lt;BR&gt;Review created on FAL screen=No Review&lt;BR&gt;Customer FTB (A) Status=CAN-INC&lt;BR&gt;Customer FTB (B) Status=CUR&lt;BR&gt;Customer RA Status=N-NULL&lt;BR&gt;Child Eligibility FTB(A)=Y&lt;BR&gt;Child Eligibility FTB(B)=Y</v>
      </c>
      <c r="M12" s="41" t="s">
        <v>322</v>
      </c>
      <c r="N12" s="41"/>
      <c r="O12" s="41" t="s">
        <v>410</v>
      </c>
      <c r="P12" s="41" t="s">
        <v>609</v>
      </c>
      <c r="Q12" s="41" t="s">
        <v>441</v>
      </c>
      <c r="R12" s="41" t="s">
        <v>14</v>
      </c>
      <c r="S12" s="41" t="s">
        <v>893</v>
      </c>
      <c r="T12" s="44" t="str">
        <f t="shared" ca="1" si="7"/>
        <v>011.FTB.Regression.NCL.Partnered customer.Income circ.Sec Inc LT Limit.Pri Inc LT Limit.Combined INC GT Limit</v>
      </c>
      <c r="U12" s="44" t="str">
        <f ca="1">CONCATENATE("&lt;HTML&gt;&lt;font color=#0000FF&gt;&lt;B&gt;PURPOSE:  &lt;/B&gt;&lt;/font&gt;&lt;BR&gt;",C12,"&lt;BR&gt;&lt;BR&gt;&lt;BR&gt;&lt;font color=#0000FF&gt;&lt;B&gt;Pre-requisites:  &lt;/B&gt;&lt;/font&gt;",D12,"&lt;BR&gt;&lt;BR&gt;&lt;font color=#0000FF&gt;&lt;B&gt;User Spec Name:  &lt;/B&gt;&lt;/font&gt;",Cover!$C$8,"&lt;BR&gt;",Cover!$F$8,"&lt;BR&gt;&lt;font color=#0000FF&gt;&lt;B&gt;User Spec Reference:  &lt;/B&gt;&lt;/font&gt;",B12,"&lt;/HTML&gt;")</f>
        <v>&lt;HTML&gt;&lt;font color=#0000FF&gt;&lt;B&gt;PURPOSE:  &lt;/B&gt;&lt;/font&gt;&lt;BR&gt;The purpose of the test is to verify &lt;BR&gt;&lt;BR&gt;&lt;BR&gt;&lt;BR&gt;Benefit Status=CUR&lt;BR&gt;Review created on FAL screen=No Review&lt;BR&gt;Customer FTB (A) Status=CAN-INC&lt;BR&gt;Customer FTB (B) Status=CUR&lt;BR&gt;Customer RA Status=N-NULL&lt;BR&gt;Child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More than $99,414 per yr&lt;BR&gt;&lt;BR&gt;&lt;B&gt;Child  circumstances&lt;/B&gt;&lt;BR&gt;Number of Child(ren) = 1&lt;BR&gt;Age of Child = &lt;= 5yr&lt;BR&gt;Principal Care Type = Natural Care&lt;BR&gt;Care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1&lt;/HTML&gt;</v>
      </c>
      <c r="V12" s="44" t="str">
        <f t="shared" ref="V12:V16" ca="1" si="8">CONCATENATE("&lt;HTML&gt;",K12,"&lt;/HTML&gt;")</f>
        <v>&lt;HTML&gt;Index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More than $99,414 per yr&lt;BR&gt;&lt;BR&gt;&lt;B&gt;Child  circumstances&lt;/B&gt;&lt;BR&gt;Number of Child(ren) = 1&lt;BR&gt;Age of Child = &lt;= 5yr&lt;BR&gt;Principal Care Type = Natural Care&lt;BR&gt;Care Percentage = 100% of Customer's care&lt;/HTML&gt;</v>
      </c>
      <c r="W12" s="44" t="str">
        <f t="shared" ref="W12:W16" ca="1" si="9">CONCATENATE("&lt;HTML&gt;",L12,"&lt;/HTML&gt;")</f>
        <v>&lt;HTML&gt;Verify Assessment and Eligibility outcome
&lt;BR&gt;&lt;BR&gt;Benefit Status=CUR&lt;BR&gt;Review created on FAL screen=No Review&lt;BR&gt;Customer FTB (A) Status=CAN-INC&lt;BR&gt;Customer FTB (B) Status=CUR&lt;BR&gt;Customer RA Status=N-NULL&lt;BR&gt;Child Eligibility FTB(A)=Y&lt;BR&gt;Child Eligibility FTB(B)=Y&lt;/HTML&gt;</v>
      </c>
    </row>
    <row r="13" spans="1:23" ht="145.5" customHeight="1">
      <c r="A13" s="36">
        <f>IF(B13="","",COUNTIF($B$2:B13,"&lt;&gt;"&amp;""))</f>
        <v>12</v>
      </c>
      <c r="B13" s="37" t="s">
        <v>594</v>
      </c>
      <c r="C13" s="38" t="str">
        <f ca="1">FormatTest!A13</f>
        <v>The purpose of the test is to verify &lt;BR&gt;&lt;BR&gt;&lt;BR&gt;&lt;BR&gt;Benefit Status=REJ-INC&lt;BR&gt;Review created on FAL screen=No Review&lt;BR&gt;Customer FTB (A) Status=CAN-INC&lt;BR&gt;Customer FTB (B) Status=REJ-IEU&lt;BR&gt;Customer RA Status=N-NULL&lt;BR&gt;Child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More than $100,000&lt;BR&gt;&lt;BR&gt;&lt;B&gt;Customer and Partner common circumstances&lt;/B&gt;&lt;BR&gt;Home ownership code = Home owner - HOM&lt;BR&gt;Relationship Qualifier = Blank&lt;BR&gt;Combined Income Limit = More than $99,414 per yr&lt;BR&gt;&lt;BR&gt;&lt;B&gt;Child  circumstances&lt;/B&gt;&lt;BR&gt;Number of Child(ren) = 1&lt;BR&gt;Age of Child = &lt;= 5yr&lt;BR&gt;Principal Care Type = Natural Care&lt;BR&gt;Care Percentage = 100% of Customer's care</v>
      </c>
      <c r="D13" s="38" t="s">
        <v>592</v>
      </c>
      <c r="E13" s="39" t="str">
        <f ca="1">FormatTest!C13</f>
        <v>&lt;BR&gt;&lt;BR&gt;Benefit Status=REJ-INC&lt;BR&gt;Review created on FAL screen=No Review&lt;BR&gt;Customer FTB (A) Status=CAN-INC&lt;BR&gt;Customer FTB (B) Status=REJ-IEU&lt;BR&gt;Customer RA Status=N-NULL&lt;BR&gt;Child Eligibility FTB(A)=Y&lt;BR&gt;Child Eligibility FTB(B)=Y</v>
      </c>
      <c r="F13" s="37" t="s">
        <v>13</v>
      </c>
      <c r="G13" s="37"/>
      <c r="H13" s="37"/>
      <c r="I13" s="41" t="str">
        <f ca="1">OFFSET(BuildTest!$D$202,MOD(ROW()-ROW($D$2),ROWS(BuildTest!$D$202:$D$202)),TRUNC((ROW()-ROW($D$2))/ROWS(BuildTest!$D$202:$D$202)),1,1)</f>
        <v>FTB.Regression.NCL.Partnered customer.Income circ.Sec Inc LT Limit.Pri Inc GT Limit.Combined INC GT Limit</v>
      </c>
      <c r="J13" s="41" t="s">
        <v>16</v>
      </c>
      <c r="K13" s="41" t="str">
        <f ca="1">FormatTest!F13</f>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More than $100,000&lt;BR&gt;&lt;BR&gt;&lt;B&gt;Customer and Partner common circumstances&lt;/B&gt;&lt;BR&gt;Home ownership code = Home owner - HOM&lt;BR&gt;Relationship Qualifier = Blank&lt;BR&gt;Combined Income Limit = More than $99,414 per yr&lt;BR&gt;&lt;BR&gt;&lt;B&gt;Child  circumstances&lt;/B&gt;&lt;BR&gt;Number of Child(ren) = 1&lt;BR&gt;Age of Child = &lt;= 5yr&lt;BR&gt;Principal Care Type = Natural Care&lt;BR&gt;Care Percentage = 100% of Customer's care</v>
      </c>
      <c r="L13" s="41" t="str">
        <f ca="1">FormatTest!G13</f>
        <v>Verify Assessment and Eligibility outcome
&lt;BR&gt;&lt;BR&gt;Benefit Status=REJ-INC&lt;BR&gt;Review created on FAL screen=No Review&lt;BR&gt;Customer FTB (A) Status=CAN-INC&lt;BR&gt;Customer FTB (B) Status=REJ-IEU&lt;BR&gt;Customer RA Status=N-NULL&lt;BR&gt;Child Eligibility FTB(A)=Y&lt;BR&gt;Child Eligibility FTB(B)=Y</v>
      </c>
      <c r="M13" s="41" t="s">
        <v>322</v>
      </c>
      <c r="N13" s="41"/>
      <c r="O13" s="41" t="s">
        <v>410</v>
      </c>
      <c r="P13" s="41" t="s">
        <v>609</v>
      </c>
      <c r="Q13" s="41" t="s">
        <v>441</v>
      </c>
      <c r="R13" s="41" t="s">
        <v>14</v>
      </c>
      <c r="S13" s="41" t="s">
        <v>893</v>
      </c>
      <c r="T13" s="44" t="str">
        <f t="shared" ref="T13:T16" ca="1" si="10">IF(ISBLANK(A13),"",IF(A13&lt;10,"00",IF(A13&gt;99,"","0"))&amp;A13&amp;IF(LEFT(I13,1)=".",I13,"."&amp;I13))</f>
        <v>012.FTB.Regression.NCL.Partnered customer.Income circ.Sec Inc LT Limit.Pri Inc GT Limit.Combined INC GT Limit</v>
      </c>
      <c r="U13" s="44" t="str">
        <f ca="1">CONCATENATE("&lt;HTML&gt;&lt;font color=#0000FF&gt;&lt;B&gt;PURPOSE:  &lt;/B&gt;&lt;/font&gt;&lt;BR&gt;",C13,"&lt;BR&gt;&lt;BR&gt;&lt;BR&gt;&lt;font color=#0000FF&gt;&lt;B&gt;Pre-requisites:  &lt;/B&gt;&lt;/font&gt;",D13,"&lt;BR&gt;&lt;BR&gt;&lt;font color=#0000FF&gt;&lt;B&gt;User Spec Name:  &lt;/B&gt;&lt;/font&gt;",Cover!$C$8,"&lt;BR&gt;",Cover!$F$8,"&lt;BR&gt;&lt;font color=#0000FF&gt;&lt;B&gt;User Spec Reference:  &lt;/B&gt;&lt;/font&gt;",B13,"&lt;/HTML&gt;")</f>
        <v>&lt;HTML&gt;&lt;font color=#0000FF&gt;&lt;B&gt;PURPOSE:  &lt;/B&gt;&lt;/font&gt;&lt;BR&gt;The purpose of the test is to verify &lt;BR&gt;&lt;BR&gt;&lt;BR&gt;&lt;BR&gt;Benefit Status=REJ-INC&lt;BR&gt;Review created on FAL screen=No Review&lt;BR&gt;Customer FTB (A) Status=CAN-INC&lt;BR&gt;Customer FTB (B) Status=REJ-IEU&lt;BR&gt;Customer RA Status=N-NULL&lt;BR&gt;Child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More than $100,000&lt;BR&gt;&lt;BR&gt;&lt;B&gt;Customer and Partner common circumstances&lt;/B&gt;&lt;BR&gt;Home ownership code = Home owner - HOM&lt;BR&gt;Relationship Qualifier = Blank&lt;BR&gt;Combined Income Limit = More than $99,414 per yr&lt;BR&gt;&lt;BR&gt;&lt;B&gt;Child  circumstances&lt;/B&gt;&lt;BR&gt;Number of Child(ren) = 1&lt;BR&gt;Age of Child = &lt;= 5yr&lt;BR&gt;Principal Care Type = Natural Care&lt;BR&gt;Care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1&lt;/HTML&gt;</v>
      </c>
      <c r="V13" s="44" t="str">
        <f t="shared" ca="1" si="8"/>
        <v>&lt;HTML&gt;Index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More than $100,000&lt;BR&gt;&lt;BR&gt;&lt;B&gt;Customer and Partner common circumstances&lt;/B&gt;&lt;BR&gt;Home ownership code = Home owner - HOM&lt;BR&gt;Relationship Qualifier = Blank&lt;BR&gt;Combined Income Limit = More than $99,414 per yr&lt;BR&gt;&lt;BR&gt;&lt;B&gt;Child  circumstances&lt;/B&gt;&lt;BR&gt;Number of Child(ren) = 1&lt;BR&gt;Age of Child = &lt;= 5yr&lt;BR&gt;Principal Care Type = Natural Care&lt;BR&gt;Care Percentage = 100% of Customer's care&lt;/HTML&gt;</v>
      </c>
      <c r="W13" s="44" t="str">
        <f t="shared" ca="1" si="9"/>
        <v>&lt;HTML&gt;Verify Assessment and Eligibility outcome
&lt;BR&gt;&lt;BR&gt;Benefit Status=REJ-INC&lt;BR&gt;Review created on FAL screen=No Review&lt;BR&gt;Customer FTB (A) Status=CAN-INC&lt;BR&gt;Customer FTB (B) Status=REJ-IEU&lt;BR&gt;Customer RA Status=N-NULL&lt;BR&gt;Child Eligibility FTB(A)=Y&lt;BR&gt;Child Eligibility FTB(B)=Y&lt;/HTML&gt;</v>
      </c>
    </row>
    <row r="14" spans="1:23" ht="145.5" customHeight="1">
      <c r="A14" s="36">
        <f>IF(B14="","",COUNTIF($B$2:B14,"&lt;&gt;"&amp;""))</f>
        <v>13</v>
      </c>
      <c r="B14" s="37" t="s">
        <v>594</v>
      </c>
      <c r="C14" s="38" t="str">
        <f ca="1">FormatTest!A14</f>
        <v>The purpose of the test is to verify &lt;BR&gt;&lt;BR&gt;&lt;BR&gt;&lt;BR&gt;Benefit Status=CUR&lt;BR&gt;Review created on FAL screen=No Review&lt;BR&gt;Customer FTB (A) Status=CUR&lt;BR&gt;Customer FTB (B) Status=REJ-INC&lt;BR&gt;Customer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More than $ 27,613&lt;BR&gt;&lt;BR&gt;&lt;B&gt;Partner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D14" s="38" t="s">
        <v>592</v>
      </c>
      <c r="E14" s="39" t="str">
        <f ca="1">FormatTest!C14</f>
        <v>&lt;BR&gt;&lt;BR&gt;Benefit Status=CUR&lt;BR&gt;Review created on FAL screen=No Review&lt;BR&gt;Customer FTB (A) Status=CUR&lt;BR&gt;Customer FTB (B) Status=REJ-INC&lt;BR&gt;Customer RA Status=N-HOM&lt;BR&gt;Child Eligibility FTB(A)=Y&lt;BR&gt;Child Eligibility FTB(B)=Y</v>
      </c>
      <c r="F14" s="37" t="s">
        <v>13</v>
      </c>
      <c r="G14" s="37"/>
      <c r="H14" s="37"/>
      <c r="I14" s="41" t="str">
        <f ca="1">OFFSET(BuildTest!$D$202,MOD(ROW()-ROW($D$2),ROWS(BuildTest!$D$202:$D$202)),TRUNC((ROW()-ROW($D$2))/ROWS(BuildTest!$D$202:$D$202)),1,1)</f>
        <v>FTB.Regression.NCL.Partnered customer.Income circ.Sec Inc GT Limit.Pri Inc LT Limit.Combined INC LT Limit</v>
      </c>
      <c r="J14" s="41" t="s">
        <v>16</v>
      </c>
      <c r="K14" s="41" t="str">
        <f ca="1">FormatTest!F14</f>
        <v>Index a FTB/NCL with below circumstance description &lt;BR&gt;&lt;BR&gt;&lt;B&gt;Customer  circumstances&lt;/B&gt;&lt;BR&gt;Residential Qualification = AU citizen&lt;BR&gt;Direct Credit details   = Coded&lt;BR&gt;TFN details = Coded&lt;BR&gt;Secondary Earner income = More than $ 27,613&lt;BR&gt;&lt;BR&gt;&lt;B&gt;Partner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L14" s="41" t="str">
        <f ca="1">FormatTest!G14</f>
        <v>Verify Assessment and Eligibility outcome
&lt;BR&gt;&lt;BR&gt;Benefit Status=CUR&lt;BR&gt;Review created on FAL screen=No Review&lt;BR&gt;Customer FTB (A) Status=CUR&lt;BR&gt;Customer FTB (B) Status=REJ-INC&lt;BR&gt;Customer RA Status=N-HOM&lt;BR&gt;Child Eligibility FTB(A)=Y&lt;BR&gt;Child Eligibility FTB(B)=Y</v>
      </c>
      <c r="M14" s="41" t="s">
        <v>322</v>
      </c>
      <c r="N14" s="41"/>
      <c r="O14" s="41" t="s">
        <v>410</v>
      </c>
      <c r="P14" s="41" t="s">
        <v>609</v>
      </c>
      <c r="Q14" s="41" t="s">
        <v>441</v>
      </c>
      <c r="R14" s="41" t="s">
        <v>14</v>
      </c>
      <c r="S14" s="41" t="s">
        <v>893</v>
      </c>
      <c r="T14" s="44" t="str">
        <f t="shared" ca="1" si="10"/>
        <v>013.FTB.Regression.NCL.Partnered customer.Income circ.Sec Inc GT Limit.Pri Inc LT Limit.Combined INC LT Limit</v>
      </c>
      <c r="U14" s="44" t="str">
        <f ca="1">CONCATENATE("&lt;HTML&gt;&lt;font color=#0000FF&gt;&lt;B&gt;PURPOSE:  &lt;/B&gt;&lt;/font&gt;&lt;BR&gt;",C14,"&lt;BR&gt;&lt;BR&gt;&lt;BR&gt;&lt;font color=#0000FF&gt;&lt;B&gt;Pre-requisites:  &lt;/B&gt;&lt;/font&gt;",D14,"&lt;BR&gt;&lt;BR&gt;&lt;font color=#0000FF&gt;&lt;B&gt;User Spec Name:  &lt;/B&gt;&lt;/font&gt;",Cover!$C$8,"&lt;BR&gt;",Cover!$F$8,"&lt;BR&gt;&lt;font color=#0000FF&gt;&lt;B&gt;User Spec Reference:  &lt;/B&gt;&lt;/font&gt;",B14,"&lt;/HTML&gt;")</f>
        <v>&lt;HTML&gt;&lt;font color=#0000FF&gt;&lt;B&gt;PURPOSE:  &lt;/B&gt;&lt;/font&gt;&lt;BR&gt;The purpose of the test is to verify &lt;BR&gt;&lt;BR&gt;&lt;BR&gt;&lt;BR&gt;Benefit Status=CUR&lt;BR&gt;Review created on FAL screen=No Review&lt;BR&gt;Customer FTB (A) Status=CUR&lt;BR&gt;Customer FTB (B) Status=REJ-INC&lt;BR&gt;Customer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More than $ 27,613&lt;BR&gt;&lt;BR&gt;&lt;B&gt;Partner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1&lt;/HTML&gt;</v>
      </c>
      <c r="V14" s="44" t="str">
        <f t="shared" ca="1" si="8"/>
        <v>&lt;HTML&gt;Index a FTB/NCL with below circumstance description &lt;BR&gt;&lt;BR&gt;&lt;B&gt;Customer  circumstances&lt;/B&gt;&lt;BR&gt;Residential Qualification = AU citizen&lt;BR&gt;Direct Credit details   = Coded&lt;BR&gt;TFN details = Coded&lt;BR&gt;Secondary Earner income = More than $ 27,613&lt;BR&gt;&lt;BR&gt;&lt;B&gt;Partner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care&lt;/HTML&gt;</v>
      </c>
      <c r="W14" s="44" t="str">
        <f t="shared" ca="1" si="9"/>
        <v>&lt;HTML&gt;Verify Assessment and Eligibility outcome
&lt;BR&gt;&lt;BR&gt;Benefit Status=CUR&lt;BR&gt;Review created on FAL screen=No Review&lt;BR&gt;Customer FTB (A) Status=CUR&lt;BR&gt;Customer FTB (B) Status=REJ-INC&lt;BR&gt;Customer RA Status=N-HOM&lt;BR&gt;Child Eligibility FTB(A)=Y&lt;BR&gt;Child Eligibility FTB(B)=Y&lt;/HTML&gt;</v>
      </c>
    </row>
    <row r="15" spans="1:23" ht="145.5" customHeight="1">
      <c r="A15" s="36">
        <f>IF(B15="","",COUNTIF($B$2:B15,"&lt;&gt;"&amp;""))</f>
        <v>14</v>
      </c>
      <c r="B15" s="37" t="s">
        <v>594</v>
      </c>
      <c r="C15" s="38" t="str">
        <f ca="1">FormatTest!A15</f>
        <v>The purpose of the test is to verify &lt;BR&gt;&lt;BR&gt;&lt;BR&gt;&lt;BR&gt;Benefit Status=REJ-INC&lt;BR&gt;Review created on FAL screen=No Review&lt;BR&gt;Customer FTB (A) Status=CAN-INC&lt;BR&gt;Customer FTB (B) Status=REJ-INC&lt;BR&gt;Customer RA Status=N-NULL&lt;BR&gt;Child Eligibility FTB(A)=Y&lt;BR&gt;Child Eligibility FTB(B)=Y&lt;BR&gt;&lt;BR&gt; for below input circumstances&lt;BR&gt;&lt;BR&gt;&lt;B&gt;Customer  circumstances&lt;/B&gt;&lt;BR&gt;Residential Qualification = AU citizen&lt;BR&gt;Direct Credit details   = Coded&lt;BR&gt;TFN details = Coded&lt;BR&gt;Secondary Earner income = More than $ 27,613&lt;BR&gt;&lt;BR&gt;&lt;B&gt;Partner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More than $99,414 per yr&lt;BR&gt;&lt;BR&gt;&lt;B&gt;Child  circumstances&lt;/B&gt;&lt;BR&gt;Number of Child(ren) = 1&lt;BR&gt;Age of Child = &lt;= 5yr&lt;BR&gt;Principal Care Type = Natural Care&lt;BR&gt;Care Percentage = 100% of Customer's care</v>
      </c>
      <c r="D15" s="38" t="s">
        <v>592</v>
      </c>
      <c r="E15" s="39" t="str">
        <f ca="1">FormatTest!C15</f>
        <v>&lt;BR&gt;&lt;BR&gt;Benefit Status=REJ-INC&lt;BR&gt;Review created on FAL screen=No Review&lt;BR&gt;Customer FTB (A) Status=CAN-INC&lt;BR&gt;Customer FTB (B) Status=REJ-INC&lt;BR&gt;Customer RA Status=N-NULL&lt;BR&gt;Child Eligibility FTB(A)=Y&lt;BR&gt;Child Eligibility FTB(B)=Y</v>
      </c>
      <c r="F15" s="37" t="s">
        <v>13</v>
      </c>
      <c r="G15" s="37"/>
      <c r="H15" s="37"/>
      <c r="I15" s="41" t="str">
        <f ca="1">OFFSET(BuildTest!$D$202,MOD(ROW()-ROW($D$2),ROWS(BuildTest!$D$202:$D$202)),TRUNC((ROW()-ROW($D$2))/ROWS(BuildTest!$D$202:$D$202)),1,1)</f>
        <v>FTB.Regression.NCL.Partnered customer.Income circ.Sec Inc GT Limit.Pri Inc LT Limit.Combined INC GT Limit</v>
      </c>
      <c r="J15" s="41" t="s">
        <v>16</v>
      </c>
      <c r="K15" s="41" t="str">
        <f ca="1">FormatTest!F15</f>
        <v>Index a FTB/NCL with below circumstance description &lt;BR&gt;&lt;BR&gt;&lt;B&gt;Customer  circumstances&lt;/B&gt;&lt;BR&gt;Residential Qualification = AU citizen&lt;BR&gt;Direct Credit details   = Coded&lt;BR&gt;TFN details = Coded&lt;BR&gt;Secondary Earner income = More than $ 27,613&lt;BR&gt;&lt;BR&gt;&lt;B&gt;Partner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More than $99,414 per yr&lt;BR&gt;&lt;BR&gt;&lt;B&gt;Child  circumstances&lt;/B&gt;&lt;BR&gt;Number of Child(ren) = 1&lt;BR&gt;Age of Child = &lt;= 5yr&lt;BR&gt;Principal Care Type = Natural Care&lt;BR&gt;Care Percentage = 100% of Customer's care</v>
      </c>
      <c r="L15" s="41" t="str">
        <f ca="1">FormatTest!G15</f>
        <v>Verify Assessment and Eligibility outcome
&lt;BR&gt;&lt;BR&gt;Benefit Status=REJ-INC&lt;BR&gt;Review created on FAL screen=No Review&lt;BR&gt;Customer FTB (A) Status=CAN-INC&lt;BR&gt;Customer FTB (B) Status=REJ-INC&lt;BR&gt;Customer RA Status=N-NULL&lt;BR&gt;Child Eligibility FTB(A)=Y&lt;BR&gt;Child Eligibility FTB(B)=Y</v>
      </c>
      <c r="M15" s="41" t="s">
        <v>322</v>
      </c>
      <c r="N15" s="41"/>
      <c r="O15" s="41" t="s">
        <v>410</v>
      </c>
      <c r="P15" s="41" t="s">
        <v>609</v>
      </c>
      <c r="Q15" s="41" t="s">
        <v>441</v>
      </c>
      <c r="R15" s="41" t="s">
        <v>14</v>
      </c>
      <c r="S15" s="41" t="s">
        <v>893</v>
      </c>
      <c r="T15" s="44" t="str">
        <f t="shared" ca="1" si="10"/>
        <v>014.FTB.Regression.NCL.Partnered customer.Income circ.Sec Inc GT Limit.Pri Inc LT Limit.Combined INC GT Limit</v>
      </c>
      <c r="U15" s="44" t="str">
        <f ca="1">CONCATENATE("&lt;HTML&gt;&lt;font color=#0000FF&gt;&lt;B&gt;PURPOSE:  &lt;/B&gt;&lt;/font&gt;&lt;BR&gt;",C15,"&lt;BR&gt;&lt;BR&gt;&lt;BR&gt;&lt;font color=#0000FF&gt;&lt;B&gt;Pre-requisites:  &lt;/B&gt;&lt;/font&gt;",D15,"&lt;BR&gt;&lt;BR&gt;&lt;font color=#0000FF&gt;&lt;B&gt;User Spec Name:  &lt;/B&gt;&lt;/font&gt;",Cover!$C$8,"&lt;BR&gt;",Cover!$F$8,"&lt;BR&gt;&lt;font color=#0000FF&gt;&lt;B&gt;User Spec Reference:  &lt;/B&gt;&lt;/font&gt;",B15,"&lt;/HTML&gt;")</f>
        <v>&lt;HTML&gt;&lt;font color=#0000FF&gt;&lt;B&gt;PURPOSE:  &lt;/B&gt;&lt;/font&gt;&lt;BR&gt;The purpose of the test is to verify &lt;BR&gt;&lt;BR&gt;&lt;BR&gt;&lt;BR&gt;Benefit Status=REJ-INC&lt;BR&gt;Review created on FAL screen=No Review&lt;BR&gt;Customer FTB (A) Status=CAN-INC&lt;BR&gt;Customer FTB (B) Status=REJ-INC&lt;BR&gt;Customer RA Status=N-NULL&lt;BR&gt;Child Eligibility FTB(A)=Y&lt;BR&gt;Child Eligibility FTB(B)=Y&lt;BR&gt;&lt;BR&gt; for below input circumstances&lt;BR&gt;&lt;BR&gt;&lt;B&gt;Customer  circumstances&lt;/B&gt;&lt;BR&gt;Residential Qualification = AU citizen&lt;BR&gt;Direct Credit details   = Coded&lt;BR&gt;TFN details = Coded&lt;BR&gt;Secondary Earner income = More than $ 27,613&lt;BR&gt;&lt;BR&gt;&lt;B&gt;Partner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More than $99,414 per yr&lt;BR&gt;&lt;BR&gt;&lt;B&gt;Child  circumstances&lt;/B&gt;&lt;BR&gt;Number of Child(ren) = 1&lt;BR&gt;Age of Child = &lt;= 5yr&lt;BR&gt;Principal Care Type = Natural Care&lt;BR&gt;Care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1&lt;/HTML&gt;</v>
      </c>
      <c r="V15" s="44" t="str">
        <f t="shared" ca="1" si="8"/>
        <v>&lt;HTML&gt;Index a FTB/NCL with below circumstance description &lt;BR&gt;&lt;BR&gt;&lt;B&gt;Customer  circumstances&lt;/B&gt;&lt;BR&gt;Residential Qualification = AU citizen&lt;BR&gt;Direct Credit details   = Coded&lt;BR&gt;TFN details = Coded&lt;BR&gt;Secondary Earner income = More than $ 27,613&lt;BR&gt;&lt;BR&gt;&lt;B&gt;Partner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More than $99,414 per yr&lt;BR&gt;&lt;BR&gt;&lt;B&gt;Child  circumstances&lt;/B&gt;&lt;BR&gt;Number of Child(ren) = 1&lt;BR&gt;Age of Child = &lt;= 5yr&lt;BR&gt;Principal Care Type = Natural Care&lt;BR&gt;Care Percentage = 100% of Customer's care&lt;/HTML&gt;</v>
      </c>
      <c r="W15" s="44" t="str">
        <f t="shared" ca="1" si="9"/>
        <v>&lt;HTML&gt;Verify Assessment and Eligibility outcome
&lt;BR&gt;&lt;BR&gt;Benefit Status=REJ-INC&lt;BR&gt;Review created on FAL screen=No Review&lt;BR&gt;Customer FTB (A) Status=CAN-INC&lt;BR&gt;Customer FTB (B) Status=REJ-INC&lt;BR&gt;Customer RA Status=N-NULL&lt;BR&gt;Child Eligibility FTB(A)=Y&lt;BR&gt;Child Eligibility FTB(B)=Y&lt;/HTML&gt;</v>
      </c>
    </row>
    <row r="16" spans="1:23" ht="145.5" customHeight="1">
      <c r="A16" s="36">
        <f>IF(B16="","",COUNTIF($B$2:B16,"&lt;&gt;"&amp;""))</f>
        <v>15</v>
      </c>
      <c r="B16" s="37" t="s">
        <v>594</v>
      </c>
      <c r="C16" s="38" t="str">
        <f ca="1">FormatTest!A16</f>
        <v>The purpose of the test is to verify &lt;BR&gt;&lt;BR&gt;&lt;BR&gt;&lt;BR&gt;Benefit Status=REJ-INC&lt;BR&gt;Review created on FAL screen=No Review&lt;BR&gt;Customer FTB (A) Status=CAN-INC&lt;BR&gt;Customer FTB (B) Status=REJ-INC&lt;BR&gt;Customer RA Status=N-NULL&lt;BR&gt;Child Eligibility FTB(A)=Y&lt;BR&gt;Child Eligibility FTB(B)=Y&lt;BR&gt;&lt;BR&gt; for below input circumstances&lt;BR&gt;&lt;BR&gt;&lt;B&gt;Customer  circumstances&lt;/B&gt;&lt;BR&gt;Residential Qualification = AU citizen&lt;BR&gt;Direct Credit details   = Coded&lt;BR&gt;TFN details = Coded&lt;BR&gt;Secondary Earner income = More than $ 27,613&lt;BR&gt;&lt;BR&gt;&lt;B&gt;Partner  circumstances&lt;/B&gt;&lt;BR&gt;Residential Qualification = AU citizen&lt;BR&gt;TFN details = Coded&lt;BR&gt;Primary Earner income = More than $100,000&lt;BR&gt;&lt;BR&gt;&lt;B&gt;Customer and Partner common circumstances&lt;/B&gt;&lt;BR&gt;Home ownership code = Home owner - HOM&lt;BR&gt;Relationship Qualifier = Blank&lt;BR&gt;Combined Income Limit = More than $99,414 per yr&lt;BR&gt;&lt;BR&gt;&lt;B&gt;Child  circumstances&lt;/B&gt;&lt;BR&gt;Number of Child(ren) = 1&lt;BR&gt;Age of Child = &lt;= 5yr&lt;BR&gt;Principal Care Type = Natural Care&lt;BR&gt;Care Percentage = 100% of Customer's care</v>
      </c>
      <c r="D16" s="38" t="s">
        <v>592</v>
      </c>
      <c r="E16" s="39" t="str">
        <f ca="1">FormatTest!C16</f>
        <v>&lt;BR&gt;&lt;BR&gt;Benefit Status=REJ-INC&lt;BR&gt;Review created on FAL screen=No Review&lt;BR&gt;Customer FTB (A) Status=CAN-INC&lt;BR&gt;Customer FTB (B) Status=REJ-INC&lt;BR&gt;Customer RA Status=N-NULL&lt;BR&gt;Child Eligibility FTB(A)=Y&lt;BR&gt;Child Eligibility FTB(B)=Y</v>
      </c>
      <c r="F16" s="37" t="s">
        <v>13</v>
      </c>
      <c r="G16" s="37"/>
      <c r="H16" s="37"/>
      <c r="I16" s="41" t="str">
        <f ca="1">OFFSET(BuildTest!$D$202,MOD(ROW()-ROW($D$2),ROWS(BuildTest!$D$202:$D$202)),TRUNC((ROW()-ROW($D$2))/ROWS(BuildTest!$D$202:$D$202)),1,1)</f>
        <v>FTB.Regression.NCL.Partnered customer.Income circ.Sec Inc GT Limit.Pri Inc GT Limit.Combined INC GT Limit</v>
      </c>
      <c r="J16" s="41" t="s">
        <v>16</v>
      </c>
      <c r="K16" s="41" t="str">
        <f ca="1">FormatTest!F16</f>
        <v>Index a FTB/NCL with below circumstance description &lt;BR&gt;&lt;BR&gt;&lt;B&gt;Customer  circumstances&lt;/B&gt;&lt;BR&gt;Residential Qualification = AU citizen&lt;BR&gt;Direct Credit details   = Coded&lt;BR&gt;TFN details = Coded&lt;BR&gt;Secondary Earner income = More than $ 27,613&lt;BR&gt;&lt;BR&gt;&lt;B&gt;Partner  circumstances&lt;/B&gt;&lt;BR&gt;Residential Qualification = AU citizen&lt;BR&gt;TFN details = Coded&lt;BR&gt;Primary Earner income = More than $100,000&lt;BR&gt;&lt;BR&gt;&lt;B&gt;Customer and Partner common circumstances&lt;/B&gt;&lt;BR&gt;Home ownership code = Home owner - HOM&lt;BR&gt;Relationship Qualifier = Blank&lt;BR&gt;Combined Income Limit = More than $99,414 per yr&lt;BR&gt;&lt;BR&gt;&lt;B&gt;Child  circumstances&lt;/B&gt;&lt;BR&gt;Number of Child(ren) = 1&lt;BR&gt;Age of Child = &lt;= 5yr&lt;BR&gt;Principal Care Type = Natural Care&lt;BR&gt;Care Percentage = 100% of Customer's care</v>
      </c>
      <c r="L16" s="41" t="str">
        <f ca="1">FormatTest!G16</f>
        <v>Verify Assessment and Eligibility outcome
&lt;BR&gt;&lt;BR&gt;Benefit Status=REJ-INC&lt;BR&gt;Review created on FAL screen=No Review&lt;BR&gt;Customer FTB (A) Status=CAN-INC&lt;BR&gt;Customer FTB (B) Status=REJ-INC&lt;BR&gt;Customer RA Status=N-NULL&lt;BR&gt;Child Eligibility FTB(A)=Y&lt;BR&gt;Child Eligibility FTB(B)=Y</v>
      </c>
      <c r="M16" s="41" t="s">
        <v>322</v>
      </c>
      <c r="N16" s="41"/>
      <c r="O16" s="41" t="s">
        <v>410</v>
      </c>
      <c r="P16" s="41" t="s">
        <v>609</v>
      </c>
      <c r="Q16" s="41" t="s">
        <v>441</v>
      </c>
      <c r="R16" s="41" t="s">
        <v>14</v>
      </c>
      <c r="S16" s="41" t="s">
        <v>893</v>
      </c>
      <c r="T16" s="44" t="str">
        <f t="shared" ca="1" si="10"/>
        <v>015.FTB.Regression.NCL.Partnered customer.Income circ.Sec Inc GT Limit.Pri Inc GT Limit.Combined INC GT Limit</v>
      </c>
      <c r="U16" s="44" t="str">
        <f ca="1">CONCATENATE("&lt;HTML&gt;&lt;font color=#0000FF&gt;&lt;B&gt;PURPOSE:  &lt;/B&gt;&lt;/font&gt;&lt;BR&gt;",C16,"&lt;BR&gt;&lt;BR&gt;&lt;BR&gt;&lt;font color=#0000FF&gt;&lt;B&gt;Pre-requisites:  &lt;/B&gt;&lt;/font&gt;",D16,"&lt;BR&gt;&lt;BR&gt;&lt;font color=#0000FF&gt;&lt;B&gt;User Spec Name:  &lt;/B&gt;&lt;/font&gt;",Cover!$C$8,"&lt;BR&gt;",Cover!$F$8,"&lt;BR&gt;&lt;font color=#0000FF&gt;&lt;B&gt;User Spec Reference:  &lt;/B&gt;&lt;/font&gt;",B16,"&lt;/HTML&gt;")</f>
        <v>&lt;HTML&gt;&lt;font color=#0000FF&gt;&lt;B&gt;PURPOSE:  &lt;/B&gt;&lt;/font&gt;&lt;BR&gt;The purpose of the test is to verify &lt;BR&gt;&lt;BR&gt;&lt;BR&gt;&lt;BR&gt;Benefit Status=REJ-INC&lt;BR&gt;Review created on FAL screen=No Review&lt;BR&gt;Customer FTB (A) Status=CAN-INC&lt;BR&gt;Customer FTB (B) Status=REJ-INC&lt;BR&gt;Customer RA Status=N-NULL&lt;BR&gt;Child Eligibility FTB(A)=Y&lt;BR&gt;Child Eligibility FTB(B)=Y&lt;BR&gt;&lt;BR&gt; for below input circumstances&lt;BR&gt;&lt;BR&gt;&lt;B&gt;Customer  circumstances&lt;/B&gt;&lt;BR&gt;Residential Qualification = AU citizen&lt;BR&gt;Direct Credit details   = Coded&lt;BR&gt;TFN details = Coded&lt;BR&gt;Secondary Earner income = More than $ 27,613&lt;BR&gt;&lt;BR&gt;&lt;B&gt;Partner  circumstances&lt;/B&gt;&lt;BR&gt;Residential Qualification = AU citizen&lt;BR&gt;TFN details = Coded&lt;BR&gt;Primary Earner income = More than $100,000&lt;BR&gt;&lt;BR&gt;&lt;B&gt;Customer and Partner common circumstances&lt;/B&gt;&lt;BR&gt;Home ownership code = Home owner - HOM&lt;BR&gt;Relationship Qualifier = Blank&lt;BR&gt;Combined Income Limit = More than $99,414 per yr&lt;BR&gt;&lt;BR&gt;&lt;B&gt;Child  circumstances&lt;/B&gt;&lt;BR&gt;Number of Child(ren) = 1&lt;BR&gt;Age of Child = &lt;= 5yr&lt;BR&gt;Principal Care Type = Natural Care&lt;BR&gt;Care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1&lt;/HTML&gt;</v>
      </c>
      <c r="V16" s="44" t="str">
        <f t="shared" ca="1" si="8"/>
        <v>&lt;HTML&gt;Index a FTB/NCL with below circumstance description &lt;BR&gt;&lt;BR&gt;&lt;B&gt;Customer  circumstances&lt;/B&gt;&lt;BR&gt;Residential Qualification = AU citizen&lt;BR&gt;Direct Credit details   = Coded&lt;BR&gt;TFN details = Coded&lt;BR&gt;Secondary Earner income = More than $ 27,613&lt;BR&gt;&lt;BR&gt;&lt;B&gt;Partner  circumstances&lt;/B&gt;&lt;BR&gt;Residential Qualification = AU citizen&lt;BR&gt;TFN details = Coded&lt;BR&gt;Primary Earner income = More than $100,000&lt;BR&gt;&lt;BR&gt;&lt;B&gt;Customer and Partner common circumstances&lt;/B&gt;&lt;BR&gt;Home ownership code = Home owner - HOM&lt;BR&gt;Relationship Qualifier = Blank&lt;BR&gt;Combined Income Limit = More than $99,414 per yr&lt;BR&gt;&lt;BR&gt;&lt;B&gt;Child  circumstances&lt;/B&gt;&lt;BR&gt;Number of Child(ren) = 1&lt;BR&gt;Age of Child = &lt;= 5yr&lt;BR&gt;Principal Care Type = Natural Care&lt;BR&gt;Care Percentage = 100% of Customer's care&lt;/HTML&gt;</v>
      </c>
      <c r="W16" s="44" t="str">
        <f t="shared" ca="1" si="9"/>
        <v>&lt;HTML&gt;Verify Assessment and Eligibility outcome
&lt;BR&gt;&lt;BR&gt;Benefit Status=REJ-INC&lt;BR&gt;Review created on FAL screen=No Review&lt;BR&gt;Customer FTB (A) Status=CAN-INC&lt;BR&gt;Customer FTB (B) Status=REJ-INC&lt;BR&gt;Customer RA Status=N-NULL&lt;BR&gt;Child Eligibility FTB(A)=Y&lt;BR&gt;Child Eligibility FTB(B)=Y&lt;/HTML&gt;</v>
      </c>
    </row>
    <row r="17" spans="1:23" ht="409.5">
      <c r="A17" s="36">
        <f>IF(B17="","",COUNTIF($B$2:B17,"&lt;&gt;"&amp;""))</f>
        <v>16</v>
      </c>
      <c r="B17" s="37" t="s">
        <v>594</v>
      </c>
      <c r="C17" s="38" t="str">
        <f ca="1">FormatTest!A17</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ILB&lt;BR&gt;Combined Income Limit = Less than $99,414 per yr&lt;BR&gt;&lt;BR&gt;&lt;B&gt;Child  circumstances&lt;/B&gt;&lt;BR&gt;Number of Child(ren) = 1&lt;BR&gt;Age of Child = &lt;= 5yr&lt;BR&gt;Principal Care Type = Natural Care&lt;BR&gt;Care Percentage = 100% of Customer's care</v>
      </c>
      <c r="D17" s="38" t="s">
        <v>592</v>
      </c>
      <c r="E17" s="39" t="str">
        <f ca="1">FormatTest!C17</f>
        <v>&lt;BR&gt;&lt;BR&gt;Benefit Status=CUR&lt;BR&gt;Review created on FAL screen=No Review&lt;BR&gt;Customer FTB (A) Status=CUR&lt;BR&gt;Customer FTB (B) Status=CUR&lt;BR&gt;Customer RA Status=N-HOM&lt;BR&gt;Child Eligibility FTB(A)=Y&lt;BR&gt;Child Eligibility FTB(B)=Y</v>
      </c>
      <c r="F17" s="37" t="s">
        <v>13</v>
      </c>
      <c r="G17" s="37"/>
      <c r="H17" s="37"/>
      <c r="I17" s="41" t="str">
        <f ca="1">OFFSET(BuildTest!$D$202,MOD(ROW()-ROW($D$2),ROWS(BuildTest!$D$202:$D$202)),TRUNC((ROW()-ROW($D$2))/ROWS(BuildTest!$D$202:$D$202)),1,1)</f>
        <v>FTB.Regression.NCL.Partnered customer.Relationship qualifier circ.ILB</v>
      </c>
      <c r="J17" s="41" t="s">
        <v>16</v>
      </c>
      <c r="K17" s="41" t="str">
        <f ca="1">FormatTest!F17</f>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ILB&lt;BR&gt;Combined Income Limit = Less than $99,414 per yr&lt;BR&gt;&lt;BR&gt;&lt;B&gt;Child  circumstances&lt;/B&gt;&lt;BR&gt;Number of Child(ren) = 1&lt;BR&gt;Age of Child = &lt;= 5yr&lt;BR&gt;Principal Care Type = Natural Care&lt;BR&gt;Care Percentage = 100% of Customer's care</v>
      </c>
      <c r="L17" s="41" t="str">
        <f ca="1">FormatTest!G17</f>
        <v>Verify Assessment and Eligibility outcome
&lt;BR&gt;&lt;BR&gt;Benefit Status=CUR&lt;BR&gt;Review created on FAL screen=No Review&lt;BR&gt;Customer FTB (A) Status=CUR&lt;BR&gt;Customer FTB (B) Status=CUR&lt;BR&gt;Customer RA Status=N-HOM&lt;BR&gt;Child Eligibility FTB(A)=Y&lt;BR&gt;Child Eligibility FTB(B)=Y</v>
      </c>
      <c r="M17" s="41" t="s">
        <v>322</v>
      </c>
      <c r="N17" s="41"/>
      <c r="O17" s="41" t="s">
        <v>410</v>
      </c>
      <c r="P17" s="41" t="s">
        <v>609</v>
      </c>
      <c r="Q17" s="41" t="s">
        <v>441</v>
      </c>
      <c r="R17" s="41" t="s">
        <v>14</v>
      </c>
      <c r="S17" s="41" t="s">
        <v>893</v>
      </c>
      <c r="T17" s="44" t="str">
        <f t="shared" ref="T17:T35" ca="1" si="11">IF(ISBLANK(A17),"",IF(A17&lt;10,"00",IF(A17&gt;99,"","0"))&amp;A17&amp;IF(LEFT(I17,1)=".",I17,"."&amp;I17))</f>
        <v>016.FTB.Regression.NCL.Partnered customer.Relationship qualifier circ.ILB</v>
      </c>
      <c r="U17" s="44" t="str">
        <f ca="1">CONCATENATE("&lt;HTML&gt;&lt;font color=#0000FF&gt;&lt;B&gt;PURPOSE:  &lt;/B&gt;&lt;/font&gt;&lt;BR&gt;",C17,"&lt;BR&gt;&lt;BR&gt;&lt;BR&gt;&lt;font color=#0000FF&gt;&lt;B&gt;Pre-requisites:  &lt;/B&gt;&lt;/font&gt;",D17,"&lt;BR&gt;&lt;BR&gt;&lt;font color=#0000FF&gt;&lt;B&gt;User Spec Name:  &lt;/B&gt;&lt;/font&gt;",Cover!$C$8,"&lt;BR&gt;",Cover!$F$8,"&lt;BR&gt;&lt;font color=#0000FF&gt;&lt;B&gt;User Spec Reference:  &lt;/B&gt;&lt;/font&gt;",B17,"&lt;/HTML&gt;")</f>
        <v>&lt;HTML&gt;&lt;font color=#0000FF&gt;&lt;B&gt;PURPOSE:  &lt;/B&gt;&lt;/font&gt;&lt;BR&gt;The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ILB&lt;BR&gt;Combined Income Limit = Less than $99,414 per yr&lt;BR&gt;&lt;BR&gt;&lt;B&gt;Child  circumstances&lt;/B&gt;&lt;BR&gt;Number of Child(ren) = 1&lt;BR&gt;Age of Child = &lt;= 5yr&lt;BR&gt;Principal Care Type = Natural Care&lt;BR&gt;Care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1&lt;/HTML&gt;</v>
      </c>
      <c r="V17" s="44" t="str">
        <f t="shared" ref="V17:V35" ca="1" si="12">CONCATENATE("&lt;HTML&gt;",K17,"&lt;/HTML&gt;")</f>
        <v>&lt;HTML&gt;Index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ILB&lt;BR&gt;Combined Income Limit = Less than $99,414 per yr&lt;BR&gt;&lt;BR&gt;&lt;B&gt;Child  circumstances&lt;/B&gt;&lt;BR&gt;Number of Child(ren) = 1&lt;BR&gt;Age of Child = &lt;= 5yr&lt;BR&gt;Principal Care Type = Natural Care&lt;BR&gt;Care Percentage = 100% of Customer's care&lt;/HTML&gt;</v>
      </c>
      <c r="W17" s="44" t="str">
        <f t="shared" ref="W17:W35" ca="1" si="13">CONCATENATE("&lt;HTML&gt;",L17,"&lt;/HTML&gt;")</f>
        <v>&lt;HTML&gt;Verify Assessment and Eligibility outcome
&lt;BR&gt;&lt;BR&gt;Benefit Status=CUR&lt;BR&gt;Review created on FAL screen=No Review&lt;BR&gt;Customer FTB (A) Status=CUR&lt;BR&gt;Customer FTB (B) Status=CUR&lt;BR&gt;Customer RA Status=N-HOM&lt;BR&gt;Child Eligibility FTB(A)=Y&lt;BR&gt;Child Eligibility FTB(B)=Y&lt;/HTML&gt;</v>
      </c>
    </row>
    <row r="18" spans="1:23" ht="409.5">
      <c r="A18" s="36">
        <f>IF(B18="","",COUNTIF($B$2:B18,"&lt;&gt;"&amp;""))</f>
        <v>17</v>
      </c>
      <c r="B18" s="37" t="s">
        <v>594</v>
      </c>
      <c r="C18" s="38" t="str">
        <f ca="1">FormatTest!A18</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ILC&lt;BR&gt;Combined Income Limit = Less than $99,414 per yr&lt;BR&gt;&lt;BR&gt;&lt;B&gt;Child  circumstances&lt;/B&gt;&lt;BR&gt;Number of Child(ren) = 1&lt;BR&gt;Age of Child = &lt;= 5yr&lt;BR&gt;Principal Care Type = Natural Care&lt;BR&gt;Care Percentage = 100% of Customer's care</v>
      </c>
      <c r="D18" s="38" t="s">
        <v>592</v>
      </c>
      <c r="E18" s="39" t="str">
        <f ca="1">FormatTest!C18</f>
        <v>&lt;BR&gt;&lt;BR&gt;Benefit Status=CUR&lt;BR&gt;Review created on FAL screen=No Review&lt;BR&gt;Customer FTB (A) Status=CUR&lt;BR&gt;Customer FTB (B) Status=CUR&lt;BR&gt;Customer RA Status=N-HOM&lt;BR&gt;Child Eligibility FTB(A)=Y&lt;BR&gt;Child Eligibility FTB(B)=Y</v>
      </c>
      <c r="F18" s="37" t="s">
        <v>13</v>
      </c>
      <c r="G18" s="37"/>
      <c r="H18" s="37"/>
      <c r="I18" s="41" t="str">
        <f ca="1">OFFSET(BuildTest!$D$202,MOD(ROW()-ROW($D$2),ROWS(BuildTest!$D$202:$D$202)),TRUNC((ROW()-ROW($D$2))/ROWS(BuildTest!$D$202:$D$202)),1,1)</f>
        <v>FTB.Regression.NCL.Partnered customer.Relationship qualifier circ.ILC</v>
      </c>
      <c r="J18" s="41" t="s">
        <v>16</v>
      </c>
      <c r="K18" s="41" t="str">
        <f ca="1">FormatTest!F18</f>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ILC&lt;BR&gt;Combined Income Limit = Less than $99,414 per yr&lt;BR&gt;&lt;BR&gt;&lt;B&gt;Child  circumstances&lt;/B&gt;&lt;BR&gt;Number of Child(ren) = 1&lt;BR&gt;Age of Child = &lt;= 5yr&lt;BR&gt;Principal Care Type = Natural Care&lt;BR&gt;Care Percentage = 100% of Customer's care</v>
      </c>
      <c r="L18" s="41" t="str">
        <f ca="1">FormatTest!G18</f>
        <v>Verify Assessment and Eligibility outcome
&lt;BR&gt;&lt;BR&gt;Benefit Status=CUR&lt;BR&gt;Review created on FAL screen=No Review&lt;BR&gt;Customer FTB (A) Status=CUR&lt;BR&gt;Customer FTB (B) Status=CUR&lt;BR&gt;Customer RA Status=N-HOM&lt;BR&gt;Child Eligibility FTB(A)=Y&lt;BR&gt;Child Eligibility FTB(B)=Y</v>
      </c>
      <c r="M18" s="41" t="s">
        <v>322</v>
      </c>
      <c r="N18" s="41"/>
      <c r="O18" s="41" t="s">
        <v>410</v>
      </c>
      <c r="P18" s="41" t="s">
        <v>609</v>
      </c>
      <c r="Q18" s="41" t="s">
        <v>441</v>
      </c>
      <c r="R18" s="41" t="s">
        <v>14</v>
      </c>
      <c r="S18" s="41" t="s">
        <v>893</v>
      </c>
      <c r="T18" s="44" t="str">
        <f t="shared" ca="1" si="11"/>
        <v>017.FTB.Regression.NCL.Partnered customer.Relationship qualifier circ.ILC</v>
      </c>
      <c r="U18" s="44" t="str">
        <f ca="1">CONCATENATE("&lt;HTML&gt;&lt;font color=#0000FF&gt;&lt;B&gt;PURPOSE:  &lt;/B&gt;&lt;/font&gt;&lt;BR&gt;",C18,"&lt;BR&gt;&lt;BR&gt;&lt;BR&gt;&lt;font color=#0000FF&gt;&lt;B&gt;Pre-requisites:  &lt;/B&gt;&lt;/font&gt;",D18,"&lt;BR&gt;&lt;BR&gt;&lt;font color=#0000FF&gt;&lt;B&gt;User Spec Name:  &lt;/B&gt;&lt;/font&gt;",Cover!$C$8,"&lt;BR&gt;",Cover!$F$8,"&lt;BR&gt;&lt;font color=#0000FF&gt;&lt;B&gt;User Spec Reference:  &lt;/B&gt;&lt;/font&gt;",B18,"&lt;/HTML&gt;")</f>
        <v>&lt;HTML&gt;&lt;font color=#0000FF&gt;&lt;B&gt;PURPOSE:  &lt;/B&gt;&lt;/font&gt;&lt;BR&gt;The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ILC&lt;BR&gt;Combined Income Limit = Less than $99,414 per yr&lt;BR&gt;&lt;BR&gt;&lt;B&gt;Child  circumstances&lt;/B&gt;&lt;BR&gt;Number of Child(ren) = 1&lt;BR&gt;Age of Child = &lt;= 5yr&lt;BR&gt;Principal Care Type = Natural Care&lt;BR&gt;Care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1&lt;/HTML&gt;</v>
      </c>
      <c r="V18" s="44" t="str">
        <f t="shared" ca="1" si="12"/>
        <v>&lt;HTML&gt;Index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ILC&lt;BR&gt;Combined Income Limit = Less than $99,414 per yr&lt;BR&gt;&lt;BR&gt;&lt;B&gt;Child  circumstances&lt;/B&gt;&lt;BR&gt;Number of Child(ren) = 1&lt;BR&gt;Age of Child = &lt;= 5yr&lt;BR&gt;Principal Care Type = Natural Care&lt;BR&gt;Care Percentage = 100% of Customer's care&lt;/HTML&gt;</v>
      </c>
      <c r="W18" s="44" t="str">
        <f t="shared" ca="1" si="13"/>
        <v>&lt;HTML&gt;Verify Assessment and Eligibility outcome
&lt;BR&gt;&lt;BR&gt;Benefit Status=CUR&lt;BR&gt;Review created on FAL screen=No Review&lt;BR&gt;Customer FTB (A) Status=CUR&lt;BR&gt;Customer FTB (B) Status=CUR&lt;BR&gt;Customer RA Status=N-HOM&lt;BR&gt;Child Eligibility FTB(A)=Y&lt;BR&gt;Child Eligibility FTB(B)=Y&lt;/HTML&gt;</v>
      </c>
    </row>
    <row r="19" spans="1:23" ht="409.5">
      <c r="A19" s="36">
        <f>IF(B19="","",COUNTIF($B$2:B19,"&lt;&gt;"&amp;""))</f>
        <v>18</v>
      </c>
      <c r="B19" s="37" t="s">
        <v>594</v>
      </c>
      <c r="C19" s="38" t="str">
        <f ca="1">FormatTest!A19</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ILP&lt;BR&gt;Combined Income Limit = Less than $99,414 per yr&lt;BR&gt;&lt;BR&gt;&lt;B&gt;Child  circumstances&lt;/B&gt;&lt;BR&gt;Number of Child(ren) = 1&lt;BR&gt;Age of Child = &lt;= 5yr&lt;BR&gt;Principal Care Type = Natural Care&lt;BR&gt;Care Percentage = 100% of Customer's care</v>
      </c>
      <c r="D19" s="38" t="s">
        <v>592</v>
      </c>
      <c r="E19" s="39" t="str">
        <f ca="1">FormatTest!C19</f>
        <v>&lt;BR&gt;&lt;BR&gt;Benefit Status=CUR&lt;BR&gt;Review created on FAL screen=No Review&lt;BR&gt;Customer FTB (A) Status=CUR&lt;BR&gt;Customer FTB (B) Status=CUR&lt;BR&gt;Customer RA Status=N-HOM&lt;BR&gt;Child Eligibility FTB(A)=Y&lt;BR&gt;Child Eligibility FTB(B)=Y</v>
      </c>
      <c r="F19" s="37" t="s">
        <v>13</v>
      </c>
      <c r="G19" s="37"/>
      <c r="H19" s="37"/>
      <c r="I19" s="41" t="str">
        <f ca="1">OFFSET(BuildTest!$D$202,MOD(ROW()-ROW($D$2),ROWS(BuildTest!$D$202:$D$202)),TRUNC((ROW()-ROW($D$2))/ROWS(BuildTest!$D$202:$D$202)),1,1)</f>
        <v>FTB.Regression.NCL.Partnered customer.Relationship qualifier circ.ILP</v>
      </c>
      <c r="J19" s="41" t="s">
        <v>16</v>
      </c>
      <c r="K19" s="41" t="str">
        <f ca="1">FormatTest!F19</f>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ILP&lt;BR&gt;Combined Income Limit = Less than $99,414 per yr&lt;BR&gt;&lt;BR&gt;&lt;B&gt;Child  circumstances&lt;/B&gt;&lt;BR&gt;Number of Child(ren) = 1&lt;BR&gt;Age of Child = &lt;= 5yr&lt;BR&gt;Principal Care Type = Natural Care&lt;BR&gt;Care Percentage = 100% of Customer's care</v>
      </c>
      <c r="L19" s="41" t="str">
        <f ca="1">FormatTest!G19</f>
        <v>Verify Assessment and Eligibility outcome
&lt;BR&gt;&lt;BR&gt;Benefit Status=CUR&lt;BR&gt;Review created on FAL screen=No Review&lt;BR&gt;Customer FTB (A) Status=CUR&lt;BR&gt;Customer FTB (B) Status=CUR&lt;BR&gt;Customer RA Status=N-HOM&lt;BR&gt;Child Eligibility FTB(A)=Y&lt;BR&gt;Child Eligibility FTB(B)=Y</v>
      </c>
      <c r="M19" s="41" t="s">
        <v>322</v>
      </c>
      <c r="N19" s="41"/>
      <c r="O19" s="41" t="s">
        <v>410</v>
      </c>
      <c r="P19" s="41" t="s">
        <v>609</v>
      </c>
      <c r="Q19" s="41" t="s">
        <v>441</v>
      </c>
      <c r="R19" s="41" t="s">
        <v>14</v>
      </c>
      <c r="S19" s="41" t="s">
        <v>893</v>
      </c>
      <c r="T19" s="44" t="str">
        <f t="shared" ca="1" si="11"/>
        <v>018.FTB.Regression.NCL.Partnered customer.Relationship qualifier circ.ILP</v>
      </c>
      <c r="U19" s="44" t="str">
        <f ca="1">CONCATENATE("&lt;HTML&gt;&lt;font color=#0000FF&gt;&lt;B&gt;PURPOSE:  &lt;/B&gt;&lt;/font&gt;&lt;BR&gt;",C19,"&lt;BR&gt;&lt;BR&gt;&lt;BR&gt;&lt;font color=#0000FF&gt;&lt;B&gt;Pre-requisites:  &lt;/B&gt;&lt;/font&gt;",D19,"&lt;BR&gt;&lt;BR&gt;&lt;font color=#0000FF&gt;&lt;B&gt;User Spec Name:  &lt;/B&gt;&lt;/font&gt;",Cover!$C$8,"&lt;BR&gt;",Cover!$F$8,"&lt;BR&gt;&lt;font color=#0000FF&gt;&lt;B&gt;User Spec Reference:  &lt;/B&gt;&lt;/font&gt;",B19,"&lt;/HTML&gt;")</f>
        <v>&lt;HTML&gt;&lt;font color=#0000FF&gt;&lt;B&gt;PURPOSE:  &lt;/B&gt;&lt;/font&gt;&lt;BR&gt;The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ILP&lt;BR&gt;Combined Income Limit = Less than $99,414 per yr&lt;BR&gt;&lt;BR&gt;&lt;B&gt;Child  circumstances&lt;/B&gt;&lt;BR&gt;Number of Child(ren) = 1&lt;BR&gt;Age of Child = &lt;= 5yr&lt;BR&gt;Principal Care Type = Natural Care&lt;BR&gt;Care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1&lt;/HTML&gt;</v>
      </c>
      <c r="V19" s="44" t="str">
        <f t="shared" ca="1" si="12"/>
        <v>&lt;HTML&gt;Index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ILP&lt;BR&gt;Combined Income Limit = Less than $99,414 per yr&lt;BR&gt;&lt;BR&gt;&lt;B&gt;Child  circumstances&lt;/B&gt;&lt;BR&gt;Number of Child(ren) = 1&lt;BR&gt;Age of Child = &lt;= 5yr&lt;BR&gt;Principal Care Type = Natural Care&lt;BR&gt;Care Percentage = 100% of Customer's care&lt;/HTML&gt;</v>
      </c>
      <c r="W19" s="44" t="str">
        <f t="shared" ca="1" si="13"/>
        <v>&lt;HTML&gt;Verify Assessment and Eligibility outcome
&lt;BR&gt;&lt;BR&gt;Benefit Status=CUR&lt;BR&gt;Review created on FAL screen=No Review&lt;BR&gt;Customer FTB (A) Status=CUR&lt;BR&gt;Customer FTB (B) Status=CUR&lt;BR&gt;Customer RA Status=N-HOM&lt;BR&gt;Child Eligibility FTB(A)=Y&lt;BR&gt;Child Eligibility FTB(B)=Y&lt;/HTML&gt;</v>
      </c>
    </row>
    <row r="20" spans="1:23" ht="409.5">
      <c r="A20" s="36">
        <f>IF(B20="","",COUNTIF($B$2:B20,"&lt;&gt;"&amp;""))</f>
        <v>19</v>
      </c>
      <c r="B20" s="37" t="s">
        <v>594</v>
      </c>
      <c r="C20" s="38" t="str">
        <f ca="1">FormatTest!A20</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0&lt;BR&gt;Combined Income Limit = Less than $99,414 per yr&lt;BR&gt;&lt;BR&gt;&lt;B&gt;Child  circumstances&lt;/B&gt;&lt;BR&gt;Number of Child(ren) = 1&lt;BR&gt;Age of Child = &lt;= 5yr&lt;BR&gt;Principal Care Type = Natural Care&lt;BR&gt;Care Percentage = 100% of Customer's care</v>
      </c>
      <c r="D20" s="38" t="s">
        <v>592</v>
      </c>
      <c r="E20" s="39" t="str">
        <f ca="1">FormatTest!C20</f>
        <v>&lt;BR&gt;&lt;BR&gt;Benefit Status=CUR&lt;BR&gt;Review created on FAL screen=No Review&lt;BR&gt;Customer FTB (A) Status=CUR&lt;BR&gt;Customer FTB (B) Status=CUR&lt;BR&gt;Customer RA Status=N-HOM&lt;BR&gt;Child Eligibility FTB(A)=Y&lt;BR&gt;Child Eligibility FTB(B)=Y</v>
      </c>
      <c r="F20" s="37" t="s">
        <v>13</v>
      </c>
      <c r="G20" s="37"/>
      <c r="H20" s="37"/>
      <c r="I20" s="41" t="str">
        <f ca="1">OFFSET(BuildTest!$D$202,MOD(ROW()-ROW($D$2),ROWS(BuildTest!$D$202:$D$202)),TRUNC((ROW()-ROW($D$2))/ROWS(BuildTest!$D$202:$D$202)),1,1)</f>
        <v>FTB.Regression.NCL.Partnered customer.Relationship qualifier circ.TEB</v>
      </c>
      <c r="J20" s="41" t="s">
        <v>16</v>
      </c>
      <c r="K20" s="41" t="str">
        <f ca="1">FormatTest!F20</f>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0&lt;BR&gt;Combined Income Limit = Less than $99,414 per yr&lt;BR&gt;&lt;BR&gt;&lt;B&gt;Child  circumstances&lt;/B&gt;&lt;BR&gt;Number of Child(ren) = 1&lt;BR&gt;Age of Child = &lt;= 5yr&lt;BR&gt;Principal Care Type = Natural Care&lt;BR&gt;Care Percentage = 100% of Customer's care</v>
      </c>
      <c r="L20" s="41" t="str">
        <f ca="1">FormatTest!G20</f>
        <v>Verify Assessment and Eligibility outcome
&lt;BR&gt;&lt;BR&gt;Benefit Status=CUR&lt;BR&gt;Review created on FAL screen=No Review&lt;BR&gt;Customer FTB (A) Status=CUR&lt;BR&gt;Customer FTB (B) Status=CUR&lt;BR&gt;Customer RA Status=N-HOM&lt;BR&gt;Child Eligibility FTB(A)=Y&lt;BR&gt;Child Eligibility FTB(B)=Y</v>
      </c>
      <c r="M20" s="41" t="s">
        <v>322</v>
      </c>
      <c r="N20" s="41"/>
      <c r="O20" s="41" t="s">
        <v>410</v>
      </c>
      <c r="P20" s="41" t="s">
        <v>609</v>
      </c>
      <c r="Q20" s="41" t="s">
        <v>441</v>
      </c>
      <c r="R20" s="41" t="s">
        <v>14</v>
      </c>
      <c r="S20" s="41" t="s">
        <v>893</v>
      </c>
      <c r="T20" s="44" t="str">
        <f t="shared" ca="1" si="11"/>
        <v>019.FTB.Regression.NCL.Partnered customer.Relationship qualifier circ.TEB</v>
      </c>
      <c r="U20" s="44" t="str">
        <f ca="1">CONCATENATE("&lt;HTML&gt;&lt;font color=#0000FF&gt;&lt;B&gt;PURPOSE:  &lt;/B&gt;&lt;/font&gt;&lt;BR&gt;",C20,"&lt;BR&gt;&lt;BR&gt;&lt;BR&gt;&lt;font color=#0000FF&gt;&lt;B&gt;Pre-requisites:  &lt;/B&gt;&lt;/font&gt;",D20,"&lt;BR&gt;&lt;BR&gt;&lt;font color=#0000FF&gt;&lt;B&gt;User Spec Name:  &lt;/B&gt;&lt;/font&gt;",Cover!$C$8,"&lt;BR&gt;",Cover!$F$8,"&lt;BR&gt;&lt;font color=#0000FF&gt;&lt;B&gt;User Spec Reference:  &lt;/B&gt;&lt;/font&gt;",B20,"&lt;/HTML&gt;")</f>
        <v>&lt;HTML&gt;&lt;font color=#0000FF&gt;&lt;B&gt;PURPOSE:  &lt;/B&gt;&lt;/font&gt;&lt;BR&gt;The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0&lt;BR&gt;Combined Income Limit = Less than $99,414 per yr&lt;BR&gt;&lt;BR&gt;&lt;B&gt;Child  circumstances&lt;/B&gt;&lt;BR&gt;Number of Child(ren) = 1&lt;BR&gt;Age of Child = &lt;= 5yr&lt;BR&gt;Principal Care Type = Natural Care&lt;BR&gt;Care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1&lt;/HTML&gt;</v>
      </c>
      <c r="V20" s="44" t="str">
        <f t="shared" ca="1" si="12"/>
        <v>&lt;HTML&gt;Index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0&lt;BR&gt;Combined Income Limit = Less than $99,414 per yr&lt;BR&gt;&lt;BR&gt;&lt;B&gt;Child  circumstances&lt;/B&gt;&lt;BR&gt;Number of Child(ren) = 1&lt;BR&gt;Age of Child = &lt;= 5yr&lt;BR&gt;Principal Care Type = Natural Care&lt;BR&gt;Care Percentage = 100% of Customer's care&lt;/HTML&gt;</v>
      </c>
      <c r="W20" s="44" t="str">
        <f t="shared" ca="1" si="13"/>
        <v>&lt;HTML&gt;Verify Assessment and Eligibility outcome
&lt;BR&gt;&lt;BR&gt;Benefit Status=CUR&lt;BR&gt;Review created on FAL screen=No Review&lt;BR&gt;Customer FTB (A) Status=CUR&lt;BR&gt;Customer FTB (B) Status=CUR&lt;BR&gt;Customer RA Status=N-HOM&lt;BR&gt;Child Eligibility FTB(A)=Y&lt;BR&gt;Child Eligibility FTB(B)=Y&lt;/HTML&gt;</v>
      </c>
    </row>
    <row r="21" spans="1:23" ht="409.5">
      <c r="A21" s="36">
        <f>IF(B21="","",COUNTIF($B$2:B21,"&lt;&gt;"&amp;""))</f>
        <v>20</v>
      </c>
      <c r="B21" s="37" t="s">
        <v>594</v>
      </c>
      <c r="C21" s="38" t="str">
        <f ca="1">FormatTest!A21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TEC&lt;BR&gt;Combined Income Limit = Less than $99,414 per yr&lt;BR&gt;&lt;BR&gt;&lt;B&gt;Child  circumstances&lt;/B&gt;&lt;BR&gt;Number of Child(ren) = 1&lt;BR&gt;Age of Child = &lt;= 5yr&lt;BR&gt;Principal Care Type = Natural Care&lt;BR&gt;Care Percentage = 100% of Customer's care</v>
      </c>
      <c r="D21" s="38" t="s">
        <v>592</v>
      </c>
      <c r="E21" s="39" t="str">
        <f ca="1">FormatTest!C21</f>
        <v>&lt;BR&gt;&lt;BR&gt;Benefit Status=CUR&lt;BR&gt;Review created on FAL screen=No Review&lt;BR&gt;Customer FTB (A) Status=CUR&lt;BR&gt;Customer FTB (B) Status=CUR&lt;BR&gt;Customer RA Status=N-HOM&lt;BR&gt;Child Eligibility FTB(A)=Y&lt;BR&gt;Child Eligibility FTB(B)=Y</v>
      </c>
      <c r="F21" s="37" t="s">
        <v>13</v>
      </c>
      <c r="G21" s="37"/>
      <c r="H21" s="37"/>
      <c r="I21" s="41" t="str">
        <f ca="1">OFFSET(BuildTest!$D$202,MOD(ROW()-ROW($D$2),ROWS(BuildTest!$D$202:$D$202)),TRUNC((ROW()-ROW($D$2))/ROWS(BuildTest!$D$202:$D$202)),1,1)</f>
        <v>FTB.Regression.NCL.Partnered customer.Relationship qualifier circ.TEC</v>
      </c>
      <c r="J21" s="41" t="s">
        <v>16</v>
      </c>
      <c r="K21" s="41" t="str">
        <f ca="1">FormatTest!F21</f>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TEC&lt;BR&gt;Combined Income Limit = Less than $99,414 per yr&lt;BR&gt;&lt;BR&gt;&lt;B&gt;Child  circumstances&lt;/B&gt;&lt;BR&gt;Number of Child(ren) = 1&lt;BR&gt;Age of Child = &lt;= 5yr&lt;BR&gt;Principal Care Type = Natural Care&lt;BR&gt;Care Percentage = 100% of Customer's care</v>
      </c>
      <c r="L21" s="41" t="str">
        <f ca="1">FormatTest!G21</f>
        <v>Verify Assessment and Eligibility outcome
&lt;BR&gt;&lt;BR&gt;Benefit Status=CUR&lt;BR&gt;Review created on FAL screen=No Review&lt;BR&gt;Customer FTB (A) Status=CUR&lt;BR&gt;Customer FTB (B) Status=CUR&lt;BR&gt;Customer RA Status=N-HOM&lt;BR&gt;Child Eligibility FTB(A)=Y&lt;BR&gt;Child Eligibility FTB(B)=Y</v>
      </c>
      <c r="M21" s="41" t="s">
        <v>322</v>
      </c>
      <c r="N21" s="41"/>
      <c r="O21" s="41" t="s">
        <v>410</v>
      </c>
      <c r="P21" s="41" t="s">
        <v>609</v>
      </c>
      <c r="Q21" s="41" t="s">
        <v>441</v>
      </c>
      <c r="R21" s="41" t="s">
        <v>14</v>
      </c>
      <c r="S21" s="41" t="s">
        <v>893</v>
      </c>
      <c r="T21" s="44" t="str">
        <f t="shared" ca="1" si="11"/>
        <v>020.FTB.Regression.NCL.Partnered customer.Relationship qualifier circ.TEC</v>
      </c>
      <c r="U21" s="44" t="str">
        <f ca="1">CONCATENATE("&lt;HTML&gt;&lt;font color=#0000FF&gt;&lt;B&gt;PURPOSE:  &lt;/B&gt;&lt;/font&gt;&lt;BR&gt;",C21,"&lt;BR&gt;&lt;BR&gt;&lt;BR&gt;&lt;font color=#0000FF&gt;&lt;B&gt;Pre-requisites:  &lt;/B&gt;&lt;/font&gt;",D21,"&lt;BR&gt;&lt;BR&gt;&lt;font color=#0000FF&gt;&lt;B&gt;User Spec Name:  &lt;/B&gt;&lt;/font&gt;",Cover!$C$8,"&lt;BR&gt;",Cover!$F$8,"&lt;BR&gt;&lt;font color=#0000FF&gt;&lt;B&gt;User Spec Reference:  &lt;/B&gt;&lt;/font&gt;",B21,"&lt;/HTML&gt;")</f>
        <v>&lt;HTML&gt;&lt;font color=#0000FF&gt;&lt;B&gt;PURPOSE:  &lt;/B&gt;&lt;/font&gt;&lt;BR&gt;The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TEC&lt;BR&gt;Combined Income Limit = Less than $99,414 per yr&lt;BR&gt;&lt;BR&gt;&lt;B&gt;Child  circumstances&lt;/B&gt;&lt;BR&gt;Number of Child(ren) = 1&lt;BR&gt;Age of Child = &lt;= 5yr&lt;BR&gt;Principal Care Type = Natural Care&lt;BR&gt;Care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1&lt;/HTML&gt;</v>
      </c>
      <c r="V21" s="44" t="str">
        <f t="shared" ca="1" si="12"/>
        <v>&lt;HTML&gt;Index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TEC&lt;BR&gt;Combined Income Limit = Less than $99,414 per yr&lt;BR&gt;&lt;BR&gt;&lt;B&gt;Child  circumstances&lt;/B&gt;&lt;BR&gt;Number of Child(ren) = 1&lt;BR&gt;Age of Child = &lt;= 5yr&lt;BR&gt;Principal Care Type = Natural Care&lt;BR&gt;Care Percentage = 100% of Customer's care&lt;/HTML&gt;</v>
      </c>
      <c r="W21" s="44" t="str">
        <f t="shared" ca="1" si="13"/>
        <v>&lt;HTML&gt;Verify Assessment and Eligibility outcome
&lt;BR&gt;&lt;BR&gt;Benefit Status=CUR&lt;BR&gt;Review created on FAL screen=No Review&lt;BR&gt;Customer FTB (A) Status=CUR&lt;BR&gt;Customer FTB (B) Status=CUR&lt;BR&gt;Customer RA Status=N-HOM&lt;BR&gt;Child Eligibility FTB(A)=Y&lt;BR&gt;Child Eligibility FTB(B)=Y&lt;/HTML&gt;</v>
      </c>
    </row>
    <row r="22" spans="1:23" ht="409.5">
      <c r="A22" s="36">
        <f>IF(B22="","",COUNTIF($B$2:B22,"&lt;&gt;"&amp;""))</f>
        <v>21</v>
      </c>
      <c r="B22" s="37" t="s">
        <v>594</v>
      </c>
      <c r="C22" s="38" t="str">
        <f ca="1">FormatTest!A22</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TEP&lt;BR&gt;Combined Income Limit = Less than $99,414 per yr&lt;BR&gt;&lt;BR&gt;&lt;B&gt;Child  circumstances&lt;/B&gt;&lt;BR&gt;Number of Child(ren) = 1&lt;BR&gt;Age of Child = &lt;= 5yr&lt;BR&gt;Principal Care Type = Natural Care&lt;BR&gt;Care Percentage = 100% of Customer's care</v>
      </c>
      <c r="D22" s="38" t="s">
        <v>592</v>
      </c>
      <c r="E22" s="39" t="str">
        <f ca="1">FormatTest!C22</f>
        <v>&lt;BR&gt;&lt;BR&gt;Benefit Status=CUR&lt;BR&gt;Review created on FAL screen=No Review&lt;BR&gt;Customer FTB (A) Status=CUR&lt;BR&gt;Customer FTB (B) Status=CUR&lt;BR&gt;Customer RA Status=N-HOM&lt;BR&gt;Child Eligibility FTB(A)=Y&lt;BR&gt;Child Eligibility FTB(B)=Y</v>
      </c>
      <c r="F22" s="37" t="s">
        <v>13</v>
      </c>
      <c r="G22" s="37"/>
      <c r="H22" s="37"/>
      <c r="I22" s="41" t="str">
        <f ca="1">OFFSET(BuildTest!$D$202,MOD(ROW()-ROW($D$2),ROWS(BuildTest!$D$202:$D$202)),TRUNC((ROW()-ROW($D$2))/ROWS(BuildTest!$D$202:$D$202)),1,1)</f>
        <v>FTB.Regression.NCL.Partnered customer.Relationship qualifier circ.TEP</v>
      </c>
      <c r="J22" s="41" t="s">
        <v>16</v>
      </c>
      <c r="K22" s="41" t="str">
        <f ca="1">FormatTest!F22</f>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TEP&lt;BR&gt;Combined Income Limit = Less than $99,414 per yr&lt;BR&gt;&lt;BR&gt;&lt;B&gt;Child  circumstances&lt;/B&gt;&lt;BR&gt;Number of Child(ren) = 1&lt;BR&gt;Age of Child = &lt;= 5yr&lt;BR&gt;Principal Care Type = Natural Care&lt;BR&gt;Care Percentage = 100% of Customer's care</v>
      </c>
      <c r="L22" s="41" t="str">
        <f ca="1">FormatTest!G22</f>
        <v>Verify Assessment and Eligibility outcome
&lt;BR&gt;&lt;BR&gt;Benefit Status=CUR&lt;BR&gt;Review created on FAL screen=No Review&lt;BR&gt;Customer FTB (A) Status=CUR&lt;BR&gt;Customer FTB (B) Status=CUR&lt;BR&gt;Customer RA Status=N-HOM&lt;BR&gt;Child Eligibility FTB(A)=Y&lt;BR&gt;Child Eligibility FTB(B)=Y</v>
      </c>
      <c r="M22" s="41" t="s">
        <v>322</v>
      </c>
      <c r="N22" s="41"/>
      <c r="O22" s="41" t="s">
        <v>410</v>
      </c>
      <c r="P22" s="41" t="s">
        <v>609</v>
      </c>
      <c r="Q22" s="41" t="s">
        <v>441</v>
      </c>
      <c r="R22" s="41" t="s">
        <v>14</v>
      </c>
      <c r="S22" s="41" t="s">
        <v>893</v>
      </c>
      <c r="T22" s="44" t="str">
        <f t="shared" ca="1" si="11"/>
        <v>021.FTB.Regression.NCL.Partnered customer.Relationship qualifier circ.TEP</v>
      </c>
      <c r="U22" s="44" t="str">
        <f ca="1">CONCATENATE("&lt;HTML&gt;&lt;font color=#0000FF&gt;&lt;B&gt;PURPOSE:  &lt;/B&gt;&lt;/font&gt;&lt;BR&gt;",C22,"&lt;BR&gt;&lt;BR&gt;&lt;BR&gt;&lt;font color=#0000FF&gt;&lt;B&gt;Pre-requisites:  &lt;/B&gt;&lt;/font&gt;",D22,"&lt;BR&gt;&lt;BR&gt;&lt;font color=#0000FF&gt;&lt;B&gt;User Spec Name:  &lt;/B&gt;&lt;/font&gt;",Cover!$C$8,"&lt;BR&gt;",Cover!$F$8,"&lt;BR&gt;&lt;font color=#0000FF&gt;&lt;B&gt;User Spec Reference:  &lt;/B&gt;&lt;/font&gt;",B22,"&lt;/HTML&gt;")</f>
        <v>&lt;HTML&gt;&lt;font color=#0000FF&gt;&lt;B&gt;PURPOSE:  &lt;/B&gt;&lt;/font&gt;&lt;BR&gt;The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TEP&lt;BR&gt;Combined Income Limit = Less than $99,414 per yr&lt;BR&gt;&lt;BR&gt;&lt;B&gt;Child  circumstances&lt;/B&gt;&lt;BR&gt;Number of Child(ren) = 1&lt;BR&gt;Age of Child = &lt;= 5yr&lt;BR&gt;Principal Care Type = Natural Care&lt;BR&gt;Care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1&lt;/HTML&gt;</v>
      </c>
      <c r="V22" s="44" t="str">
        <f t="shared" ca="1" si="12"/>
        <v>&lt;HTML&gt;Index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TEP&lt;BR&gt;Combined Income Limit = Less than $99,414 per yr&lt;BR&gt;&lt;BR&gt;&lt;B&gt;Child  circumstances&lt;/B&gt;&lt;BR&gt;Number of Child(ren) = 1&lt;BR&gt;Age of Child = &lt;= 5yr&lt;BR&gt;Principal Care Type = Natural Care&lt;BR&gt;Care Percentage = 100% of Customer's care&lt;/HTML&gt;</v>
      </c>
      <c r="W22" s="44" t="str">
        <f t="shared" ca="1" si="13"/>
        <v>&lt;HTML&gt;Verify Assessment and Eligibility outcome
&lt;BR&gt;&lt;BR&gt;Benefit Status=CUR&lt;BR&gt;Review created on FAL screen=No Review&lt;BR&gt;Customer FTB (A) Status=CUR&lt;BR&gt;Customer FTB (B) Status=CUR&lt;BR&gt;Customer RA Status=N-HOM&lt;BR&gt;Child Eligibility FTB(A)=Y&lt;BR&gt;Child Eligibility FTB(B)=Y&lt;/HTML&gt;</v>
      </c>
    </row>
    <row r="23" spans="1:23" ht="409.5">
      <c r="A23" s="36">
        <f>IF(B23="","",COUNTIF($B$2:B23,"&lt;&gt;"&amp;""))</f>
        <v>22</v>
      </c>
      <c r="B23" s="37" t="s">
        <v>594</v>
      </c>
      <c r="C23" s="38" t="str">
        <f ca="1">FormatTest!A23</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GAC&lt;BR&gt;Combined Income Limit = Less than $99,414 per yr&lt;BR&gt;&lt;BR&gt;&lt;B&gt;Child  circumstances&lt;/B&gt;&lt;BR&gt;Number of Child(ren) = 1&lt;BR&gt;Age of Child = &lt;= 5yr&lt;BR&gt;Principal Care Type = Natural Care&lt;BR&gt;Care Percentage = 100% of Customer's care</v>
      </c>
      <c r="D23" s="38" t="s">
        <v>592</v>
      </c>
      <c r="E23" s="39" t="str">
        <f ca="1">FormatTest!C23</f>
        <v>&lt;BR&gt;&lt;BR&gt;Benefit Status=CUR&lt;BR&gt;Review created on FAL screen=No Review&lt;BR&gt;Customer FTB (A) Status=CUR&lt;BR&gt;Customer FTB (B) Status=CUR&lt;BR&gt;Customer RA Status=N-HOM&lt;BR&gt;Child Eligibility FTB(A)=Y&lt;BR&gt;Child Eligibility FTB(B)=Y</v>
      </c>
      <c r="F23" s="37" t="s">
        <v>13</v>
      </c>
      <c r="G23" s="37"/>
      <c r="H23" s="37"/>
      <c r="I23" s="41" t="str">
        <f ca="1">OFFSET(BuildTest!$D$202,MOD(ROW()-ROW($D$2),ROWS(BuildTest!$D$202:$D$202)),TRUNC((ROW()-ROW($D$2))/ROWS(BuildTest!$D$202:$D$202)),1,1)</f>
        <v>FTB.Regression.NCL.Partnered customer.Relationship qualifier circ.GAC</v>
      </c>
      <c r="J23" s="41" t="s">
        <v>16</v>
      </c>
      <c r="K23" s="41" t="str">
        <f ca="1">FormatTest!F23</f>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GAC&lt;BR&gt;Combined Income Limit = Less than $99,414 per yr&lt;BR&gt;&lt;BR&gt;&lt;B&gt;Child  circumstances&lt;/B&gt;&lt;BR&gt;Number of Child(ren) = 1&lt;BR&gt;Age of Child = &lt;= 5yr&lt;BR&gt;Principal Care Type = Natural Care&lt;BR&gt;Care Percentage = 100% of Customer's care</v>
      </c>
      <c r="L23" s="41" t="str">
        <f ca="1">FormatTest!G23</f>
        <v>Verify Assessment and Eligibility outcome
&lt;BR&gt;&lt;BR&gt;Benefit Status=CUR&lt;BR&gt;Review created on FAL screen=No Review&lt;BR&gt;Customer FTB (A) Status=CUR&lt;BR&gt;Customer FTB (B) Status=CUR&lt;BR&gt;Customer RA Status=N-HOM&lt;BR&gt;Child Eligibility FTB(A)=Y&lt;BR&gt;Child Eligibility FTB(B)=Y</v>
      </c>
      <c r="M23" s="41" t="s">
        <v>322</v>
      </c>
      <c r="N23" s="41"/>
      <c r="O23" s="41" t="s">
        <v>410</v>
      </c>
      <c r="P23" s="41" t="s">
        <v>609</v>
      </c>
      <c r="Q23" s="41" t="s">
        <v>441</v>
      </c>
      <c r="R23" s="41" t="s">
        <v>14</v>
      </c>
      <c r="S23" s="41" t="s">
        <v>893</v>
      </c>
      <c r="T23" s="44" t="str">
        <f t="shared" ca="1" si="11"/>
        <v>022.FTB.Regression.NCL.Partnered customer.Relationship qualifier circ.GAC</v>
      </c>
      <c r="U23" s="44" t="str">
        <f ca="1">CONCATENATE("&lt;HTML&gt;&lt;font color=#0000FF&gt;&lt;B&gt;PURPOSE:  &lt;/B&gt;&lt;/font&gt;&lt;BR&gt;",C23,"&lt;BR&gt;&lt;BR&gt;&lt;BR&gt;&lt;font color=#0000FF&gt;&lt;B&gt;Pre-requisites:  &lt;/B&gt;&lt;/font&gt;",D23,"&lt;BR&gt;&lt;BR&gt;&lt;font color=#0000FF&gt;&lt;B&gt;User Spec Name:  &lt;/B&gt;&lt;/font&gt;",Cover!$C$8,"&lt;BR&gt;",Cover!$F$8,"&lt;BR&gt;&lt;font color=#0000FF&gt;&lt;B&gt;User Spec Reference:  &lt;/B&gt;&lt;/font&gt;",B23,"&lt;/HTML&gt;")</f>
        <v>&lt;HTML&gt;&lt;font color=#0000FF&gt;&lt;B&gt;PURPOSE:  &lt;/B&gt;&lt;/font&gt;&lt;BR&gt;The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GAC&lt;BR&gt;Combined Income Limit = Less than $99,414 per yr&lt;BR&gt;&lt;BR&gt;&lt;B&gt;Child  circumstances&lt;/B&gt;&lt;BR&gt;Number of Child(ren) = 1&lt;BR&gt;Age of Child = &lt;= 5yr&lt;BR&gt;Principal Care Type = Natural Care&lt;BR&gt;Care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1&lt;/HTML&gt;</v>
      </c>
      <c r="V23" s="44" t="str">
        <f t="shared" ca="1" si="12"/>
        <v>&lt;HTML&gt;Index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GAC&lt;BR&gt;Combined Income Limit = Less than $99,414 per yr&lt;BR&gt;&lt;BR&gt;&lt;B&gt;Child  circumstances&lt;/B&gt;&lt;BR&gt;Number of Child(ren) = 1&lt;BR&gt;Age of Child = &lt;= 5yr&lt;BR&gt;Principal Care Type = Natural Care&lt;BR&gt;Care Percentage = 100% of Customer's care&lt;/HTML&gt;</v>
      </c>
      <c r="W23" s="44" t="str">
        <f t="shared" ca="1" si="13"/>
        <v>&lt;HTML&gt;Verify Assessment and Eligibility outcome
&lt;BR&gt;&lt;BR&gt;Benefit Status=CUR&lt;BR&gt;Review created on FAL screen=No Review&lt;BR&gt;Customer FTB (A) Status=CUR&lt;BR&gt;Customer FTB (B) Status=CUR&lt;BR&gt;Customer RA Status=N-HOM&lt;BR&gt;Child Eligibility FTB(A)=Y&lt;BR&gt;Child Eligibility FTB(B)=Y&lt;/HTML&gt;</v>
      </c>
    </row>
    <row r="24" spans="1:23" ht="409.5">
      <c r="A24" s="36">
        <f>IF(B24="","",COUNTIF($B$2:B24,"&lt;&gt;"&amp;""))</f>
        <v>23</v>
      </c>
      <c r="B24" s="37" t="s">
        <v>594</v>
      </c>
      <c r="C24" s="38" t="str">
        <f ca="1">FormatTest!A24</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GAP&lt;BR&gt;Combined Income Limit = Less than $99,414 per yr&lt;BR&gt;&lt;BR&gt;&lt;B&gt;Child  circumstances&lt;/B&gt;&lt;BR&gt;Number of Child(ren) = 1&lt;BR&gt;Age of Child = &lt;= 5yr&lt;BR&gt;Principal Care Type = Natural Care&lt;BR&gt;Care Percentage = 100% of Customer's care</v>
      </c>
      <c r="D24" s="38" t="s">
        <v>592</v>
      </c>
      <c r="E24" s="39" t="str">
        <f ca="1">FormatTest!C24</f>
        <v>&lt;BR&gt;&lt;BR&gt;Benefit Status=CUR&lt;BR&gt;Review created on FAL screen=No Review&lt;BR&gt;Customer FTB (A) Status=CUR&lt;BR&gt;Customer FTB (B) Status=CUR&lt;BR&gt;Customer RA Status=N-HOM&lt;BR&gt;Child Eligibility FTB(A)=Y&lt;BR&gt;Child Eligibility FTB(B)=Y</v>
      </c>
      <c r="F24" s="37" t="s">
        <v>13</v>
      </c>
      <c r="G24" s="37"/>
      <c r="H24" s="37"/>
      <c r="I24" s="41" t="str">
        <f ca="1">OFFSET(BuildTest!$D$202,MOD(ROW()-ROW($D$2),ROWS(BuildTest!$D$202:$D$202)),TRUNC((ROW()-ROW($D$2))/ROWS(BuildTest!$D$202:$D$202)),1,1)</f>
        <v>FTB.Regression.NCL.Partnered customer.Relationship qualifier circ.GAP</v>
      </c>
      <c r="J24" s="41" t="s">
        <v>16</v>
      </c>
      <c r="K24" s="41" t="str">
        <f ca="1">FormatTest!F24</f>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GAP&lt;BR&gt;Combined Income Limit = Less than $99,414 per yr&lt;BR&gt;&lt;BR&gt;&lt;B&gt;Child  circumstances&lt;/B&gt;&lt;BR&gt;Number of Child(ren) = 1&lt;BR&gt;Age of Child = &lt;= 5yr&lt;BR&gt;Principal Care Type = Natural Care&lt;BR&gt;Care Percentage = 100% of Customer's care</v>
      </c>
      <c r="L24" s="41" t="str">
        <f ca="1">FormatTest!G24</f>
        <v>Verify Assessment and Eligibility outcome
&lt;BR&gt;&lt;BR&gt;Benefit Status=CUR&lt;BR&gt;Review created on FAL screen=No Review&lt;BR&gt;Customer FTB (A) Status=CUR&lt;BR&gt;Customer FTB (B) Status=CUR&lt;BR&gt;Customer RA Status=N-HOM&lt;BR&gt;Child Eligibility FTB(A)=Y&lt;BR&gt;Child Eligibility FTB(B)=Y</v>
      </c>
      <c r="M24" s="41" t="s">
        <v>322</v>
      </c>
      <c r="N24" s="41"/>
      <c r="O24" s="41" t="s">
        <v>410</v>
      </c>
      <c r="P24" s="41" t="s">
        <v>609</v>
      </c>
      <c r="Q24" s="41" t="s">
        <v>441</v>
      </c>
      <c r="R24" s="41" t="s">
        <v>14</v>
      </c>
      <c r="S24" s="41" t="s">
        <v>893</v>
      </c>
      <c r="T24" s="44" t="str">
        <f t="shared" ca="1" si="11"/>
        <v>023.FTB.Regression.NCL.Partnered customer.Relationship qualifier circ.GAP</v>
      </c>
      <c r="U24" s="44" t="str">
        <f ca="1">CONCATENATE("&lt;HTML&gt;&lt;font color=#0000FF&gt;&lt;B&gt;PURPOSE:  &lt;/B&gt;&lt;/font&gt;&lt;BR&gt;",C24,"&lt;BR&gt;&lt;BR&gt;&lt;BR&gt;&lt;font color=#0000FF&gt;&lt;B&gt;Pre-requisites:  &lt;/B&gt;&lt;/font&gt;",D24,"&lt;BR&gt;&lt;BR&gt;&lt;font color=#0000FF&gt;&lt;B&gt;User Spec Name:  &lt;/B&gt;&lt;/font&gt;",Cover!$C$8,"&lt;BR&gt;",Cover!$F$8,"&lt;BR&gt;&lt;font color=#0000FF&gt;&lt;B&gt;User Spec Reference:  &lt;/B&gt;&lt;/font&gt;",B24,"&lt;/HTML&gt;")</f>
        <v>&lt;HTML&gt;&lt;font color=#0000FF&gt;&lt;B&gt;PURPOSE:  &lt;/B&gt;&lt;/font&gt;&lt;BR&gt;The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GAP&lt;BR&gt;Combined Income Limit = Less than $99,414 per yr&lt;BR&gt;&lt;BR&gt;&lt;B&gt;Child  circumstances&lt;/B&gt;&lt;BR&gt;Number of Child(ren) = 1&lt;BR&gt;Age of Child = &lt;= 5yr&lt;BR&gt;Principal Care Type = Natural Care&lt;BR&gt;Care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1&lt;/HTML&gt;</v>
      </c>
      <c r="V24" s="44" t="str">
        <f t="shared" ca="1" si="12"/>
        <v>&lt;HTML&gt;Index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GAP&lt;BR&gt;Combined Income Limit = Less than $99,414 per yr&lt;BR&gt;&lt;BR&gt;&lt;B&gt;Child  circumstances&lt;/B&gt;&lt;BR&gt;Number of Child(ren) = 1&lt;BR&gt;Age of Child = &lt;= 5yr&lt;BR&gt;Principal Care Type = Natural Care&lt;BR&gt;Care Percentage = 100% of Customer's care&lt;/HTML&gt;</v>
      </c>
      <c r="W24" s="44" t="str">
        <f t="shared" ca="1" si="13"/>
        <v>&lt;HTML&gt;Verify Assessment and Eligibility outcome
&lt;BR&gt;&lt;BR&gt;Benefit Status=CUR&lt;BR&gt;Review created on FAL screen=No Review&lt;BR&gt;Customer FTB (A) Status=CUR&lt;BR&gt;Customer FTB (B) Status=CUR&lt;BR&gt;Customer RA Status=N-HOM&lt;BR&gt;Child Eligibility FTB(A)=Y&lt;BR&gt;Child Eligibility FTB(B)=Y&lt;/HTML&gt;</v>
      </c>
    </row>
    <row r="25" spans="1:23" ht="409.5">
      <c r="A25" s="36">
        <f>IF(B25="","",COUNTIF($B$2:B25,"&lt;&gt;"&amp;""))</f>
        <v>24</v>
      </c>
      <c r="B25" s="37" t="s">
        <v>594</v>
      </c>
      <c r="C25" s="38" t="str">
        <f ca="1">FormatTest!A25</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PSB&lt;BR&gt;Combined Income Limit = Less than $99,414 per yr&lt;BR&gt;&lt;BR&gt;&lt;B&gt;Child  circumstances&lt;/B&gt;&lt;BR&gt;Number of Child(ren) = 1&lt;BR&gt;Age of Child = &lt;= 5yr&lt;BR&gt;Principal Care Type = Natural Care&lt;BR&gt;Care Percentage = 100% of Customer's care</v>
      </c>
      <c r="D25" s="38" t="s">
        <v>592</v>
      </c>
      <c r="E25" s="39" t="str">
        <f ca="1">FormatTest!C25</f>
        <v>&lt;BR&gt;&lt;BR&gt;Benefit Status=CUR&lt;BR&gt;Review created on FAL screen=No Review&lt;BR&gt;Customer FTB (A) Status=CUR&lt;BR&gt;Customer FTB (B) Status=CUR&lt;BR&gt;Customer RA Status=N-HOM&lt;BR&gt;Child Eligibility FTB(A)=Y&lt;BR&gt;Child Eligibility FTB(B)=Y</v>
      </c>
      <c r="F25" s="37" t="s">
        <v>13</v>
      </c>
      <c r="G25" s="37"/>
      <c r="H25" s="37"/>
      <c r="I25" s="41" t="str">
        <f ca="1">OFFSET(BuildTest!$D$202,MOD(ROW()-ROW($D$2),ROWS(BuildTest!$D$202:$D$202)),TRUNC((ROW()-ROW($D$2))/ROWS(BuildTest!$D$202:$D$202)),1,1)</f>
        <v>FTB.Regression.NCL.Partnered customer.Relationship qualifier circ.PSB</v>
      </c>
      <c r="J25" s="41" t="s">
        <v>16</v>
      </c>
      <c r="K25" s="41" t="str">
        <f ca="1">FormatTest!F25</f>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PSB&lt;BR&gt;Combined Income Limit = Less than $99,414 per yr&lt;BR&gt;&lt;BR&gt;&lt;B&gt;Child  circumstances&lt;/B&gt;&lt;BR&gt;Number of Child(ren) = 1&lt;BR&gt;Age of Child = &lt;= 5yr&lt;BR&gt;Principal Care Type = Natural Care&lt;BR&gt;Care Percentage = 100% of Customer's care</v>
      </c>
      <c r="L25" s="41" t="str">
        <f ca="1">FormatTest!G25</f>
        <v>Verify Assessment and Eligibility outcome
&lt;BR&gt;&lt;BR&gt;Benefit Status=CUR&lt;BR&gt;Review created on FAL screen=No Review&lt;BR&gt;Customer FTB (A) Status=CUR&lt;BR&gt;Customer FTB (B) Status=CUR&lt;BR&gt;Customer RA Status=N-HOM&lt;BR&gt;Child Eligibility FTB(A)=Y&lt;BR&gt;Child Eligibility FTB(B)=Y</v>
      </c>
      <c r="M25" s="41" t="s">
        <v>322</v>
      </c>
      <c r="N25" s="41"/>
      <c r="O25" s="41" t="s">
        <v>410</v>
      </c>
      <c r="P25" s="41" t="s">
        <v>609</v>
      </c>
      <c r="Q25" s="41" t="s">
        <v>441</v>
      </c>
      <c r="R25" s="41" t="s">
        <v>14</v>
      </c>
      <c r="S25" s="41" t="s">
        <v>893</v>
      </c>
      <c r="T25" s="44" t="str">
        <f t="shared" ca="1" si="11"/>
        <v>024.FTB.Regression.NCL.Partnered customer.Relationship qualifier circ.PSB</v>
      </c>
      <c r="U25" s="44" t="str">
        <f ca="1">CONCATENATE("&lt;HTML&gt;&lt;font color=#0000FF&gt;&lt;B&gt;PURPOSE:  &lt;/B&gt;&lt;/font&gt;&lt;BR&gt;",C25,"&lt;BR&gt;&lt;BR&gt;&lt;BR&gt;&lt;font color=#0000FF&gt;&lt;B&gt;Pre-requisites:  &lt;/B&gt;&lt;/font&gt;",D25,"&lt;BR&gt;&lt;BR&gt;&lt;font color=#0000FF&gt;&lt;B&gt;User Spec Name:  &lt;/B&gt;&lt;/font&gt;",Cover!$C$8,"&lt;BR&gt;",Cover!$F$8,"&lt;BR&gt;&lt;font color=#0000FF&gt;&lt;B&gt;User Spec Reference:  &lt;/B&gt;&lt;/font&gt;",B25,"&lt;/HTML&gt;")</f>
        <v>&lt;HTML&gt;&lt;font color=#0000FF&gt;&lt;B&gt;PURPOSE:  &lt;/B&gt;&lt;/font&gt;&lt;BR&gt;The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PSB&lt;BR&gt;Combined Income Limit = Less than $99,414 per yr&lt;BR&gt;&lt;BR&gt;&lt;B&gt;Child  circumstances&lt;/B&gt;&lt;BR&gt;Number of Child(ren) = 1&lt;BR&gt;Age of Child = &lt;= 5yr&lt;BR&gt;Principal Care Type = Natural Care&lt;BR&gt;Care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1&lt;/HTML&gt;</v>
      </c>
      <c r="V25" s="44" t="str">
        <f t="shared" ca="1" si="12"/>
        <v>&lt;HTML&gt;Index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PSB&lt;BR&gt;Combined Income Limit = Less than $99,414 per yr&lt;BR&gt;&lt;BR&gt;&lt;B&gt;Child  circumstances&lt;/B&gt;&lt;BR&gt;Number of Child(ren) = 1&lt;BR&gt;Age of Child = &lt;= 5yr&lt;BR&gt;Principal Care Type = Natural Care&lt;BR&gt;Care Percentage = 100% of Customer's care&lt;/HTML&gt;</v>
      </c>
      <c r="W25" s="44" t="str">
        <f t="shared" ca="1" si="13"/>
        <v>&lt;HTML&gt;Verify Assessment and Eligibility outcome
&lt;BR&gt;&lt;BR&gt;Benefit Status=CUR&lt;BR&gt;Review created on FAL screen=No Review&lt;BR&gt;Customer FTB (A) Status=CUR&lt;BR&gt;Customer FTB (B) Status=CUR&lt;BR&gt;Customer RA Status=N-HOM&lt;BR&gt;Child Eligibility FTB(A)=Y&lt;BR&gt;Child Eligibility FTB(B)=Y&lt;/HTML&gt;</v>
      </c>
    </row>
    <row r="26" spans="1:23" ht="409.5">
      <c r="A26" s="36">
        <f>IF(B26="","",COUNTIF($B$2:B26,"&lt;&gt;"&amp;""))</f>
        <v>25</v>
      </c>
      <c r="B26" s="37" t="s">
        <v>594</v>
      </c>
      <c r="C26" s="38" t="str">
        <f ca="1">FormatTest!A26</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PSC&lt;BR&gt;Combined Income Limit = Less than $99,414 per yr&lt;BR&gt;&lt;BR&gt;&lt;B&gt;Child  circumstances&lt;/B&gt;&lt;BR&gt;Number of Child(ren) = 1&lt;BR&gt;Age of Child = &lt;= 5yr&lt;BR&gt;Principal Care Type = Natural Care&lt;BR&gt;Care Percentage = 100% of Customer's care</v>
      </c>
      <c r="D26" s="38" t="s">
        <v>592</v>
      </c>
      <c r="E26" s="39" t="str">
        <f ca="1">FormatTest!C26</f>
        <v>&lt;BR&gt;&lt;BR&gt;Benefit Status=CUR&lt;BR&gt;Review created on FAL screen=No Review&lt;BR&gt;Customer FTB (A) Status=CUR&lt;BR&gt;Customer FTB (B) Status=CUR&lt;BR&gt;Customer RA Status=N-HOM&lt;BR&gt;Child Eligibility FTB(A)=Y&lt;BR&gt;Child Eligibility FTB(B)=Y</v>
      </c>
      <c r="F26" s="37" t="s">
        <v>13</v>
      </c>
      <c r="G26" s="37"/>
      <c r="H26" s="37"/>
      <c r="I26" s="41" t="str">
        <f ca="1">OFFSET(BuildTest!$D$202,MOD(ROW()-ROW($D$2),ROWS(BuildTest!$D$202:$D$202)),TRUNC((ROW()-ROW($D$2))/ROWS(BuildTest!$D$202:$D$202)),1,1)</f>
        <v>FTB.Regression.NCL.Partnered customer.Relationship qualifier circ.PSC</v>
      </c>
      <c r="J26" s="41" t="s">
        <v>16</v>
      </c>
      <c r="K26" s="41" t="str">
        <f ca="1">FormatTest!F26</f>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PSC&lt;BR&gt;Combined Income Limit = Less than $99,414 per yr&lt;BR&gt;&lt;BR&gt;&lt;B&gt;Child  circumstances&lt;/B&gt;&lt;BR&gt;Number of Child(ren) = 1&lt;BR&gt;Age of Child = &lt;= 5yr&lt;BR&gt;Principal Care Type = Natural Care&lt;BR&gt;Care Percentage = 100% of Customer's care</v>
      </c>
      <c r="L26" s="41" t="str">
        <f ca="1">FormatTest!G26</f>
        <v>Verify Assessment and Eligibility outcome
&lt;BR&gt;&lt;BR&gt;Benefit Status=CUR&lt;BR&gt;Review created on FAL screen=No Review&lt;BR&gt;Customer FTB (A) Status=CUR&lt;BR&gt;Customer FTB (B) Status=CUR&lt;BR&gt;Customer RA Status=N-HOM&lt;BR&gt;Child Eligibility FTB(A)=Y&lt;BR&gt;Child Eligibility FTB(B)=Y</v>
      </c>
      <c r="M26" s="41" t="s">
        <v>322</v>
      </c>
      <c r="N26" s="41"/>
      <c r="O26" s="41" t="s">
        <v>410</v>
      </c>
      <c r="P26" s="41" t="s">
        <v>609</v>
      </c>
      <c r="Q26" s="41" t="s">
        <v>441</v>
      </c>
      <c r="R26" s="41" t="s">
        <v>14</v>
      </c>
      <c r="S26" s="41" t="s">
        <v>893</v>
      </c>
      <c r="T26" s="44" t="str">
        <f t="shared" ca="1" si="11"/>
        <v>025.FTB.Regression.NCL.Partnered customer.Relationship qualifier circ.PSC</v>
      </c>
      <c r="U26" s="44" t="str">
        <f ca="1">CONCATENATE("&lt;HTML&gt;&lt;font color=#0000FF&gt;&lt;B&gt;PURPOSE:  &lt;/B&gt;&lt;/font&gt;&lt;BR&gt;",C26,"&lt;BR&gt;&lt;BR&gt;&lt;BR&gt;&lt;font color=#0000FF&gt;&lt;B&gt;Pre-requisites:  &lt;/B&gt;&lt;/font&gt;",D26,"&lt;BR&gt;&lt;BR&gt;&lt;font color=#0000FF&gt;&lt;B&gt;User Spec Name:  &lt;/B&gt;&lt;/font&gt;",Cover!$C$8,"&lt;BR&gt;",Cover!$F$8,"&lt;BR&gt;&lt;font color=#0000FF&gt;&lt;B&gt;User Spec Reference:  &lt;/B&gt;&lt;/font&gt;",B26,"&lt;/HTML&gt;")</f>
        <v>&lt;HTML&gt;&lt;font color=#0000FF&gt;&lt;B&gt;PURPOSE:  &lt;/B&gt;&lt;/font&gt;&lt;BR&gt;The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PSC&lt;BR&gt;Combined Income Limit = Less than $99,414 per yr&lt;BR&gt;&lt;BR&gt;&lt;B&gt;Child  circumstances&lt;/B&gt;&lt;BR&gt;Number of Child(ren) = 1&lt;BR&gt;Age of Child = &lt;= 5yr&lt;BR&gt;Principal Care Type = Natural Care&lt;BR&gt;Care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1&lt;/HTML&gt;</v>
      </c>
      <c r="V26" s="44" t="str">
        <f t="shared" ca="1" si="12"/>
        <v>&lt;HTML&gt;Index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PSC&lt;BR&gt;Combined Income Limit = Less than $99,414 per yr&lt;BR&gt;&lt;BR&gt;&lt;B&gt;Child  circumstances&lt;/B&gt;&lt;BR&gt;Number of Child(ren) = 1&lt;BR&gt;Age of Child = &lt;= 5yr&lt;BR&gt;Principal Care Type = Natural Care&lt;BR&gt;Care Percentage = 100% of Customer's care&lt;/HTML&gt;</v>
      </c>
      <c r="W26" s="44" t="str">
        <f t="shared" ca="1" si="13"/>
        <v>&lt;HTML&gt;Verify Assessment and Eligibility outcome
&lt;BR&gt;&lt;BR&gt;Benefit Status=CUR&lt;BR&gt;Review created on FAL screen=No Review&lt;BR&gt;Customer FTB (A) Status=CUR&lt;BR&gt;Customer FTB (B) Status=CUR&lt;BR&gt;Customer RA Status=N-HOM&lt;BR&gt;Child Eligibility FTB(A)=Y&lt;BR&gt;Child Eligibility FTB(B)=Y&lt;/HTML&gt;</v>
      </c>
    </row>
    <row r="27" spans="1:23" ht="409.5">
      <c r="A27" s="36">
        <f>IF(B27="","",COUNTIF($B$2:B27,"&lt;&gt;"&amp;""))</f>
        <v>26</v>
      </c>
      <c r="B27" s="37" t="s">
        <v>594</v>
      </c>
      <c r="C27" s="38" t="str">
        <f ca="1">FormatTest!A27</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PSP&lt;BR&gt;Combined Income Limit = Less than $99,414 per yr&lt;BR&gt;&lt;BR&gt;&lt;B&gt;Child  circumstances&lt;/B&gt;&lt;BR&gt;Number of Child(ren) = 1&lt;BR&gt;Age of Child = &lt;= 5yr&lt;BR&gt;Principal Care Type = Natural Care&lt;BR&gt;Care Percentage = 100% of Customer's care</v>
      </c>
      <c r="D27" s="38" t="s">
        <v>592</v>
      </c>
      <c r="E27" s="39" t="str">
        <f ca="1">FormatTest!C27</f>
        <v>&lt;BR&gt;&lt;BR&gt;Benefit Status=CUR&lt;BR&gt;Review created on FAL screen=No Review&lt;BR&gt;Customer FTB (A) Status=CUR&lt;BR&gt;Customer FTB (B) Status=CUR&lt;BR&gt;Customer RA Status=N-HOM&lt;BR&gt;Child Eligibility FTB(A)=Y&lt;BR&gt;Child Eligibility FTB(B)=Y</v>
      </c>
      <c r="F27" s="37" t="s">
        <v>13</v>
      </c>
      <c r="G27" s="37"/>
      <c r="H27" s="37"/>
      <c r="I27" s="41" t="str">
        <f ca="1">OFFSET(BuildTest!$D$202,MOD(ROW()-ROW($D$2),ROWS(BuildTest!$D$202:$D$202)),TRUNC((ROW()-ROW($D$2))/ROWS(BuildTest!$D$202:$D$202)),1,1)</f>
        <v>FTB.Regression.NCL.Partnered customer.Relationship qualifier circ.PSP</v>
      </c>
      <c r="J27" s="41" t="s">
        <v>16</v>
      </c>
      <c r="K27" s="41" t="str">
        <f ca="1">FormatTest!F27</f>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PSP&lt;BR&gt;Combined Income Limit = Less than $99,414 per yr&lt;BR&gt;&lt;BR&gt;&lt;B&gt;Child  circumstances&lt;/B&gt;&lt;BR&gt;Number of Child(ren) = 1&lt;BR&gt;Age of Child = &lt;= 5yr&lt;BR&gt;Principal Care Type = Natural Care&lt;BR&gt;Care Percentage = 100% of Customer's care</v>
      </c>
      <c r="L27" s="41" t="str">
        <f ca="1">FormatTest!G27</f>
        <v>Verify Assessment and Eligibility outcome
&lt;BR&gt;&lt;BR&gt;Benefit Status=CUR&lt;BR&gt;Review created on FAL screen=No Review&lt;BR&gt;Customer FTB (A) Status=CUR&lt;BR&gt;Customer FTB (B) Status=CUR&lt;BR&gt;Customer RA Status=N-HOM&lt;BR&gt;Child Eligibility FTB(A)=Y&lt;BR&gt;Child Eligibility FTB(B)=Y</v>
      </c>
      <c r="M27" s="41" t="s">
        <v>322</v>
      </c>
      <c r="N27" s="41"/>
      <c r="O27" s="41" t="s">
        <v>410</v>
      </c>
      <c r="P27" s="41" t="s">
        <v>609</v>
      </c>
      <c r="Q27" s="41" t="s">
        <v>441</v>
      </c>
      <c r="R27" s="41" t="s">
        <v>14</v>
      </c>
      <c r="S27" s="41" t="s">
        <v>893</v>
      </c>
      <c r="T27" s="44" t="str">
        <f t="shared" ca="1" si="11"/>
        <v>026.FTB.Regression.NCL.Partnered customer.Relationship qualifier circ.PSP</v>
      </c>
      <c r="U27" s="44" t="str">
        <f ca="1">CONCATENATE("&lt;HTML&gt;&lt;font color=#0000FF&gt;&lt;B&gt;PURPOSE:  &lt;/B&gt;&lt;/font&gt;&lt;BR&gt;",C27,"&lt;BR&gt;&lt;BR&gt;&lt;BR&gt;&lt;font color=#0000FF&gt;&lt;B&gt;Pre-requisites:  &lt;/B&gt;&lt;/font&gt;",D27,"&lt;BR&gt;&lt;BR&gt;&lt;font color=#0000FF&gt;&lt;B&gt;User Spec Name:  &lt;/B&gt;&lt;/font&gt;",Cover!$C$8,"&lt;BR&gt;",Cover!$F$8,"&lt;BR&gt;&lt;font color=#0000FF&gt;&lt;B&gt;User Spec Reference:  &lt;/B&gt;&lt;/font&gt;",B27,"&lt;/HTML&gt;")</f>
        <v>&lt;HTML&gt;&lt;font color=#0000FF&gt;&lt;B&gt;PURPOSE:  &lt;/B&gt;&lt;/font&gt;&lt;BR&gt;The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PSP&lt;BR&gt;Combined Income Limit = Less than $99,414 per yr&lt;BR&gt;&lt;BR&gt;&lt;B&gt;Child  circumstances&lt;/B&gt;&lt;BR&gt;Number of Child(ren) = 1&lt;BR&gt;Age of Child = &lt;= 5yr&lt;BR&gt;Principal Care Type = Natural Care&lt;BR&gt;Care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1&lt;/HTML&gt;</v>
      </c>
      <c r="V27" s="44" t="str">
        <f t="shared" ca="1" si="12"/>
        <v>&lt;HTML&gt;Index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PSP&lt;BR&gt;Combined Income Limit = Less than $99,414 per yr&lt;BR&gt;&lt;BR&gt;&lt;B&gt;Child  circumstances&lt;/B&gt;&lt;BR&gt;Number of Child(ren) = 1&lt;BR&gt;Age of Child = &lt;= 5yr&lt;BR&gt;Principal Care Type = Natural Care&lt;BR&gt;Care Percentage = 100% of Customer's care&lt;/HTML&gt;</v>
      </c>
      <c r="W27" s="44" t="str">
        <f t="shared" ca="1" si="13"/>
        <v>&lt;HTML&gt;Verify Assessment and Eligibility outcome
&lt;BR&gt;&lt;BR&gt;Benefit Status=CUR&lt;BR&gt;Review created on FAL screen=No Review&lt;BR&gt;Customer FTB (A) Status=CUR&lt;BR&gt;Customer FTB (B) Status=CUR&lt;BR&gt;Customer RA Status=N-HOM&lt;BR&gt;Child Eligibility FTB(A)=Y&lt;BR&gt;Child Eligibility FTB(B)=Y&lt;/HTML&gt;</v>
      </c>
    </row>
    <row r="28" spans="1:23" ht="409.5">
      <c r="A28" s="36">
        <f>IF(B28="","",COUNTIF($B$2:B28,"&lt;&gt;"&amp;""))</f>
        <v>27</v>
      </c>
      <c r="B28" s="37" t="s">
        <v>594</v>
      </c>
      <c r="C28" s="38" t="str">
        <f ca="1">FormatTest!A28</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REC&lt;BR&gt;Combined Income Limit = Less than $99,414 per yr&lt;BR&gt;&lt;BR&gt;&lt;B&gt;Child  circumstances&lt;/B&gt;&lt;BR&gt;Number of Child(ren) = 1&lt;BR&gt;Age of Child = &lt;= 5yr&lt;BR&gt;Principal Care Type = Natural Care&lt;BR&gt;Care Percentage = 100% of Customer's care</v>
      </c>
      <c r="D28" s="38" t="s">
        <v>592</v>
      </c>
      <c r="E28" s="39" t="str">
        <f ca="1">FormatTest!C28</f>
        <v>&lt;BR&gt;&lt;BR&gt;Benefit Status=CUR&lt;BR&gt;Review created on FAL screen=No Review&lt;BR&gt;Customer FTB (A) Status=CUR&lt;BR&gt;Customer FTB (B) Status=CUR&lt;BR&gt;Customer RA Status=N-HOM&lt;BR&gt;Child Eligibility FTB(A)=Y&lt;BR&gt;Child Eligibility FTB(B)=Y</v>
      </c>
      <c r="F28" s="37" t="s">
        <v>13</v>
      </c>
      <c r="G28" s="37"/>
      <c r="H28" s="37"/>
      <c r="I28" s="41" t="str">
        <f ca="1">OFFSET(BuildTest!$D$202,MOD(ROW()-ROW($D$2),ROWS(BuildTest!$D$202:$D$202)),TRUNC((ROW()-ROW($D$2))/ROWS(BuildTest!$D$202:$D$202)),1,1)</f>
        <v>FTB.Regression.NCL.Partnered customer.Relationship qualifier circ.REC</v>
      </c>
      <c r="J28" s="41" t="s">
        <v>16</v>
      </c>
      <c r="K28" s="41" t="str">
        <f ca="1">FormatTest!F28</f>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REC&lt;BR&gt;Combined Income Limit = Less than $99,414 per yr&lt;BR&gt;&lt;BR&gt;&lt;B&gt;Child  circumstances&lt;/B&gt;&lt;BR&gt;Number of Child(ren) = 1&lt;BR&gt;Age of Child = &lt;= 5yr&lt;BR&gt;Principal Care Type = Natural Care&lt;BR&gt;Care Percentage = 100% of Customer's care</v>
      </c>
      <c r="L28" s="41" t="str">
        <f ca="1">FormatTest!G28</f>
        <v>Verify Assessment and Eligibility outcome
&lt;BR&gt;&lt;BR&gt;Benefit Status=CUR&lt;BR&gt;Review created on FAL screen=No Review&lt;BR&gt;Customer FTB (A) Status=CUR&lt;BR&gt;Customer FTB (B) Status=CUR&lt;BR&gt;Customer RA Status=N-HOM&lt;BR&gt;Child Eligibility FTB(A)=Y&lt;BR&gt;Child Eligibility FTB(B)=Y</v>
      </c>
      <c r="M28" s="41" t="s">
        <v>322</v>
      </c>
      <c r="N28" s="41"/>
      <c r="O28" s="41" t="s">
        <v>410</v>
      </c>
      <c r="P28" s="41" t="s">
        <v>609</v>
      </c>
      <c r="Q28" s="41" t="s">
        <v>441</v>
      </c>
      <c r="R28" s="41" t="s">
        <v>14</v>
      </c>
      <c r="S28" s="41" t="s">
        <v>893</v>
      </c>
      <c r="T28" s="44" t="str">
        <f t="shared" ca="1" si="11"/>
        <v>027.FTB.Regression.NCL.Partnered customer.Relationship qualifier circ.REC</v>
      </c>
      <c r="U28" s="44" t="str">
        <f ca="1">CONCATENATE("&lt;HTML&gt;&lt;font color=#0000FF&gt;&lt;B&gt;PURPOSE:  &lt;/B&gt;&lt;/font&gt;&lt;BR&gt;",C28,"&lt;BR&gt;&lt;BR&gt;&lt;BR&gt;&lt;font color=#0000FF&gt;&lt;B&gt;Pre-requisites:  &lt;/B&gt;&lt;/font&gt;",D28,"&lt;BR&gt;&lt;BR&gt;&lt;font color=#0000FF&gt;&lt;B&gt;User Spec Name:  &lt;/B&gt;&lt;/font&gt;",Cover!$C$8,"&lt;BR&gt;",Cover!$F$8,"&lt;BR&gt;&lt;font color=#0000FF&gt;&lt;B&gt;User Spec Reference:  &lt;/B&gt;&lt;/font&gt;",B28,"&lt;/HTML&gt;")</f>
        <v>&lt;HTML&gt;&lt;font color=#0000FF&gt;&lt;B&gt;PURPOSE:  &lt;/B&gt;&lt;/font&gt;&lt;BR&gt;The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REC&lt;BR&gt;Combined Income Limit = Less than $99,414 per yr&lt;BR&gt;&lt;BR&gt;&lt;B&gt;Child  circumstances&lt;/B&gt;&lt;BR&gt;Number of Child(ren) = 1&lt;BR&gt;Age of Child = &lt;= 5yr&lt;BR&gt;Principal Care Type = Natural Care&lt;BR&gt;Care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1&lt;/HTML&gt;</v>
      </c>
      <c r="V28" s="44" t="str">
        <f t="shared" ca="1" si="12"/>
        <v>&lt;HTML&gt;Index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REC&lt;BR&gt;Combined Income Limit = Less than $99,414 per yr&lt;BR&gt;&lt;BR&gt;&lt;B&gt;Child  circumstances&lt;/B&gt;&lt;BR&gt;Number of Child(ren) = 1&lt;BR&gt;Age of Child = &lt;= 5yr&lt;BR&gt;Principal Care Type = Natural Care&lt;BR&gt;Care Percentage = 100% of Customer's care&lt;/HTML&gt;</v>
      </c>
      <c r="W28" s="44" t="str">
        <f t="shared" ca="1" si="13"/>
        <v>&lt;HTML&gt;Verify Assessment and Eligibility outcome
&lt;BR&gt;&lt;BR&gt;Benefit Status=CUR&lt;BR&gt;Review created on FAL screen=No Review&lt;BR&gt;Customer FTB (A) Status=CUR&lt;BR&gt;Customer FTB (B) Status=CUR&lt;BR&gt;Customer RA Status=N-HOM&lt;BR&gt;Child Eligibility FTB(A)=Y&lt;BR&gt;Child Eligibility FTB(B)=Y&lt;/HTML&gt;</v>
      </c>
    </row>
    <row r="29" spans="1:23" ht="409.5">
      <c r="A29" s="36">
        <f>IF(B29="","",COUNTIF($B$2:B29,"&lt;&gt;"&amp;""))</f>
        <v>28</v>
      </c>
      <c r="B29" s="37" t="s">
        <v>594</v>
      </c>
      <c r="C29" s="38" t="str">
        <f ca="1">FormatTest!A29</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REP&lt;BR&gt;Combined Income Limit = Less than $99,414 per yr&lt;BR&gt;&lt;BR&gt;&lt;B&gt;Child  circumstances&lt;/B&gt;&lt;BR&gt;Number of Child(ren) = 1&lt;BR&gt;Age of Child = &lt;= 5yr&lt;BR&gt;Principal Care Type = Natural Care&lt;BR&gt;Care Percentage = 100% of Customer's care</v>
      </c>
      <c r="D29" s="38" t="s">
        <v>592</v>
      </c>
      <c r="E29" s="39" t="str">
        <f ca="1">FormatTest!C29</f>
        <v>&lt;BR&gt;&lt;BR&gt;Benefit Status=CUR&lt;BR&gt;Review created on FAL screen=No Review&lt;BR&gt;Customer FTB (A) Status=CUR&lt;BR&gt;Customer FTB (B) Status=CUR&lt;BR&gt;Customer RA Status=N-HOM&lt;BR&gt;Child Eligibility FTB(A)=Y&lt;BR&gt;Child Eligibility FTB(B)=Y</v>
      </c>
      <c r="F29" s="37" t="s">
        <v>13</v>
      </c>
      <c r="G29" s="37"/>
      <c r="H29" s="37"/>
      <c r="I29" s="41" t="str">
        <f ca="1">OFFSET(BuildTest!$D$202,MOD(ROW()-ROW($D$2),ROWS(BuildTest!$D$202:$D$202)),TRUNC((ROW()-ROW($D$2))/ROWS(BuildTest!$D$202:$D$202)),1,1)</f>
        <v>FTB.Regression.NCL.Partnered customer.Relationship qualifier circ.REP</v>
      </c>
      <c r="J29" s="41" t="s">
        <v>16</v>
      </c>
      <c r="K29" s="41" t="str">
        <f ca="1">FormatTest!F29</f>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REP&lt;BR&gt;Combined Income Limit = Less than $99,414 per yr&lt;BR&gt;&lt;BR&gt;&lt;B&gt;Child  circumstances&lt;/B&gt;&lt;BR&gt;Number of Child(ren) = 1&lt;BR&gt;Age of Child = &lt;= 5yr&lt;BR&gt;Principal Care Type = Natural Care&lt;BR&gt;Care Percentage = 100% of Customer's care</v>
      </c>
      <c r="L29" s="41" t="str">
        <f ca="1">FormatTest!G29</f>
        <v>Verify Assessment and Eligibility outcome
&lt;BR&gt;&lt;BR&gt;Benefit Status=CUR&lt;BR&gt;Review created on FAL screen=No Review&lt;BR&gt;Customer FTB (A) Status=CUR&lt;BR&gt;Customer FTB (B) Status=CUR&lt;BR&gt;Customer RA Status=N-HOM&lt;BR&gt;Child Eligibility FTB(A)=Y&lt;BR&gt;Child Eligibility FTB(B)=Y</v>
      </c>
      <c r="M29" s="41" t="s">
        <v>322</v>
      </c>
      <c r="N29" s="41"/>
      <c r="O29" s="41" t="s">
        <v>410</v>
      </c>
      <c r="P29" s="41" t="s">
        <v>609</v>
      </c>
      <c r="Q29" s="41" t="s">
        <v>441</v>
      </c>
      <c r="R29" s="41" t="s">
        <v>14</v>
      </c>
      <c r="S29" s="41" t="s">
        <v>893</v>
      </c>
      <c r="T29" s="44" t="str">
        <f t="shared" ca="1" si="11"/>
        <v>028.FTB.Regression.NCL.Partnered customer.Relationship qualifier circ.REP</v>
      </c>
      <c r="U29" s="44" t="str">
        <f ca="1">CONCATENATE("&lt;HTML&gt;&lt;font color=#0000FF&gt;&lt;B&gt;PURPOSE:  &lt;/B&gt;&lt;/font&gt;&lt;BR&gt;",C29,"&lt;BR&gt;&lt;BR&gt;&lt;BR&gt;&lt;font color=#0000FF&gt;&lt;B&gt;Pre-requisites:  &lt;/B&gt;&lt;/font&gt;",D29,"&lt;BR&gt;&lt;BR&gt;&lt;font color=#0000FF&gt;&lt;B&gt;User Spec Name:  &lt;/B&gt;&lt;/font&gt;",Cover!$C$8,"&lt;BR&gt;",Cover!$F$8,"&lt;BR&gt;&lt;font color=#0000FF&gt;&lt;B&gt;User Spec Reference:  &lt;/B&gt;&lt;/font&gt;",B29,"&lt;/HTML&gt;")</f>
        <v>&lt;HTML&gt;&lt;font color=#0000FF&gt;&lt;B&gt;PURPOSE:  &lt;/B&gt;&lt;/font&gt;&lt;BR&gt;The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REP&lt;BR&gt;Combined Income Limit = Less than $99,414 per yr&lt;BR&gt;&lt;BR&gt;&lt;B&gt;Child  circumstances&lt;/B&gt;&lt;BR&gt;Number of Child(ren) = 1&lt;BR&gt;Age of Child = &lt;= 5yr&lt;BR&gt;Principal Care Type = Natural Care&lt;BR&gt;Care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1&lt;/HTML&gt;</v>
      </c>
      <c r="V29" s="44" t="str">
        <f t="shared" ca="1" si="12"/>
        <v>&lt;HTML&gt;Index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REP&lt;BR&gt;Combined Income Limit = Less than $99,414 per yr&lt;BR&gt;&lt;BR&gt;&lt;B&gt;Child  circumstances&lt;/B&gt;&lt;BR&gt;Number of Child(ren) = 1&lt;BR&gt;Age of Child = &lt;= 5yr&lt;BR&gt;Principal Care Type = Natural Care&lt;BR&gt;Care Percentage = 100% of Customer's care&lt;/HTML&gt;</v>
      </c>
      <c r="W29" s="44" t="str">
        <f t="shared" ca="1" si="13"/>
        <v>&lt;HTML&gt;Verify Assessment and Eligibility outcome
&lt;BR&gt;&lt;BR&gt;Benefit Status=CUR&lt;BR&gt;Review created on FAL screen=No Review&lt;BR&gt;Customer FTB (A) Status=CUR&lt;BR&gt;Customer FTB (B) Status=CUR&lt;BR&gt;Customer RA Status=N-HOM&lt;BR&gt;Child Eligibility FTB(A)=Y&lt;BR&gt;Child Eligibility FTB(B)=Y&lt;/HTML&gt;</v>
      </c>
    </row>
    <row r="30" spans="1:23" ht="409.5">
      <c r="A30" s="36">
        <f>IF(B30="","",COUNTIF($B$2:B30,"&lt;&gt;"&amp;""))</f>
        <v>29</v>
      </c>
      <c r="B30" s="37" t="s">
        <v>594</v>
      </c>
      <c r="C30" s="38" t="str">
        <f ca="1">FormatTest!A30</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Spouse/Partner Visa Class&lt;BR&gt;TFN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D30" s="38" t="s">
        <v>592</v>
      </c>
      <c r="E30" s="39" t="str">
        <f ca="1">FormatTest!C30</f>
        <v>&lt;BR&gt;&lt;BR&gt;Benefit Status=CUR&lt;BR&gt;Review created on FAL screen=No Review&lt;BR&gt;Customer FTB (A) Status=CUR&lt;BR&gt;Customer FTB (B) Status=CUR&lt;BR&gt;Customer RA Status=N-HOM&lt;BR&gt;Child Eligibility FTB(A)=Y&lt;BR&gt;Child Eligibility FTB(B)=Y</v>
      </c>
      <c r="F30" s="37" t="s">
        <v>13</v>
      </c>
      <c r="G30" s="37"/>
      <c r="H30" s="37"/>
      <c r="I30" s="41" t="str">
        <f ca="1">OFFSET(BuildTest!$D$202,MOD(ROW()-ROW($D$2),ROWS(BuildTest!$D$202:$D$202)),TRUNC((ROW()-ROW($D$2))/ROWS(BuildTest!$D$202:$D$202)),1,1)</f>
        <v>FTB.Regression.NCL.Partnered customer.Residency Circ.Citizen.SPV</v>
      </c>
      <c r="J30" s="41" t="s">
        <v>16</v>
      </c>
      <c r="K30" s="41" t="str">
        <f ca="1">FormatTest!F30</f>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Spouse/Partner Visa Class&lt;BR&gt;TFN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L30" s="41" t="str">
        <f ca="1">FormatTest!G30</f>
        <v>Verify Assessment and Eligibility outcome
&lt;BR&gt;&lt;BR&gt;Benefit Status=CUR&lt;BR&gt;Review created on FAL screen=No Review&lt;BR&gt;Customer FTB (A) Status=CUR&lt;BR&gt;Customer FTB (B) Status=CUR&lt;BR&gt;Customer RA Status=N-HOM&lt;BR&gt;Child Eligibility FTB(A)=Y&lt;BR&gt;Child Eligibility FTB(B)=Y</v>
      </c>
      <c r="M30" s="41" t="s">
        <v>322</v>
      </c>
      <c r="N30" s="41"/>
      <c r="O30" s="41" t="s">
        <v>410</v>
      </c>
      <c r="P30" s="41" t="s">
        <v>609</v>
      </c>
      <c r="Q30" s="41" t="s">
        <v>441</v>
      </c>
      <c r="R30" s="41" t="s">
        <v>14</v>
      </c>
      <c r="S30" s="41" t="s">
        <v>893</v>
      </c>
      <c r="T30" s="44" t="str">
        <f t="shared" ca="1" si="11"/>
        <v>029.FTB.Regression.NCL.Partnered customer.Residency Circ.Citizen.SPV</v>
      </c>
      <c r="U30" s="44" t="str">
        <f ca="1">CONCATENATE("&lt;HTML&gt;&lt;font color=#0000FF&gt;&lt;B&gt;PURPOSE:  &lt;/B&gt;&lt;/font&gt;&lt;BR&gt;",C30,"&lt;BR&gt;&lt;BR&gt;&lt;BR&gt;&lt;font color=#0000FF&gt;&lt;B&gt;Pre-requisites:  &lt;/B&gt;&lt;/font&gt;",D30,"&lt;BR&gt;&lt;BR&gt;&lt;font color=#0000FF&gt;&lt;B&gt;User Spec Name:  &lt;/B&gt;&lt;/font&gt;",Cover!$C$8,"&lt;BR&gt;",Cover!$F$8,"&lt;BR&gt;&lt;font color=#0000FF&gt;&lt;B&gt;User Spec Reference:  &lt;/B&gt;&lt;/font&gt;",B30,"&lt;/HTML&gt;")</f>
        <v>&lt;HTML&gt;&lt;font color=#0000FF&gt;&lt;B&gt;PURPOSE:  &lt;/B&gt;&lt;/font&gt;&lt;BR&gt;The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Spouse/Partner Visa Class&lt;BR&gt;TFN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1&lt;/HTML&gt;</v>
      </c>
      <c r="V30" s="44" t="str">
        <f t="shared" ca="1" si="12"/>
        <v>&lt;HTML&gt;Index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Spouse/Partner Visa Class&lt;BR&gt;TFN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care&lt;/HTML&gt;</v>
      </c>
      <c r="W30" s="44" t="str">
        <f t="shared" ca="1" si="13"/>
        <v>&lt;HTML&gt;Verify Assessment and Eligibility outcome
&lt;BR&gt;&lt;BR&gt;Benefit Status=CUR&lt;BR&gt;Review created on FAL screen=No Review&lt;BR&gt;Customer FTB (A) Status=CUR&lt;BR&gt;Customer FTB (B) Status=CUR&lt;BR&gt;Customer RA Status=N-HOM&lt;BR&gt;Child Eligibility FTB(A)=Y&lt;BR&gt;Child Eligibility FTB(B)=Y&lt;/HTML&gt;</v>
      </c>
    </row>
    <row r="31" spans="1:23" ht="409.5">
      <c r="A31" s="36">
        <f>IF(B31="","",COUNTIF($B$2:B31,"&lt;&gt;"&amp;""))</f>
        <v>30</v>
      </c>
      <c r="B31" s="37" t="s">
        <v>594</v>
      </c>
      <c r="C31" s="38" t="str">
        <f ca="1">FormatTest!A31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Temporary Visa Class&lt;BR&gt;TFN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D31" s="38" t="s">
        <v>592</v>
      </c>
      <c r="E31" s="39" t="str">
        <f ca="1">FormatTest!C31</f>
        <v>&lt;BR&gt;&lt;BR&gt;Benefit Status=CUR&lt;BR&gt;Review created on FAL screen=No Review&lt;BR&gt;Customer FTB (A) Status=CUR&lt;BR&gt;Customer FTB (B) Status=CUR&lt;BR&gt;Customer RA Status=N-HOM&lt;BR&gt;Child Eligibility FTB(A)=Y&lt;BR&gt;Child Eligibility FTB(B)=Y</v>
      </c>
      <c r="F31" s="37" t="s">
        <v>13</v>
      </c>
      <c r="G31" s="37"/>
      <c r="H31" s="37"/>
      <c r="I31" s="41" t="str">
        <f ca="1">OFFSET(BuildTest!$D$202,MOD(ROW()-ROW($D$2),ROWS(BuildTest!$D$202:$D$202)),TRUNC((ROW()-ROW($D$2))/ROWS(BuildTest!$D$202:$D$202)),1,1)</f>
        <v>FTB.Regression.NCL.Partnered customer.Residency Circ.Citizen.TPV</v>
      </c>
      <c r="J31" s="41" t="s">
        <v>16</v>
      </c>
      <c r="K31" s="41" t="str">
        <f ca="1">FormatTest!F31</f>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Temporary Visa Class&lt;BR&gt;TFN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L31" s="41" t="str">
        <f ca="1">FormatTest!G31</f>
        <v>Verify Assessment and Eligibility outcome
&lt;BR&gt;&lt;BR&gt;Benefit Status=CUR&lt;BR&gt;Review created on FAL screen=No Review&lt;BR&gt;Customer FTB (A) Status=CUR&lt;BR&gt;Customer FTB (B) Status=CUR&lt;BR&gt;Customer RA Status=N-HOM&lt;BR&gt;Child Eligibility FTB(A)=Y&lt;BR&gt;Child Eligibility FTB(B)=Y</v>
      </c>
      <c r="M31" s="41" t="s">
        <v>322</v>
      </c>
      <c r="N31" s="41"/>
      <c r="O31" s="41" t="s">
        <v>410</v>
      </c>
      <c r="P31" s="41" t="s">
        <v>609</v>
      </c>
      <c r="Q31" s="41" t="s">
        <v>441</v>
      </c>
      <c r="R31" s="41" t="s">
        <v>14</v>
      </c>
      <c r="S31" s="41" t="s">
        <v>893</v>
      </c>
      <c r="T31" s="44" t="str">
        <f t="shared" ca="1" si="11"/>
        <v>030.FTB.Regression.NCL.Partnered customer.Residency Circ.Citizen.TPV</v>
      </c>
      <c r="U31" s="44" t="str">
        <f ca="1">CONCATENATE("&lt;HTML&gt;&lt;font color=#0000FF&gt;&lt;B&gt;PURPOSE:  &lt;/B&gt;&lt;/font&gt;&lt;BR&gt;",C31,"&lt;BR&gt;&lt;BR&gt;&lt;BR&gt;&lt;font color=#0000FF&gt;&lt;B&gt;Pre-requisites:  &lt;/B&gt;&lt;/font&gt;",D31,"&lt;BR&gt;&lt;BR&gt;&lt;font color=#0000FF&gt;&lt;B&gt;User Spec Name:  &lt;/B&gt;&lt;/font&gt;",Cover!$C$8,"&lt;BR&gt;",Cover!$F$8,"&lt;BR&gt;&lt;font color=#0000FF&gt;&lt;B&gt;User Spec Reference:  &lt;/B&gt;&lt;/font&gt;",B31,"&lt;/HTML&gt;")</f>
        <v>&lt;HTML&gt;&lt;font color=#0000FF&gt;&lt;B&gt;PURPOSE:  &lt;/B&gt;&lt;/font&gt;&lt;BR&gt;The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Temporary Visa Class&lt;BR&gt;TFN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1&lt;/HTML&gt;</v>
      </c>
      <c r="V31" s="44" t="str">
        <f t="shared" ca="1" si="12"/>
        <v>&lt;HTML&gt;Index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Temporary Visa Class&lt;BR&gt;TFN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care&lt;/HTML&gt;</v>
      </c>
      <c r="W31" s="44" t="str">
        <f t="shared" ca="1" si="13"/>
        <v>&lt;HTML&gt;Verify Assessment and Eligibility outcome
&lt;BR&gt;&lt;BR&gt;Benefit Status=CUR&lt;BR&gt;Review created on FAL screen=No Review&lt;BR&gt;Customer FTB (A) Status=CUR&lt;BR&gt;Customer FTB (B) Status=CUR&lt;BR&gt;Customer RA Status=N-HOM&lt;BR&gt;Child Eligibility FTB(A)=Y&lt;BR&gt;Child Eligibility FTB(B)=Y&lt;/HTML&gt;</v>
      </c>
    </row>
    <row r="32" spans="1:23" ht="409.5">
      <c r="A32" s="36">
        <f>IF(B32="","",COUNTIF($B$2:B32,"&lt;&gt;"&amp;""))</f>
        <v>31</v>
      </c>
      <c r="B32" s="37" t="s">
        <v>594</v>
      </c>
      <c r="C32" s="38" t="str">
        <f ca="1">FormatTest!A32</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Spouse/Partner Visa Class&lt;BR&gt;Direct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D32" s="38" t="s">
        <v>592</v>
      </c>
      <c r="E32" s="39" t="str">
        <f ca="1">FormatTest!C32</f>
        <v>&lt;BR&gt;&lt;BR&gt;Benefit Status=CUR&lt;BR&gt;Review created on FAL screen=No Review&lt;BR&gt;Customer FTB (A) Status=CUR&lt;BR&gt;Customer FTB (B) Status=CUR&lt;BR&gt;Customer RA Status=N-HOM&lt;BR&gt;Child Eligibility FTB(A)=Y&lt;BR&gt;Child Eligibility FTB(B)=Y</v>
      </c>
      <c r="F32" s="37" t="s">
        <v>13</v>
      </c>
      <c r="G32" s="37"/>
      <c r="H32" s="37"/>
      <c r="I32" s="41" t="str">
        <f ca="1">OFFSET(BuildTest!$D$202,MOD(ROW()-ROW($D$2),ROWS(BuildTest!$D$202:$D$202)),TRUNC((ROW()-ROW($D$2))/ROWS(BuildTest!$D$202:$D$202)),1,1)</f>
        <v>FTB.Regression.NCL.Partnered customer.Residency Circ.SPV.Citizen</v>
      </c>
      <c r="J32" s="41" t="s">
        <v>16</v>
      </c>
      <c r="K32" s="41" t="str">
        <f ca="1">FormatTest!F32</f>
        <v>Index a FTB/NCL with below circumstance description &lt;BR&gt;&lt;BR&gt;&lt;B&gt;Customer  circumstances&lt;/B&gt;&lt;BR&gt;Residential Qualification = Spouse/Partner Visa Class&lt;BR&gt;Direct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L32" s="41" t="str">
        <f ca="1">FormatTest!G32</f>
        <v>Verify Assessment and Eligibility outcome
&lt;BR&gt;&lt;BR&gt;Benefit Status=CUR&lt;BR&gt;Review created on FAL screen=No Review&lt;BR&gt;Customer FTB (A) Status=CUR&lt;BR&gt;Customer FTB (B) Status=CUR&lt;BR&gt;Customer RA Status=N-HOM&lt;BR&gt;Child Eligibility FTB(A)=Y&lt;BR&gt;Child Eligibility FTB(B)=Y</v>
      </c>
      <c r="M32" s="41" t="s">
        <v>322</v>
      </c>
      <c r="N32" s="41"/>
      <c r="O32" s="41" t="s">
        <v>410</v>
      </c>
      <c r="P32" s="41" t="s">
        <v>609</v>
      </c>
      <c r="Q32" s="41" t="s">
        <v>441</v>
      </c>
      <c r="R32" s="41" t="s">
        <v>14</v>
      </c>
      <c r="S32" s="41" t="s">
        <v>893</v>
      </c>
      <c r="T32" s="44" t="str">
        <f t="shared" ca="1" si="11"/>
        <v>031.FTB.Regression.NCL.Partnered customer.Residency Circ.SPV.Citizen</v>
      </c>
      <c r="U32" s="44" t="str">
        <f ca="1">CONCATENATE("&lt;HTML&gt;&lt;font color=#0000FF&gt;&lt;B&gt;PURPOSE:  &lt;/B&gt;&lt;/font&gt;&lt;BR&gt;",C32,"&lt;BR&gt;&lt;BR&gt;&lt;BR&gt;&lt;font color=#0000FF&gt;&lt;B&gt;Pre-requisites:  &lt;/B&gt;&lt;/font&gt;",D32,"&lt;BR&gt;&lt;BR&gt;&lt;font color=#0000FF&gt;&lt;B&gt;User Spec Name:  &lt;/B&gt;&lt;/font&gt;",Cover!$C$8,"&lt;BR&gt;",Cover!$F$8,"&lt;BR&gt;&lt;font color=#0000FF&gt;&lt;B&gt;User Spec Reference:  &lt;/B&gt;&lt;/font&gt;",B32,"&lt;/HTML&gt;")</f>
        <v>&lt;HTML&gt;&lt;font color=#0000FF&gt;&lt;B&gt;PURPOSE:  &lt;/B&gt;&lt;/font&gt;&lt;BR&gt;The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Spouse/Partner Visa Class&lt;BR&gt;Direct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1&lt;/HTML&gt;</v>
      </c>
      <c r="V32" s="44" t="str">
        <f t="shared" ca="1" si="12"/>
        <v>&lt;HTML&gt;Index a FTB/NCL with below circumstance description &lt;BR&gt;&lt;BR&gt;&lt;B&gt;Customer  circumstances&lt;/B&gt;&lt;BR&gt;Residential Qualification = Spouse/Partner Visa Class&lt;BR&gt;Direct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care&lt;/HTML&gt;</v>
      </c>
      <c r="W32" s="44" t="str">
        <f t="shared" ca="1" si="13"/>
        <v>&lt;HTML&gt;Verify Assessment and Eligibility outcome
&lt;BR&gt;&lt;BR&gt;Benefit Status=CUR&lt;BR&gt;Review created on FAL screen=No Review&lt;BR&gt;Customer FTB (A) Status=CUR&lt;BR&gt;Customer FTB (B) Status=CUR&lt;BR&gt;Customer RA Status=N-HOM&lt;BR&gt;Child Eligibility FTB(A)=Y&lt;BR&gt;Child Eligibility FTB(B)=Y&lt;/HTML&gt;</v>
      </c>
    </row>
    <row r="33" spans="1:23" ht="409.5">
      <c r="A33" s="36">
        <f>IF(B33="","",COUNTIF($B$2:B33,"&lt;&gt;"&amp;""))</f>
        <v>32</v>
      </c>
      <c r="B33" s="37" t="s">
        <v>594</v>
      </c>
      <c r="C33" s="38" t="str">
        <f ca="1">FormatTest!A33</f>
        <v>The purpose of the test is to verify &lt;BR&gt;&lt;BR&gt;&lt;BR&gt;&lt;BR&gt;Benefit Status=CUR&lt;BR&gt;Review created on FAL screen=No Review&lt;BR&gt;Customer FTB (A) Status=REJ-NRQ&lt;BR&gt;Customer FTB (B) Status=REJ-NRQ&lt;BR&gt;Customer RA Status=N-NULL&lt;BR&gt;Child Eligibility FTB(A)=Y&lt;BR&gt;Child Eligibility FTB(B)=Y&lt;BR&gt;&lt;BR&gt; for below input circumstances&lt;BR&gt;&lt;BR&gt;&lt;B&gt;Customer  circumstances&lt;/B&gt;&lt;BR&gt;Residential Qualification = Temporary Visa Class&lt;BR&gt;Direct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D33" s="38" t="s">
        <v>592</v>
      </c>
      <c r="E33" s="39" t="str">
        <f ca="1">FormatTest!C33</f>
        <v>&lt;BR&gt;&lt;BR&gt;Benefit Status=CUR&lt;BR&gt;Review created on FAL screen=No Review&lt;BR&gt;Customer FTB (A) Status=REJ-NRQ&lt;BR&gt;Customer FTB (B) Status=REJ-NRQ&lt;BR&gt;Customer RA Status=N-NULL&lt;BR&gt;Child Eligibility FTB(A)=Y&lt;BR&gt;Child Eligibility FTB(B)=Y</v>
      </c>
      <c r="F33" s="37" t="s">
        <v>13</v>
      </c>
      <c r="G33" s="37"/>
      <c r="H33" s="37"/>
      <c r="I33" s="41" t="str">
        <f ca="1">OFFSET(BuildTest!$D$202,MOD(ROW()-ROW($D$2),ROWS(BuildTest!$D$202:$D$202)),TRUNC((ROW()-ROW($D$2))/ROWS(BuildTest!$D$202:$D$202)),1,1)</f>
        <v>FTB.Regression.NCL.Partnered customer.Residency Circ.TPV.Citizen</v>
      </c>
      <c r="J33" s="41" t="s">
        <v>16</v>
      </c>
      <c r="K33" s="41" t="str">
        <f ca="1">FormatTest!F33</f>
        <v>Index a FTB/NCL with below circumstance description &lt;BR&gt;&lt;BR&gt;&lt;B&gt;Customer  circumstances&lt;/B&gt;&lt;BR&gt;Residential Qualification = Temporary Visa Class&lt;BR&gt;Direct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L33" s="41" t="str">
        <f ca="1">FormatTest!G33</f>
        <v>Verify Assessment and Eligibility outcome
&lt;BR&gt;&lt;BR&gt;Benefit Status=CUR&lt;BR&gt;Review created on FAL screen=No Review&lt;BR&gt;Customer FTB (A) Status=REJ-NRQ&lt;BR&gt;Customer FTB (B) Status=REJ-NRQ&lt;BR&gt;Customer RA Status=N-NULL&lt;BR&gt;Child Eligibility FTB(A)=Y&lt;BR&gt;Child Eligibility FTB(B)=Y</v>
      </c>
      <c r="M33" s="41" t="s">
        <v>322</v>
      </c>
      <c r="N33" s="41"/>
      <c r="O33" s="41" t="s">
        <v>410</v>
      </c>
      <c r="P33" s="41" t="s">
        <v>609</v>
      </c>
      <c r="Q33" s="41" t="s">
        <v>441</v>
      </c>
      <c r="R33" s="41" t="s">
        <v>14</v>
      </c>
      <c r="S33" s="41" t="s">
        <v>893</v>
      </c>
      <c r="T33" s="44" t="str">
        <f t="shared" ca="1" si="11"/>
        <v>032.FTB.Regression.NCL.Partnered customer.Residency Circ.TPV.Citizen</v>
      </c>
      <c r="U33" s="44" t="str">
        <f ca="1">CONCATENATE("&lt;HTML&gt;&lt;font color=#0000FF&gt;&lt;B&gt;PURPOSE:  &lt;/B&gt;&lt;/font&gt;&lt;BR&gt;",C33,"&lt;BR&gt;&lt;BR&gt;&lt;BR&gt;&lt;font color=#0000FF&gt;&lt;B&gt;Pre-requisites:  &lt;/B&gt;&lt;/font&gt;",D33,"&lt;BR&gt;&lt;BR&gt;&lt;font color=#0000FF&gt;&lt;B&gt;User Spec Name:  &lt;/B&gt;&lt;/font&gt;",Cover!$C$8,"&lt;BR&gt;",Cover!$F$8,"&lt;BR&gt;&lt;font color=#0000FF&gt;&lt;B&gt;User Spec Reference:  &lt;/B&gt;&lt;/font&gt;",B33,"&lt;/HTML&gt;")</f>
        <v>&lt;HTML&gt;&lt;font color=#0000FF&gt;&lt;B&gt;PURPOSE:  &lt;/B&gt;&lt;/font&gt;&lt;BR&gt;The purpose of the test is to verify &lt;BR&gt;&lt;BR&gt;&lt;BR&gt;&lt;BR&gt;Benefit Status=CUR&lt;BR&gt;Review created on FAL screen=No Review&lt;BR&gt;Customer FTB (A) Status=REJ-NRQ&lt;BR&gt;Customer FTB (B) Status=REJ-NRQ&lt;BR&gt;Customer RA Status=N-NULL&lt;BR&gt;Child Eligibility FTB(A)=Y&lt;BR&gt;Child Eligibility FTB(B)=Y&lt;BR&gt;&lt;BR&gt; for below input circumstances&lt;BR&gt;&lt;BR&gt;&lt;B&gt;Customer  circumstances&lt;/B&gt;&lt;BR&gt;Residential Qualification = Temporary Visa Class&lt;BR&gt;Direct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1&lt;/HTML&gt;</v>
      </c>
      <c r="V33" s="44" t="str">
        <f t="shared" ca="1" si="12"/>
        <v>&lt;HTML&gt;Index a FTB/NCL with below circumstance description &lt;BR&gt;&lt;BR&gt;&lt;B&gt;Customer  circumstances&lt;/B&gt;&lt;BR&gt;Residential Qualification = Temporary Visa Class&lt;BR&gt;Direct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care&lt;/HTML&gt;</v>
      </c>
      <c r="W33" s="44" t="str">
        <f t="shared" ca="1" si="13"/>
        <v>&lt;HTML&gt;Verify Assessment and Eligibility outcome
&lt;BR&gt;&lt;BR&gt;Benefit Status=CUR&lt;BR&gt;Review created on FAL screen=No Review&lt;BR&gt;Customer FTB (A) Status=REJ-NRQ&lt;BR&gt;Customer FTB (B) Status=REJ-NRQ&lt;BR&gt;Customer RA Status=N-NULL&lt;BR&gt;Child Eligibility FTB(A)=Y&lt;BR&gt;Child Eligibility FTB(B)=Y&lt;/HTML&gt;</v>
      </c>
    </row>
    <row r="34" spans="1:23" ht="409.5">
      <c r="A34" s="36">
        <f>IF(B34="","",COUNTIF($B$2:B34,"&lt;&gt;"&amp;""))</f>
        <v>33</v>
      </c>
      <c r="B34" s="37" t="s">
        <v>594</v>
      </c>
      <c r="C34" s="38" t="str">
        <f ca="1">FormatTest!A34</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Spouse/Partner Visa Class&lt;BR&gt;Direct Credit details   = Coded&lt;BR&gt;TFN details = Coded&lt;BR&gt;Secondary Earner income = Less than $21,499&lt;BR&gt;&lt;BR&gt;&lt;B&gt;Partner  circumstances&lt;/B&gt;&lt;BR&gt;Residential Qualification = Temporary Visa Class&lt;BR&gt;TFN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D34" s="38" t="s">
        <v>592</v>
      </c>
      <c r="E34" s="39" t="str">
        <f ca="1">FormatTest!C34</f>
        <v>&lt;BR&gt;&lt;BR&gt;Benefit Status=CUR&lt;BR&gt;Review created on FAL screen=No Review&lt;BR&gt;Customer FTB (A) Status=CUR&lt;BR&gt;Customer FTB (B) Status=CUR&lt;BR&gt;Customer RA Status=N-HOM&lt;BR&gt;Child Eligibility FTB(A)=Y&lt;BR&gt;Child Eligibility FTB(B)=Y</v>
      </c>
      <c r="F34" s="37" t="s">
        <v>13</v>
      </c>
      <c r="G34" s="37"/>
      <c r="H34" s="37"/>
      <c r="I34" s="41" t="str">
        <f ca="1">OFFSET(BuildTest!$D$202,MOD(ROW()-ROW($D$2),ROWS(BuildTest!$D$202:$D$202)),TRUNC((ROW()-ROW($D$2))/ROWS(BuildTest!$D$202:$D$202)),1,1)</f>
        <v>FTB.Regression.NCL.Partnered customer.Residency Circ.SPV.TPV</v>
      </c>
      <c r="J34" s="41" t="s">
        <v>16</v>
      </c>
      <c r="K34" s="41" t="str">
        <f ca="1">FormatTest!F34</f>
        <v>Index a FTB/NCL with below circumstance description &lt;BR&gt;&lt;BR&gt;&lt;B&gt;Customer  circumstances&lt;/B&gt;&lt;BR&gt;Residential Qualification = Spouse/Partner Visa Class&lt;BR&gt;Direct Credit details   = Coded&lt;BR&gt;TFN details = Coded&lt;BR&gt;Secondary Earner income = Less than $21,499&lt;BR&gt;&lt;BR&gt;&lt;B&gt;Partner  circumstances&lt;/B&gt;&lt;BR&gt;Residential Qualification = Temporary Visa Class&lt;BR&gt;TFN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L34" s="41" t="str">
        <f ca="1">FormatTest!G34</f>
        <v>Verify Assessment and Eligibility outcome
&lt;BR&gt;&lt;BR&gt;Benefit Status=CUR&lt;BR&gt;Review created on FAL screen=No Review&lt;BR&gt;Customer FTB (A) Status=CUR&lt;BR&gt;Customer FTB (B) Status=CUR&lt;BR&gt;Customer RA Status=N-HOM&lt;BR&gt;Child Eligibility FTB(A)=Y&lt;BR&gt;Child Eligibility FTB(B)=Y</v>
      </c>
      <c r="M34" s="41" t="s">
        <v>322</v>
      </c>
      <c r="N34" s="41"/>
      <c r="O34" s="41" t="s">
        <v>410</v>
      </c>
      <c r="P34" s="41" t="s">
        <v>609</v>
      </c>
      <c r="Q34" s="41" t="s">
        <v>441</v>
      </c>
      <c r="R34" s="41" t="s">
        <v>14</v>
      </c>
      <c r="S34" s="41" t="s">
        <v>893</v>
      </c>
      <c r="T34" s="44" t="str">
        <f t="shared" ca="1" si="11"/>
        <v>033.FTB.Regression.NCL.Partnered customer.Residency Circ.SPV.TPV</v>
      </c>
      <c r="U34" s="44" t="str">
        <f ca="1">CONCATENATE("&lt;HTML&gt;&lt;font color=#0000FF&gt;&lt;B&gt;PURPOSE:  &lt;/B&gt;&lt;/font&gt;&lt;BR&gt;",C34,"&lt;BR&gt;&lt;BR&gt;&lt;BR&gt;&lt;font color=#0000FF&gt;&lt;B&gt;Pre-requisites:  &lt;/B&gt;&lt;/font&gt;",D34,"&lt;BR&gt;&lt;BR&gt;&lt;font color=#0000FF&gt;&lt;B&gt;User Spec Name:  &lt;/B&gt;&lt;/font&gt;",Cover!$C$8,"&lt;BR&gt;",Cover!$F$8,"&lt;BR&gt;&lt;font color=#0000FF&gt;&lt;B&gt;User Spec Reference:  &lt;/B&gt;&lt;/font&gt;",B34,"&lt;/HTML&gt;")</f>
        <v>&lt;HTML&gt;&lt;font color=#0000FF&gt;&lt;B&gt;PURPOSE:  &lt;/B&gt;&lt;/font&gt;&lt;BR&gt;The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Spouse/Partner Visa Class&lt;BR&gt;Direct Credit details   = Coded&lt;BR&gt;TFN details = Coded&lt;BR&gt;Secondary Earner income = Less than $21,499&lt;BR&gt;&lt;BR&gt;&lt;B&gt;Partner  circumstances&lt;/B&gt;&lt;BR&gt;Residential Qualification = Temporary Visa Class&lt;BR&gt;TFN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1&lt;/HTML&gt;</v>
      </c>
      <c r="V34" s="44" t="str">
        <f t="shared" ca="1" si="12"/>
        <v>&lt;HTML&gt;Index a FTB/NCL with below circumstance description &lt;BR&gt;&lt;BR&gt;&lt;B&gt;Customer  circumstances&lt;/B&gt;&lt;BR&gt;Residential Qualification = Spouse/Partner Visa Class&lt;BR&gt;Direct Credit details   = Coded&lt;BR&gt;TFN details = Coded&lt;BR&gt;Secondary Earner income = Less than $21,499&lt;BR&gt;&lt;BR&gt;&lt;B&gt;Partner  circumstances&lt;/B&gt;&lt;BR&gt;Residential Qualification = Temporary Visa Class&lt;BR&gt;TFN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care&lt;/HTML&gt;</v>
      </c>
      <c r="W34" s="44" t="str">
        <f t="shared" ca="1" si="13"/>
        <v>&lt;HTML&gt;Verify Assessment and Eligibility outcome
&lt;BR&gt;&lt;BR&gt;Benefit Status=CUR&lt;BR&gt;Review created on FAL screen=No Review&lt;BR&gt;Customer FTB (A) Status=CUR&lt;BR&gt;Customer FTB (B) Status=CUR&lt;BR&gt;Customer RA Status=N-HOM&lt;BR&gt;Child Eligibility FTB(A)=Y&lt;BR&gt;Child Eligibility FTB(B)=Y&lt;/HTML&gt;</v>
      </c>
    </row>
    <row r="35" spans="1:23" ht="409.5">
      <c r="A35" s="36">
        <f>IF(B35="","",COUNTIF($B$2:B35,"&lt;&gt;"&amp;""))</f>
        <v>34</v>
      </c>
      <c r="B35" s="37" t="s">
        <v>594</v>
      </c>
      <c r="C35" s="38" t="str">
        <f ca="1">FormatTest!A35</f>
        <v>The purpose of the test is to verify &lt;BR&gt;&lt;BR&gt;&lt;BR&gt;&lt;BR&gt;Benefit Status=CUR&lt;BR&gt;Review created on FAL screen=No Review&lt;BR&gt;Customer FTB (A) Status=REJ-NRQ&lt;BR&gt;Customer FTB (B) Status=REJ-NRQ&lt;BR&gt;Customer RA Status=N-NULL&lt;BR&gt;Child Eligibility FTB(A)=Y&lt;BR&gt;Child Eligibility FTB(B)=Y&lt;BR&gt;&lt;BR&gt; for below input circumstances&lt;BR&gt;&lt;BR&gt;&lt;B&gt;Customer  circumstances&lt;/B&gt;&lt;BR&gt;Residential Qualification = Temporary Visa Class&lt;BR&gt;Direct Credit details   = Coded&lt;BR&gt;TFN details = Coded&lt;BR&gt;Secondary Earner income = Less than $21,499&lt;BR&gt;&lt;BR&gt;&lt;B&gt;Partner  circumstances&lt;/B&gt;&lt;BR&gt;Residential Qualification = Spouse/Partner Visa Class&lt;BR&gt;TFN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D35" s="38" t="s">
        <v>592</v>
      </c>
      <c r="E35" s="39" t="str">
        <f ca="1">FormatTest!C35</f>
        <v>&lt;BR&gt;&lt;BR&gt;Benefit Status=CUR&lt;BR&gt;Review created on FAL screen=No Review&lt;BR&gt;Customer FTB (A) Status=REJ-NRQ&lt;BR&gt;Customer FTB (B) Status=REJ-NRQ&lt;BR&gt;Customer RA Status=N-NULL&lt;BR&gt;Child Eligibility FTB(A)=Y&lt;BR&gt;Child Eligibility FTB(B)=Y</v>
      </c>
      <c r="F35" s="37" t="s">
        <v>13</v>
      </c>
      <c r="G35" s="37"/>
      <c r="H35" s="37"/>
      <c r="I35" s="41" t="str">
        <f ca="1">OFFSET(BuildTest!$D$202,MOD(ROW()-ROW($D$2),ROWS(BuildTest!$D$202:$D$202)),TRUNC((ROW()-ROW($D$2))/ROWS(BuildTest!$D$202:$D$202)),1,1)</f>
        <v>FTB.Regression.NCL.Partnered customer.Residency Circ.TPV.SPV</v>
      </c>
      <c r="J35" s="41" t="s">
        <v>16</v>
      </c>
      <c r="K35" s="41" t="str">
        <f ca="1">FormatTest!F35</f>
        <v>Index a FTB/NCL with below circumstance description &lt;BR&gt;&lt;BR&gt;&lt;B&gt;Customer  circumstances&lt;/B&gt;&lt;BR&gt;Residential Qualification = Temporary Visa Class&lt;BR&gt;Direct Credit details   = Coded&lt;BR&gt;TFN details = Coded&lt;BR&gt;Secondary Earner income = Less than $21,499&lt;BR&gt;&lt;BR&gt;&lt;B&gt;Partner  circumstances&lt;/B&gt;&lt;BR&gt;Residential Qualification = Spouse/Partner Visa Class&lt;BR&gt;TFN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L35" s="41" t="str">
        <f ca="1">FormatTest!G35</f>
        <v>Verify Assessment and Eligibility outcome
&lt;BR&gt;&lt;BR&gt;Benefit Status=CUR&lt;BR&gt;Review created on FAL screen=No Review&lt;BR&gt;Customer FTB (A) Status=REJ-NRQ&lt;BR&gt;Customer FTB (B) Status=REJ-NRQ&lt;BR&gt;Customer RA Status=N-NULL&lt;BR&gt;Child Eligibility FTB(A)=Y&lt;BR&gt;Child Eligibility FTB(B)=Y</v>
      </c>
      <c r="M35" s="41" t="s">
        <v>322</v>
      </c>
      <c r="N35" s="41"/>
      <c r="O35" s="41" t="s">
        <v>410</v>
      </c>
      <c r="P35" s="41" t="s">
        <v>609</v>
      </c>
      <c r="Q35" s="41" t="s">
        <v>441</v>
      </c>
      <c r="R35" s="41" t="s">
        <v>14</v>
      </c>
      <c r="S35" s="41" t="s">
        <v>893</v>
      </c>
      <c r="T35" s="44" t="str">
        <f t="shared" ca="1" si="11"/>
        <v>034.FTB.Regression.NCL.Partnered customer.Residency Circ.TPV.SPV</v>
      </c>
      <c r="U35" s="44" t="str">
        <f ca="1">CONCATENATE("&lt;HTML&gt;&lt;font color=#0000FF&gt;&lt;B&gt;PURPOSE:  &lt;/B&gt;&lt;/font&gt;&lt;BR&gt;",C35,"&lt;BR&gt;&lt;BR&gt;&lt;BR&gt;&lt;font color=#0000FF&gt;&lt;B&gt;Pre-requisites:  &lt;/B&gt;&lt;/font&gt;",D35,"&lt;BR&gt;&lt;BR&gt;&lt;font color=#0000FF&gt;&lt;B&gt;User Spec Name:  &lt;/B&gt;&lt;/font&gt;",Cover!$C$8,"&lt;BR&gt;",Cover!$F$8,"&lt;BR&gt;&lt;font color=#0000FF&gt;&lt;B&gt;User Spec Reference:  &lt;/B&gt;&lt;/font&gt;",B35,"&lt;/HTML&gt;")</f>
        <v>&lt;HTML&gt;&lt;font color=#0000FF&gt;&lt;B&gt;PURPOSE:  &lt;/B&gt;&lt;/font&gt;&lt;BR&gt;The purpose of the test is to verify &lt;BR&gt;&lt;BR&gt;&lt;BR&gt;&lt;BR&gt;Benefit Status=CUR&lt;BR&gt;Review created on FAL screen=No Review&lt;BR&gt;Customer FTB (A) Status=REJ-NRQ&lt;BR&gt;Customer FTB (B) Status=REJ-NRQ&lt;BR&gt;Customer RA Status=N-NULL&lt;BR&gt;Child Eligibility FTB(A)=Y&lt;BR&gt;Child Eligibility FTB(B)=Y&lt;BR&gt;&lt;BR&gt; for below input circumstances&lt;BR&gt;&lt;BR&gt;&lt;B&gt;Customer  circumstances&lt;/B&gt;&lt;BR&gt;Residential Qualification = Temporary Visa Class&lt;BR&gt;Direct Credit details   = Coded&lt;BR&gt;TFN details = Coded&lt;BR&gt;Secondary Earner income = Less than $21,499&lt;BR&gt;&lt;BR&gt;&lt;B&gt;Partner  circumstances&lt;/B&gt;&lt;BR&gt;Residential Qualification = Spouse/Partner Visa Class&lt;BR&gt;TFN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1&lt;/HTML&gt;</v>
      </c>
      <c r="V35" s="44" t="str">
        <f t="shared" ca="1" si="12"/>
        <v>&lt;HTML&gt;Index a FTB/NCL with below circumstance description &lt;BR&gt;&lt;BR&gt;&lt;B&gt;Customer  circumstances&lt;/B&gt;&lt;BR&gt;Residential Qualification = Temporary Visa Class&lt;BR&gt;Direct Credit details   = Coded&lt;BR&gt;TFN details = Coded&lt;BR&gt;Secondary Earner income = Less than $21,499&lt;BR&gt;&lt;BR&gt;&lt;B&gt;Partner  circumstances&lt;/B&gt;&lt;BR&gt;Residential Qualification = Spouse/Partner Visa Class&lt;BR&gt;TFN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care&lt;/HTML&gt;</v>
      </c>
      <c r="W35" s="44" t="str">
        <f t="shared" ca="1" si="13"/>
        <v>&lt;HTML&gt;Verify Assessment and Eligibility outcome
&lt;BR&gt;&lt;BR&gt;Benefit Status=CUR&lt;BR&gt;Review created on FAL screen=No Review&lt;BR&gt;Customer FTB (A) Status=REJ-NRQ&lt;BR&gt;Customer FTB (B) Status=REJ-NRQ&lt;BR&gt;Customer RA Status=N-NULL&lt;BR&gt;Child Eligibility FTB(A)=Y&lt;BR&gt;Child Eligibility FTB(B)=Y&lt;/HTML&gt;</v>
      </c>
    </row>
    <row r="36" spans="1:23" ht="409.5">
      <c r="A36" s="36">
        <f>IF(B36="","",COUNTIF($B$2:B36,"&lt;&gt;"&amp;""))</f>
        <v>35</v>
      </c>
      <c r="B36" s="37" t="s">
        <v>803</v>
      </c>
      <c r="C36" s="38" t="str">
        <f ca="1">FormatTest!A36</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D36" s="38" t="s">
        <v>592</v>
      </c>
      <c r="E36" s="39" t="str">
        <f ca="1">FormatTest!C36</f>
        <v>&lt;BR&gt;&lt;BR&gt;Benefit Status=CUR&lt;BR&gt;Review created on FAL screen=No Review&lt;BR&gt;Customer FTB (A) Status=CUR&lt;BR&gt;Customer FTB (B) Status=CUR&lt;BR&gt;Customer RA Status=N-HOM&lt;BR&gt;Child Eligibility FTB(A)=Y&lt;BR&gt;Child Eligibility FTB(B)=Y</v>
      </c>
      <c r="F36" s="37" t="s">
        <v>13</v>
      </c>
      <c r="G36" s="37"/>
      <c r="H36" s="37"/>
      <c r="I36" s="41" t="str">
        <f ca="1">OFFSET(BuildTest!$D$202,MOD(ROW()-ROW($D$2),ROWS(BuildTest!$D$202:$D$202)),TRUNC((ROW()-ROW($D$2))/ROWS(BuildTest!$D$202:$D$202)),1,1)</f>
        <v>FTB.Regression.NCL.Single customer.AU citzen.ALL</v>
      </c>
      <c r="J36" s="41" t="s">
        <v>16</v>
      </c>
      <c r="K36" s="41" t="str">
        <f ca="1">FormatTest!F36</f>
        <v>Index a FTB/NCL with below circumstance description &lt;BR&gt;&lt;BR&gt;&lt;B&gt;Customer  circumstances&lt;/B&gt;&lt;BR&gt;Residential Qualification = AU citizen&lt;BR&gt;Direct Credit details   =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L36" s="41" t="str">
        <f ca="1">FormatTest!G36</f>
        <v>Verify Assessment and Eligibility outcome
&lt;BR&gt;&lt;BR&gt;Benefit Status=CUR&lt;BR&gt;Review created on FAL screen=No Review&lt;BR&gt;Customer FTB (A) Status=CUR&lt;BR&gt;Customer FTB (B) Status=CUR&lt;BR&gt;Customer RA Status=N-HOM&lt;BR&gt;Child Eligibility FTB(A)=Y&lt;BR&gt;Child Eligibility FTB(B)=Y</v>
      </c>
      <c r="M36" s="41" t="s">
        <v>322</v>
      </c>
      <c r="N36" s="41"/>
      <c r="O36" s="41" t="s">
        <v>410</v>
      </c>
      <c r="P36" s="41" t="s">
        <v>609</v>
      </c>
      <c r="Q36" s="41" t="s">
        <v>441</v>
      </c>
      <c r="R36" s="41" t="s">
        <v>14</v>
      </c>
      <c r="S36" s="41" t="s">
        <v>893</v>
      </c>
      <c r="T36" s="44" t="str">
        <f t="shared" ref="T36:T80" ca="1" si="14">IF(ISBLANK(A36),"",IF(A36&lt;10,"00",IF(A36&gt;99,"","0"))&amp;A36&amp;IF(LEFT(I36,1)=".",I36,"."&amp;I36))</f>
        <v>035.FTB.Regression.NCL.Single customer.AU citzen.ALL</v>
      </c>
      <c r="U36" s="44" t="str">
        <f ca="1">CONCATENATE("&lt;HTML&gt;&lt;font color=#0000FF&gt;&lt;B&gt;PURPOSE:  &lt;/B&gt;&lt;/font&gt;&lt;BR&gt;",C36,"&lt;BR&gt;&lt;BR&gt;&lt;BR&gt;&lt;font color=#0000FF&gt;&lt;B&gt;Pre-requisites:  &lt;/B&gt;&lt;/font&gt;",D36,"&lt;BR&gt;&lt;BR&gt;&lt;font color=#0000FF&gt;&lt;B&gt;User Spec Name:  &lt;/B&gt;&lt;/font&gt;",Cover!$C$8,"&lt;BR&gt;",Cover!$F$8,"&lt;BR&gt;&lt;font color=#0000FF&gt;&lt;B&gt;User Spec Reference:  &lt;/B&gt;&lt;/font&gt;",B36,"&lt;/HTML&gt;")</f>
        <v>&lt;HTML&gt;&lt;font color=#0000FF&gt;&lt;B&gt;PURPOSE:  &lt;/B&gt;&lt;/font&gt;&lt;BR&gt;The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2&lt;/HTML&gt;</v>
      </c>
      <c r="V36" s="44" t="str">
        <f t="shared" ref="V36:V80" ca="1" si="15">CONCATENATE("&lt;HTML&gt;",K36,"&lt;/HTML&gt;")</f>
        <v>&lt;HTML&gt;Index a FTB/NCL with below circumstance description &lt;BR&gt;&lt;BR&gt;&lt;B&gt;Customer  circumstances&lt;/B&gt;&lt;BR&gt;Residential Qualification = AU citizen&lt;BR&gt;Direct Credit details   =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care&lt;/HTML&gt;</v>
      </c>
      <c r="W36" s="44" t="str">
        <f t="shared" ref="W36:W80" ca="1" si="16">CONCATENATE("&lt;HTML&gt;",L36,"&lt;/HTML&gt;")</f>
        <v>&lt;HTML&gt;Verify Assessment and Eligibility outcome
&lt;BR&gt;&lt;BR&gt;Benefit Status=CUR&lt;BR&gt;Review created on FAL screen=No Review&lt;BR&gt;Customer FTB (A) Status=CUR&lt;BR&gt;Customer FTB (B) Status=CUR&lt;BR&gt;Customer RA Status=N-HOM&lt;BR&gt;Child Eligibility FTB(A)=Y&lt;BR&gt;Child Eligibility FTB(B)=Y&lt;/HTML&gt;</v>
      </c>
    </row>
    <row r="37" spans="1:23" ht="409.5">
      <c r="A37" s="36">
        <f>IF(B37="","",COUNTIF($B$2:B37,"&lt;&gt;"&amp;""))</f>
        <v>36</v>
      </c>
      <c r="B37" s="37" t="s">
        <v>804</v>
      </c>
      <c r="C37" s="38" t="str">
        <f ca="1">FormatTest!A37</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 Exemption - FNG&lt;BR&gt;TFN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D37" s="38" t="s">
        <v>592</v>
      </c>
      <c r="E37" s="39" t="str">
        <f ca="1">FormatTest!C37</f>
        <v>&lt;BR&gt;&lt;BR&gt;Benefit Status=CUR&lt;BR&gt;Review created on FAL screen=No Review&lt;BR&gt;Customer FTB (A) Status=CUR&lt;BR&gt;Customer FTB (B) Status=CUR&lt;BR&gt;Customer RA Status=N-HOM&lt;BR&gt;Child Eligibility FTB(A)=Y&lt;BR&gt;Child Eligibility FTB(B)=Y</v>
      </c>
      <c r="F37" s="37" t="s">
        <v>13</v>
      </c>
      <c r="G37" s="37"/>
      <c r="H37" s="37"/>
      <c r="I37" s="41" t="str">
        <f ca="1">OFFSET(BuildTest!$D$202,MOD(ROW()-ROW($D$2),ROWS(BuildTest!$D$202:$D$202)),TRUNC((ROW()-ROW($D$2))/ROWS(BuildTest!$D$202:$D$202)),1,1)</f>
        <v>FTB.Regression.NCL.Single customer.AU citzen.Direct credit circ.Exempt FNG</v>
      </c>
      <c r="J37" s="41" t="s">
        <v>16</v>
      </c>
      <c r="K37" s="41" t="str">
        <f ca="1">FormatTest!F37</f>
        <v>Index a FTB/NCL with below circumstance description &lt;BR&gt;&lt;BR&gt;&lt;B&gt;Customer  circumstances&lt;/B&gt;&lt;BR&gt;Residential Qualification = AU citizen&lt;BR&gt;Direct Credit details   = Coded Exemption - FNG&lt;BR&gt;TFN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L37" s="41" t="str">
        <f ca="1">FormatTest!G37</f>
        <v>Verify Assessment and Eligibility outcome
&lt;BR&gt;&lt;BR&gt;Benefit Status=CUR&lt;BR&gt;Review created on FAL screen=No Review&lt;BR&gt;Customer FTB (A) Status=CUR&lt;BR&gt;Customer FTB (B) Status=CUR&lt;BR&gt;Customer RA Status=N-HOM&lt;BR&gt;Child Eligibility FTB(A)=Y&lt;BR&gt;Child Eligibility FTB(B)=Y</v>
      </c>
      <c r="M37" s="41" t="s">
        <v>322</v>
      </c>
      <c r="N37" s="41"/>
      <c r="O37" s="41" t="s">
        <v>410</v>
      </c>
      <c r="P37" s="41" t="s">
        <v>609</v>
      </c>
      <c r="Q37" s="41" t="s">
        <v>441</v>
      </c>
      <c r="R37" s="41" t="s">
        <v>14</v>
      </c>
      <c r="S37" s="41" t="s">
        <v>893</v>
      </c>
      <c r="T37" s="44" t="str">
        <f t="shared" ca="1" si="14"/>
        <v>036.FTB.Regression.NCL.Single customer.AU citzen.Direct credit circ.Exempt FNG</v>
      </c>
      <c r="U37" s="44" t="str">
        <f ca="1">CONCATENATE("&lt;HTML&gt;&lt;font color=#0000FF&gt;&lt;B&gt;PURPOSE:  &lt;/B&gt;&lt;/font&gt;&lt;BR&gt;",C37,"&lt;BR&gt;&lt;BR&gt;&lt;BR&gt;&lt;font color=#0000FF&gt;&lt;B&gt;Pre-requisites:  &lt;/B&gt;&lt;/font&gt;",D37,"&lt;BR&gt;&lt;BR&gt;&lt;font color=#0000FF&gt;&lt;B&gt;User Spec Name:  &lt;/B&gt;&lt;/font&gt;",Cover!$C$8,"&lt;BR&gt;",Cover!$F$8,"&lt;BR&gt;&lt;font color=#0000FF&gt;&lt;B&gt;User Spec Reference:  &lt;/B&gt;&lt;/font&gt;",B37,"&lt;/HTML&gt;")</f>
        <v>&lt;HTML&gt;&lt;font color=#0000FF&gt;&lt;B&gt;PURPOSE:  &lt;/B&gt;&lt;/font&gt;&lt;BR&gt;The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 Exemption - FNG&lt;BR&gt;TFN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3&lt;/HTML&gt;</v>
      </c>
      <c r="V37" s="44" t="str">
        <f t="shared" ca="1" si="15"/>
        <v>&lt;HTML&gt;Index a FTB/NCL with below circumstance description &lt;BR&gt;&lt;BR&gt;&lt;B&gt;Customer  circumstances&lt;/B&gt;&lt;BR&gt;Residential Qualification = AU citizen&lt;BR&gt;Direct Credit details   = Coded Exemption - FNG&lt;BR&gt;TFN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care&lt;/HTML&gt;</v>
      </c>
      <c r="W37" s="44" t="str">
        <f t="shared" ca="1" si="16"/>
        <v>&lt;HTML&gt;Verify Assessment and Eligibility outcome
&lt;BR&gt;&lt;BR&gt;Benefit Status=CUR&lt;BR&gt;Review created on FAL screen=No Review&lt;BR&gt;Customer FTB (A) Status=CUR&lt;BR&gt;Customer FTB (B) Status=CUR&lt;BR&gt;Customer RA Status=N-HOM&lt;BR&gt;Child Eligibility FTB(A)=Y&lt;BR&gt;Child Eligibility FTB(B)=Y&lt;/HTML&gt;</v>
      </c>
    </row>
    <row r="38" spans="1:23" ht="409.5">
      <c r="A38" s="36">
        <f>IF(B38="","",COUNTIF($B$2:B38,"&lt;&gt;"&amp;""))</f>
        <v>37</v>
      </c>
      <c r="B38" s="37" t="s">
        <v>805</v>
      </c>
      <c r="C38" s="38" t="str">
        <f ca="1">FormatTest!A38</f>
        <v>The purpose of the test is to verify &lt;BR&gt;&lt;BR&gt;&lt;BR&gt;&lt;BR&gt;Benefit Status=NEF-BAN&lt;BR&gt;Review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AU citizen&lt;BR&gt;Direct Credit details   = Not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D38" s="38" t="s">
        <v>592</v>
      </c>
      <c r="E38" s="39" t="str">
        <f ca="1">FormatTest!C38</f>
        <v>&lt;BR&gt;&lt;BR&gt;Benefit Status=NEF-BAN&lt;BR&gt;Review created on FAL screen=No Review&lt;BR&gt;Customer FTB (A) Status=NULL&lt;BR&gt;Customer FTB (B) Status=NULL&lt;BR&gt;Customer RA Status=N-NULL&lt;BR&gt;Child Eligibility FTB(A)=Y&lt;BR&gt;Child Eligibility FTB(B)=Y</v>
      </c>
      <c r="F38" s="37" t="s">
        <v>13</v>
      </c>
      <c r="G38" s="37"/>
      <c r="H38" s="37"/>
      <c r="I38" s="41" t="str">
        <f ca="1">OFFSET(BuildTest!$D$202,MOD(ROW()-ROW($D$2),ROWS(BuildTest!$D$202:$D$202)),TRUNC((ROW()-ROW($D$2))/ROWS(BuildTest!$D$202:$D$202)),1,1)</f>
        <v>FTB.Regression.NCL.Single customer.AU citzen.Direct credit circ.Not Coded</v>
      </c>
      <c r="J38" s="41" t="s">
        <v>16</v>
      </c>
      <c r="K38" s="41" t="str">
        <f ca="1">FormatTest!F38</f>
        <v>Index a FTB/NCL with below circumstance description &lt;BR&gt;&lt;BR&gt;&lt;B&gt;Customer  circumstances&lt;/B&gt;&lt;BR&gt;Residential Qualification = AU citizen&lt;BR&gt;Direct Credit details   = Not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L38" s="41" t="str">
        <f ca="1">FormatTest!G38</f>
        <v>Verify Assessment and Eligibility outcome
&lt;BR&gt;&lt;BR&gt;Benefit Status=NEF-BAN&lt;BR&gt;Review created on FAL screen=No Review&lt;BR&gt;Customer FTB (A) Status=NULL&lt;BR&gt;Customer FTB (B) Status=NULL&lt;BR&gt;Customer RA Status=N-NULL&lt;BR&gt;Child Eligibility FTB(A)=Y&lt;BR&gt;Child Eligibility FTB(B)=Y</v>
      </c>
      <c r="M38" s="41" t="s">
        <v>322</v>
      </c>
      <c r="N38" s="41"/>
      <c r="O38" s="41" t="s">
        <v>410</v>
      </c>
      <c r="P38" s="41" t="s">
        <v>609</v>
      </c>
      <c r="Q38" s="41" t="s">
        <v>441</v>
      </c>
      <c r="R38" s="41" t="s">
        <v>14</v>
      </c>
      <c r="S38" s="41" t="s">
        <v>893</v>
      </c>
      <c r="T38" s="44" t="str">
        <f t="shared" ca="1" si="14"/>
        <v>037.FTB.Regression.NCL.Single customer.AU citzen.Direct credit circ.Not Coded</v>
      </c>
      <c r="U38" s="44" t="str">
        <f ca="1">CONCATENATE("&lt;HTML&gt;&lt;font color=#0000FF&gt;&lt;B&gt;PURPOSE:  &lt;/B&gt;&lt;/font&gt;&lt;BR&gt;",C38,"&lt;BR&gt;&lt;BR&gt;&lt;BR&gt;&lt;font color=#0000FF&gt;&lt;B&gt;Pre-requisites:  &lt;/B&gt;&lt;/font&gt;",D38,"&lt;BR&gt;&lt;BR&gt;&lt;font color=#0000FF&gt;&lt;B&gt;User Spec Name:  &lt;/B&gt;&lt;/font&gt;",Cover!$C$8,"&lt;BR&gt;",Cover!$F$8,"&lt;BR&gt;&lt;font color=#0000FF&gt;&lt;B&gt;User Spec Reference:  &lt;/B&gt;&lt;/font&gt;",B38,"&lt;/HTML&gt;")</f>
        <v>&lt;HTML&gt;&lt;font color=#0000FF&gt;&lt;B&gt;PURPOSE:  &lt;/B&gt;&lt;/font&gt;&lt;BR&gt;The purpose of the test is to verify &lt;BR&gt;&lt;BR&gt;&lt;BR&gt;&lt;BR&gt;Benefit Status=NEF-BAN&lt;BR&gt;Review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AU citizen&lt;BR&gt;Direct Credit details   = Not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4&lt;/HTML&gt;</v>
      </c>
      <c r="V38" s="44" t="str">
        <f t="shared" ca="1" si="15"/>
        <v>&lt;HTML&gt;Index a FTB/NCL with below circumstance description &lt;BR&gt;&lt;BR&gt;&lt;B&gt;Customer  circumstances&lt;/B&gt;&lt;BR&gt;Residential Qualification = AU citizen&lt;BR&gt;Direct Credit details   = Not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care&lt;/HTML&gt;</v>
      </c>
      <c r="W38" s="44" t="str">
        <f t="shared" ca="1" si="16"/>
        <v>&lt;HTML&gt;Verify Assessment and Eligibility outcome
&lt;BR&gt;&lt;BR&gt;Benefit Status=NEF-BAN&lt;BR&gt;Review created on FAL screen=No Review&lt;BR&gt;Customer FTB (A) Status=NULL&lt;BR&gt;Customer FTB (B) Status=NULL&lt;BR&gt;Customer RA Status=N-NULL&lt;BR&gt;Child Eligibility FTB(A)=Y&lt;BR&gt;Child Eligibility FTB(B)=Y&lt;/HTML&gt;</v>
      </c>
    </row>
    <row r="39" spans="1:23" ht="409.5">
      <c r="A39" s="36">
        <f>IF(B39="","",COUNTIF($B$2:B39,"&lt;&gt;"&amp;""))</f>
        <v>38</v>
      </c>
      <c r="B39" s="37" t="s">
        <v>806</v>
      </c>
      <c r="C39" s="38" t="str">
        <f ca="1">FormatTest!A39</f>
        <v>The purpose of the test is to verify &lt;BR&gt;&lt;BR&gt;&lt;BR&gt;&lt;BR&gt;Benefit Status=NEF-NTC&lt;BR&gt;Review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AU citizen&lt;BR&gt;Direct Credit details   = Coded&lt;BR&gt;TFN details = Not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D39" s="38" t="s">
        <v>592</v>
      </c>
      <c r="E39" s="39" t="str">
        <f ca="1">FormatTest!C39</f>
        <v>&lt;BR&gt;&lt;BR&gt;Benefit Status=NEF-NTC&lt;BR&gt;Review created on FAL screen=No Review&lt;BR&gt;Customer FTB (A) Status=NULL&lt;BR&gt;Customer FTB (B) Status=NULL&lt;BR&gt;Customer RA Status=N-NULL&lt;BR&gt;Child Eligibility FTB(A)=Y&lt;BR&gt;Child Eligibility FTB(B)=Y</v>
      </c>
      <c r="F39" s="37" t="s">
        <v>13</v>
      </c>
      <c r="G39" s="37"/>
      <c r="H39" s="37"/>
      <c r="I39" s="41" t="str">
        <f ca="1">OFFSET(BuildTest!$D$202,MOD(ROW()-ROW($D$2),ROWS(BuildTest!$D$202:$D$202)),TRUNC((ROW()-ROW($D$2))/ROWS(BuildTest!$D$202:$D$202)),1,1)</f>
        <v>FTB.Regression.NCL.Single customer.AU citzen.TFN circ.Not coded</v>
      </c>
      <c r="J39" s="41" t="s">
        <v>16</v>
      </c>
      <c r="K39" s="41" t="str">
        <f ca="1">FormatTest!F39</f>
        <v>Index a FTB/NCL with below circumstance description &lt;BR&gt;&lt;BR&gt;&lt;B&gt;Customer  circumstances&lt;/B&gt;&lt;BR&gt;Residential Qualification = AU citizen&lt;BR&gt;Direct Credit details   = Coded&lt;BR&gt;TFN details = Not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L39" s="41" t="str">
        <f ca="1">FormatTest!G39</f>
        <v>Verify Assessment and Eligibility outcome
&lt;BR&gt;&lt;BR&gt;Benefit Status=NEF-NTC&lt;BR&gt;Review created on FAL screen=No Review&lt;BR&gt;Customer FTB (A) Status=NULL&lt;BR&gt;Customer FTB (B) Status=NULL&lt;BR&gt;Customer RA Status=N-NULL&lt;BR&gt;Child Eligibility FTB(A)=Y&lt;BR&gt;Child Eligibility FTB(B)=Y</v>
      </c>
      <c r="M39" s="41" t="s">
        <v>322</v>
      </c>
      <c r="N39" s="41"/>
      <c r="O39" s="41" t="s">
        <v>410</v>
      </c>
      <c r="P39" s="41" t="s">
        <v>609</v>
      </c>
      <c r="Q39" s="41" t="s">
        <v>441</v>
      </c>
      <c r="R39" s="41" t="s">
        <v>14</v>
      </c>
      <c r="S39" s="41" t="s">
        <v>893</v>
      </c>
      <c r="T39" s="44" t="str">
        <f t="shared" ca="1" si="14"/>
        <v>038.FTB.Regression.NCL.Single customer.AU citzen.TFN circ.Not coded</v>
      </c>
      <c r="U39" s="44" t="str">
        <f ca="1">CONCATENATE("&lt;HTML&gt;&lt;font color=#0000FF&gt;&lt;B&gt;PURPOSE:  &lt;/B&gt;&lt;/font&gt;&lt;BR&gt;",C39,"&lt;BR&gt;&lt;BR&gt;&lt;BR&gt;&lt;font color=#0000FF&gt;&lt;B&gt;Pre-requisites:  &lt;/B&gt;&lt;/font&gt;",D39,"&lt;BR&gt;&lt;BR&gt;&lt;font color=#0000FF&gt;&lt;B&gt;User Spec Name:  &lt;/B&gt;&lt;/font&gt;",Cover!$C$8,"&lt;BR&gt;",Cover!$F$8,"&lt;BR&gt;&lt;font color=#0000FF&gt;&lt;B&gt;User Spec Reference:  &lt;/B&gt;&lt;/font&gt;",B39,"&lt;/HTML&gt;")</f>
        <v>&lt;HTML&gt;&lt;font color=#0000FF&gt;&lt;B&gt;PURPOSE:  &lt;/B&gt;&lt;/font&gt;&lt;BR&gt;The purpose of the test is to verify &lt;BR&gt;&lt;BR&gt;&lt;BR&gt;&lt;BR&gt;Benefit Status=NEF-NTC&lt;BR&gt;Review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AU citizen&lt;BR&gt;Direct Credit details   = Coded&lt;BR&gt;TFN details = Not Coded&lt;BR&gt;Secondary Earner income = Less than $21,499&lt;BR&gt;Home ownership code = Home owner - HOM&lt;BR&gt;&lt;BR&gt;&lt;BR&gt;&lt;B&gt;Child  circumstances&lt;/B&gt;&lt;BR&gt;Number of Child(ren) = 1&lt;BR&gt;Age of Child = &lt;= 5yr&lt;BR&gt;Principal Care Type = Step Parent&lt;BR&gt;Care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5&lt;/HTML&gt;</v>
      </c>
      <c r="V39" s="44" t="str">
        <f t="shared" ca="1" si="15"/>
        <v>&lt;HTML&gt;Index a FTB/NCL with below circumstance description &lt;BR&gt;&lt;BR&gt;&lt;B&gt;Customer  circumstances&lt;/B&gt;&lt;BR&gt;Residential Qualification = AU citizen&lt;BR&gt;Direct Credit details   = Coded&lt;BR&gt;TFN details = Not Coded&lt;BR&gt;Secondary Earner income = Less than $21,499&lt;BR&gt;Home ownership code = Home owner - HOM&lt;BR&gt;&lt;BR&gt;&lt;BR&gt;&lt;B&gt;Child  circumstances&lt;/B&gt;&lt;BR&gt;Number of Child(ren) = 1&lt;BR&gt;Age of Child = &lt;= 5yr&lt;BR&gt;Principal Care Type = Step Parent&lt;BR&gt;Care Percentage = 100% of Customer's care&lt;/HTML&gt;</v>
      </c>
      <c r="W39" s="44" t="str">
        <f t="shared" ca="1" si="16"/>
        <v>&lt;HTML&gt;Verify Assessment and Eligibility outcome
&lt;BR&gt;&lt;BR&gt;Benefit Status=NEF-NTC&lt;BR&gt;Review created on FAL screen=No Review&lt;BR&gt;Customer FTB (A) Status=NULL&lt;BR&gt;Customer FTB (B) Status=NULL&lt;BR&gt;Customer RA Status=N-NULL&lt;BR&gt;Child Eligibility FTB(A)=Y&lt;BR&gt;Child Eligibility FTB(B)=Y&lt;/HTML&gt;</v>
      </c>
    </row>
    <row r="40" spans="1:23" ht="409.5">
      <c r="A40" s="36">
        <f>IF(B40="","",COUNTIF($B$2:B40,"&lt;&gt;"&amp;""))</f>
        <v>39</v>
      </c>
      <c r="B40" s="37" t="s">
        <v>807</v>
      </c>
      <c r="C40" s="38" t="str">
        <f ca="1">FormatTest!A40</f>
        <v>The purpose of the test is to verify &lt;BR&gt;&lt;BR&gt;&lt;BR&gt;&lt;BR&gt;Benefit Status=REJ-INC&lt;BR&gt;Review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AU citizen&lt;BR&gt;Direct Credit details   = Coded&lt;BR&gt;TFN details = Coded&lt;BR&gt;Secondary Earner income = More than $ 27,613&lt;BR&gt;Home ownership code = Home owner - HOM&lt;BR&gt;&lt;BR&gt;&lt;BR&gt;&lt;B&gt;Child  circumstances&lt;/B&gt;&lt;BR&gt;Number of Child(ren) = 1&lt;BR&gt;Age of Child = &lt;= 5yr&lt;BR&gt;Principal Care Type = Step Parent&lt;BR&gt;Care Percentage = 100% of Customer's care</v>
      </c>
      <c r="D40" s="38" t="s">
        <v>592</v>
      </c>
      <c r="E40" s="39" t="str">
        <f ca="1">FormatTest!C40</f>
        <v>&lt;BR&gt;&lt;BR&gt;Benefit Status=REJ-INC&lt;BR&gt;Review created on FAL screen=No Review&lt;BR&gt;Customer FTB (A) Status=NULL&lt;BR&gt;Customer FTB (B) Status=NULL&lt;BR&gt;Customer RA Status=N-NULL&lt;BR&gt;Child Eligibility FTB(A)=Y&lt;BR&gt;Child Eligibility FTB(B)=Y</v>
      </c>
      <c r="F40" s="37" t="s">
        <v>13</v>
      </c>
      <c r="G40" s="37"/>
      <c r="H40" s="37"/>
      <c r="I40" s="41" t="str">
        <f ca="1">OFFSET(BuildTest!$D$202,MOD(ROW()-ROW($D$2),ROWS(BuildTest!$D$202:$D$202)),TRUNC((ROW()-ROW($D$2))/ROWS(BuildTest!$D$202:$D$202)),1,1)</f>
        <v>FTB.Regression.NCL.Single customer.AU citzen.Income circ. Income above threshold</v>
      </c>
      <c r="J40" s="41" t="s">
        <v>16</v>
      </c>
      <c r="K40" s="41" t="str">
        <f ca="1">FormatTest!F40</f>
        <v>Index a FTB/NCL with below circumstance description &lt;BR&gt;&lt;BR&gt;&lt;B&gt;Customer  circumstances&lt;/B&gt;&lt;BR&gt;Residential Qualification = AU citizen&lt;BR&gt;Direct Credit details   = Coded&lt;BR&gt;TFN details = Coded&lt;BR&gt;Secondary Earner income = More than $ 27,613&lt;BR&gt;Home ownership code = Home owner - HOM&lt;BR&gt;&lt;BR&gt;&lt;BR&gt;&lt;B&gt;Child  circumstances&lt;/B&gt;&lt;BR&gt;Number of Child(ren) = 1&lt;BR&gt;Age of Child = &lt;= 5yr&lt;BR&gt;Principal Care Type = Step Parent&lt;BR&gt;Care Percentage = 100% of Customer's care</v>
      </c>
      <c r="L40" s="41" t="str">
        <f ca="1">FormatTest!G40</f>
        <v>Verify Assessment and Eligibility outcome
&lt;BR&gt;&lt;BR&gt;Benefit Status=REJ-INC&lt;BR&gt;Review created on FAL screen=No Review&lt;BR&gt;Customer FTB (A) Status=NULL&lt;BR&gt;Customer FTB (B) Status=NULL&lt;BR&gt;Customer RA Status=N-NULL&lt;BR&gt;Child Eligibility FTB(A)=Y&lt;BR&gt;Child Eligibility FTB(B)=Y</v>
      </c>
      <c r="M40" s="41" t="s">
        <v>322</v>
      </c>
      <c r="N40" s="41"/>
      <c r="O40" s="41" t="s">
        <v>410</v>
      </c>
      <c r="P40" s="41" t="s">
        <v>609</v>
      </c>
      <c r="Q40" s="41" t="s">
        <v>441</v>
      </c>
      <c r="R40" s="41" t="s">
        <v>14</v>
      </c>
      <c r="S40" s="41" t="s">
        <v>893</v>
      </c>
      <c r="T40" s="44" t="str">
        <f t="shared" ca="1" si="14"/>
        <v>039.FTB.Regression.NCL.Single customer.AU citzen.Income circ. Income above threshold</v>
      </c>
      <c r="U40" s="44" t="str">
        <f ca="1">CONCATENATE("&lt;HTML&gt;&lt;font color=#0000FF&gt;&lt;B&gt;PURPOSE:  &lt;/B&gt;&lt;/font&gt;&lt;BR&gt;",C40,"&lt;BR&gt;&lt;BR&gt;&lt;BR&gt;&lt;font color=#0000FF&gt;&lt;B&gt;Pre-requisites:  &lt;/B&gt;&lt;/font&gt;",D40,"&lt;BR&gt;&lt;BR&gt;&lt;font color=#0000FF&gt;&lt;B&gt;User Spec Name:  &lt;/B&gt;&lt;/font&gt;",Cover!$C$8,"&lt;BR&gt;",Cover!$F$8,"&lt;BR&gt;&lt;font color=#0000FF&gt;&lt;B&gt;User Spec Reference:  &lt;/B&gt;&lt;/font&gt;",B40,"&lt;/HTML&gt;")</f>
        <v>&lt;HTML&gt;&lt;font color=#0000FF&gt;&lt;B&gt;PURPOSE:  &lt;/B&gt;&lt;/font&gt;&lt;BR&gt;The purpose of the test is to verify &lt;BR&gt;&lt;BR&gt;&lt;BR&gt;&lt;BR&gt;Benefit Status=REJ-INC&lt;BR&gt;Review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AU citizen&lt;BR&gt;Direct Credit details   = Coded&lt;BR&gt;TFN details = Coded&lt;BR&gt;Secondary Earner income = More than $ 27,613&lt;BR&gt;Home ownership code = Home owner - HOM&lt;BR&gt;&lt;BR&gt;&lt;BR&gt;&lt;B&gt;Child  circumstances&lt;/B&gt;&lt;BR&gt;Number of Child(ren) = 1&lt;BR&gt;Age of Child = &lt;= 5yr&lt;BR&gt;Principal Care Type = Step Parent&lt;BR&gt;Care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6&lt;/HTML&gt;</v>
      </c>
      <c r="V40" s="44" t="str">
        <f t="shared" ca="1" si="15"/>
        <v>&lt;HTML&gt;Index a FTB/NCL with below circumstance description &lt;BR&gt;&lt;BR&gt;&lt;B&gt;Customer  circumstances&lt;/B&gt;&lt;BR&gt;Residential Qualification = AU citizen&lt;BR&gt;Direct Credit details   = Coded&lt;BR&gt;TFN details = Coded&lt;BR&gt;Secondary Earner income = More than $ 27,613&lt;BR&gt;Home ownership code = Home owner - HOM&lt;BR&gt;&lt;BR&gt;&lt;BR&gt;&lt;B&gt;Child  circumstances&lt;/B&gt;&lt;BR&gt;Number of Child(ren) = 1&lt;BR&gt;Age of Child = &lt;= 5yr&lt;BR&gt;Principal Care Type = Step Parent&lt;BR&gt;Care Percentage = 100% of Customer's care&lt;/HTML&gt;</v>
      </c>
      <c r="W40" s="44" t="str">
        <f t="shared" ca="1" si="16"/>
        <v>&lt;HTML&gt;Verify Assessment and Eligibility outcome
&lt;BR&gt;&lt;BR&gt;Benefit Status=REJ-INC&lt;BR&gt;Review created on FAL screen=No Review&lt;BR&gt;Customer FTB (A) Status=NULL&lt;BR&gt;Customer FTB (B) Status=NULL&lt;BR&gt;Customer RA Status=N-NULL&lt;BR&gt;Child Eligibility FTB(A)=Y&lt;BR&gt;Child Eligibility FTB(B)=Y&lt;/HTML&gt;</v>
      </c>
    </row>
    <row r="41" spans="1:23" ht="409.5">
      <c r="A41" s="36">
        <f>IF(B41="","",COUNTIF($B$2:B41,"&lt;&gt;"&amp;""))</f>
        <v>40</v>
      </c>
      <c r="B41" s="37" t="s">
        <v>808</v>
      </c>
      <c r="C41" s="38" t="str">
        <f ca="1">FormatTest!A41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D41" s="38" t="s">
        <v>592</v>
      </c>
      <c r="E41" s="39" t="str">
        <f ca="1">FormatTest!C41</f>
        <v>&lt;BR&gt;&lt;BR&gt;Benefit Status=CUR&lt;BR&gt;Review created on FAL screen=No Review&lt;BR&gt;Customer FTB (A) Status=CUR&lt;BR&gt;Customer FTB (B) Status=CUR&lt;BR&gt;Customer RA Status=N-HOM&lt;BR&gt;Child Eligibility FTB(A)=Y&lt;BR&gt;Child Eligibility FTB(B)=Y</v>
      </c>
      <c r="F41" s="37" t="s">
        <v>13</v>
      </c>
      <c r="G41" s="37"/>
      <c r="H41" s="37"/>
      <c r="I41" s="41" t="str">
        <f ca="1">OFFSET(BuildTest!$D$202,MOD(ROW()-ROW($D$2),ROWS(BuildTest!$D$202:$D$202)),TRUNC((ROW()-ROW($D$2))/ROWS(BuildTest!$D$202:$D$202)),1,1)</f>
        <v>FTB.Regression.NCL.Single customer.AU citzen.Relation type circ. adoptive parent</v>
      </c>
      <c r="J41" s="41" t="s">
        <v>16</v>
      </c>
      <c r="K41" s="41" t="str">
        <f ca="1">FormatTest!F41</f>
        <v>Index a FTB/NCL with below circumstance description &lt;BR&gt;&lt;BR&gt;&lt;B&gt;Customer  circumstances&lt;/B&gt;&lt;BR&gt;Residential Qualification = AU citizen&lt;BR&gt;Direct Credit details   =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L41" s="41" t="str">
        <f ca="1">FormatTest!G41</f>
        <v>Verify Assessment and Eligibility outcome
&lt;BR&gt;&lt;BR&gt;Benefit Status=CUR&lt;BR&gt;Review created on FAL screen=No Review&lt;BR&gt;Customer FTB (A) Status=CUR&lt;BR&gt;Customer FTB (B) Status=CUR&lt;BR&gt;Customer RA Status=N-HOM&lt;BR&gt;Child Eligibility FTB(A)=Y&lt;BR&gt;Child Eligibility FTB(B)=Y</v>
      </c>
      <c r="M41" s="41" t="s">
        <v>322</v>
      </c>
      <c r="N41" s="41"/>
      <c r="O41" s="41" t="s">
        <v>410</v>
      </c>
      <c r="P41" s="41" t="s">
        <v>609</v>
      </c>
      <c r="Q41" s="41" t="s">
        <v>441</v>
      </c>
      <c r="R41" s="41" t="s">
        <v>14</v>
      </c>
      <c r="S41" s="41" t="s">
        <v>893</v>
      </c>
      <c r="T41" s="44" t="str">
        <f t="shared" ca="1" si="14"/>
        <v>040.FTB.Regression.NCL.Single customer.AU citzen.Relation type circ. adoptive parent</v>
      </c>
      <c r="U41" s="44" t="str">
        <f ca="1">CONCATENATE("&lt;HTML&gt;&lt;font color=#0000FF&gt;&lt;B&gt;PURPOSE:  &lt;/B&gt;&lt;/font&gt;&lt;BR&gt;",C41,"&lt;BR&gt;&lt;BR&gt;&lt;BR&gt;&lt;font color=#0000FF&gt;&lt;B&gt;Pre-requisites:  &lt;/B&gt;&lt;/font&gt;",D41,"&lt;BR&gt;&lt;BR&gt;&lt;font color=#0000FF&gt;&lt;B&gt;User Spec Name:  &lt;/B&gt;&lt;/font&gt;",Cover!$C$8,"&lt;BR&gt;",Cover!$F$8,"&lt;BR&gt;&lt;font color=#0000FF&gt;&lt;B&gt;User Spec Reference:  &lt;/B&gt;&lt;/font&gt;",B41,"&lt;/HTML&gt;")</f>
        <v>&lt;HTML&gt;&lt;font color=#0000FF&gt;&lt;B&gt;PURPOSE:  &lt;/B&gt;&lt;/font&gt;&lt;BR&gt;The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7&lt;/HTML&gt;</v>
      </c>
      <c r="V41" s="44" t="str">
        <f t="shared" ca="1" si="15"/>
        <v>&lt;HTML&gt;Index a FTB/NCL with below circumstance description &lt;BR&gt;&lt;BR&gt;&lt;B&gt;Customer  circumstances&lt;/B&gt;&lt;BR&gt;Residential Qualification = AU citizen&lt;BR&gt;Direct Credit details   =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care&lt;/HTML&gt;</v>
      </c>
      <c r="W41" s="44" t="str">
        <f t="shared" ca="1" si="16"/>
        <v>&lt;HTML&gt;Verify Assessment and Eligibility outcome
&lt;BR&gt;&lt;BR&gt;Benefit Status=CUR&lt;BR&gt;Review created on FAL screen=No Review&lt;BR&gt;Customer FTB (A) Status=CUR&lt;BR&gt;Customer FTB (B) Status=CUR&lt;BR&gt;Customer RA Status=N-HOM&lt;BR&gt;Child Eligibility FTB(A)=Y&lt;BR&gt;Child Eligibility FTB(B)=Y&lt;/HTML&gt;</v>
      </c>
    </row>
    <row r="42" spans="1:23" ht="409.5">
      <c r="A42" s="36">
        <f>IF(B42="","",COUNTIF($B$2:B42,"&lt;&gt;"&amp;""))</f>
        <v>41</v>
      </c>
      <c r="B42" s="37" t="s">
        <v>809</v>
      </c>
      <c r="C42" s="38" t="str">
        <f ca="1">FormatTest!A42</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D42" s="38" t="s">
        <v>592</v>
      </c>
      <c r="E42" s="39" t="str">
        <f ca="1">FormatTest!C42</f>
        <v>&lt;BR&gt;&lt;BR&gt;Benefit Status=CUR&lt;BR&gt;Review created on FAL screen=No Review&lt;BR&gt;Customer FTB (A) Status=CUR&lt;BR&gt;Customer FTB (B) Status=CUR&lt;BR&gt;Customer RA Status=N-HOM&lt;BR&gt;Child Eligibility FTB(A)=Y&lt;BR&gt;Child Eligibility FTB(B)=Y</v>
      </c>
      <c r="F42" s="37" t="s">
        <v>13</v>
      </c>
      <c r="G42" s="37"/>
      <c r="H42" s="37"/>
      <c r="I42" s="41" t="str">
        <f ca="1">OFFSET(BuildTest!$D$202,MOD(ROW()-ROW($D$2),ROWS(BuildTest!$D$202:$D$202)),TRUNC((ROW()-ROW($D$2))/ROWS(BuildTest!$D$202:$D$202)),1,1)</f>
        <v>FTB.Regression.NCL.Single customer.AU citzen.Relation type circ.foster carer</v>
      </c>
      <c r="J42" s="41" t="s">
        <v>16</v>
      </c>
      <c r="K42" s="41" t="str">
        <f ca="1">FormatTest!F42</f>
        <v>Index a FTB/NCL with below circumstance description &lt;BR&gt;&lt;BR&gt;&lt;B&gt;Customer  circumstances&lt;/B&gt;&lt;BR&gt;Residential Qualification = AU citizen&lt;BR&gt;Direct Credit details   =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L42" s="41" t="str">
        <f ca="1">FormatTest!G42</f>
        <v>Verify Assessment and Eligibility outcome
&lt;BR&gt;&lt;BR&gt;Benefit Status=CUR&lt;BR&gt;Review created on FAL screen=No Review&lt;BR&gt;Customer FTB (A) Status=CUR&lt;BR&gt;Customer FTB (B) Status=CUR&lt;BR&gt;Customer RA Status=N-HOM&lt;BR&gt;Child Eligibility FTB(A)=Y&lt;BR&gt;Child Eligibility FTB(B)=Y</v>
      </c>
      <c r="M42" s="41" t="s">
        <v>322</v>
      </c>
      <c r="N42" s="41"/>
      <c r="O42" s="41" t="s">
        <v>410</v>
      </c>
      <c r="P42" s="41" t="s">
        <v>609</v>
      </c>
      <c r="Q42" s="41" t="s">
        <v>441</v>
      </c>
      <c r="R42" s="41" t="s">
        <v>14</v>
      </c>
      <c r="S42" s="41" t="s">
        <v>893</v>
      </c>
      <c r="T42" s="44" t="str">
        <f t="shared" ca="1" si="14"/>
        <v>041.FTB.Regression.NCL.Single customer.AU citzen.Relation type circ.foster carer</v>
      </c>
      <c r="U42" s="44" t="str">
        <f ca="1">CONCATENATE("&lt;HTML&gt;&lt;font color=#0000FF&gt;&lt;B&gt;PURPOSE:  &lt;/B&gt;&lt;/font&gt;&lt;BR&gt;",C42,"&lt;BR&gt;&lt;BR&gt;&lt;BR&gt;&lt;font color=#0000FF&gt;&lt;B&gt;Pre-requisites:  &lt;/B&gt;&lt;/font&gt;",D42,"&lt;BR&gt;&lt;BR&gt;&lt;font color=#0000FF&gt;&lt;B&gt;User Spec Name:  &lt;/B&gt;&lt;/font&gt;",Cover!$C$8,"&lt;BR&gt;",Cover!$F$8,"&lt;BR&gt;&lt;font color=#0000FF&gt;&lt;B&gt;User Spec Reference:  &lt;/B&gt;&lt;/font&gt;",B42,"&lt;/HTML&gt;")</f>
        <v>&lt;HTML&gt;&lt;font color=#0000FF&gt;&lt;B&gt;PURPOSE:  &lt;/B&gt;&lt;/font&gt;&lt;BR&gt;The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8&lt;/HTML&gt;</v>
      </c>
      <c r="V42" s="44" t="str">
        <f t="shared" ca="1" si="15"/>
        <v>&lt;HTML&gt;Index a FTB/NCL with below circumstance description &lt;BR&gt;&lt;BR&gt;&lt;B&gt;Customer  circumstances&lt;/B&gt;&lt;BR&gt;Residential Qualification = AU citizen&lt;BR&gt;Direct Credit details   =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care&lt;/HTML&gt;</v>
      </c>
      <c r="W42" s="44" t="str">
        <f t="shared" ca="1" si="16"/>
        <v>&lt;HTML&gt;Verify Assessment and Eligibility outcome
&lt;BR&gt;&lt;BR&gt;Benefit Status=CUR&lt;BR&gt;Review created on FAL screen=No Review&lt;BR&gt;Customer FTB (A) Status=CUR&lt;BR&gt;Customer FTB (B) Status=CUR&lt;BR&gt;Customer RA Status=N-HOM&lt;BR&gt;Child Eligibility FTB(A)=Y&lt;BR&gt;Child Eligibility FTB(B)=Y&lt;/HTML&gt;</v>
      </c>
    </row>
    <row r="43" spans="1:23" ht="409.5">
      <c r="A43" s="36">
        <f>IF(B43="","",COUNTIF($B$2:B43,"&lt;&gt;"&amp;""))</f>
        <v>42</v>
      </c>
      <c r="B43" s="37" t="s">
        <v>810</v>
      </c>
      <c r="C43" s="38" t="str">
        <f ca="1">FormatTest!A43</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v>
      </c>
      <c r="D43" s="38" t="s">
        <v>592</v>
      </c>
      <c r="E43" s="39" t="str">
        <f ca="1">FormatTest!C43</f>
        <v>&lt;BR&gt;&lt;BR&gt;Benefit Status=CUR&lt;BR&gt;Review created on FAL screen=No Review&lt;BR&gt;Customer FTB (A) Status=CUR&lt;BR&gt;Customer FTB (B) Status=CUR&lt;BR&gt;Customer RA Status=N-HOM&lt;BR&gt;Child Eligibility FTB(A)=Y&lt;BR&gt;Child Eligibility FTB(B)=Y</v>
      </c>
      <c r="F43" s="37" t="s">
        <v>13</v>
      </c>
      <c r="G43" s="37"/>
      <c r="H43" s="37"/>
      <c r="I43" s="41" t="str">
        <f ca="1">OFFSET(BuildTest!$D$202,MOD(ROW()-ROW($D$2),ROWS(BuildTest!$D$202:$D$202)),TRUNC((ROW()-ROW($D$2))/ROWS(BuildTest!$D$202:$D$202)),1,1)</f>
        <v>FTB.Regression.NCL.Single customer.AU citzenRelation type circ.Other</v>
      </c>
      <c r="J43" s="41" t="s">
        <v>16</v>
      </c>
      <c r="K43" s="41" t="str">
        <f ca="1">FormatTest!F43</f>
        <v>Index a FTB/NCL with below circumstance description &lt;BR&gt;&lt;BR&gt;&lt;B&gt;Customer  circumstances&lt;/B&gt;&lt;BR&gt;Residential Qualification = AU citizen&lt;BR&gt;Direct Credit details   =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v>
      </c>
      <c r="L43" s="41" t="str">
        <f ca="1">FormatTest!G43</f>
        <v>Verify Assessment and Eligibility outcome
&lt;BR&gt;&lt;BR&gt;Benefit Status=CUR&lt;BR&gt;Review created on FAL screen=No Review&lt;BR&gt;Customer FTB (A) Status=CUR&lt;BR&gt;Customer FTB (B) Status=CUR&lt;BR&gt;Customer RA Status=N-HOM&lt;BR&gt;Child Eligibility FTB(A)=Y&lt;BR&gt;Child Eligibility FTB(B)=Y</v>
      </c>
      <c r="M43" s="41" t="s">
        <v>322</v>
      </c>
      <c r="N43" s="41"/>
      <c r="O43" s="41" t="s">
        <v>410</v>
      </c>
      <c r="P43" s="41" t="s">
        <v>609</v>
      </c>
      <c r="Q43" s="41" t="s">
        <v>441</v>
      </c>
      <c r="R43" s="41" t="s">
        <v>14</v>
      </c>
      <c r="S43" s="41" t="s">
        <v>893</v>
      </c>
      <c r="T43" s="44" t="str">
        <f t="shared" ca="1" si="14"/>
        <v>042.FTB.Regression.NCL.Single customer.AU citzenRelation type circ.Other</v>
      </c>
      <c r="U43" s="44" t="str">
        <f ca="1">CONCATENATE("&lt;HTML&gt;&lt;font color=#0000FF&gt;&lt;B&gt;PURPOSE:  &lt;/B&gt;&lt;/font&gt;&lt;BR&gt;",C43,"&lt;BR&gt;&lt;BR&gt;&lt;BR&gt;&lt;font color=#0000FF&gt;&lt;B&gt;Pre-requisites:  &lt;/B&gt;&lt;/font&gt;",D43,"&lt;BR&gt;&lt;BR&gt;&lt;font color=#0000FF&gt;&lt;B&gt;User Spec Name:  &lt;/B&gt;&lt;/font&gt;",Cover!$C$8,"&lt;BR&gt;",Cover!$F$8,"&lt;BR&gt;&lt;font color=#0000FF&gt;&lt;B&gt;User Spec Reference:  &lt;/B&gt;&lt;/font&gt;",B43,"&lt;/HTML&gt;")</f>
        <v>&lt;HTML&gt;&lt;font color=#0000FF&gt;&lt;B&gt;PURPOSE:  &lt;/B&gt;&lt;/font&gt;&lt;BR&gt;The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9&lt;/HTML&gt;</v>
      </c>
      <c r="V43" s="44" t="str">
        <f t="shared" ca="1" si="15"/>
        <v>&lt;HTML&gt;Index a FTB/NCL with below circumstance description &lt;BR&gt;&lt;BR&gt;&lt;B&gt;Customer  circumstances&lt;/B&gt;&lt;BR&gt;Residential Qualification = AU citizen&lt;BR&gt;Direct Credit details   =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care&lt;/HTML&gt;</v>
      </c>
      <c r="W43" s="44" t="str">
        <f t="shared" ca="1" si="16"/>
        <v>&lt;HTML&gt;Verify Assessment and Eligibility outcome
&lt;BR&gt;&lt;BR&gt;Benefit Status=CUR&lt;BR&gt;Review created on FAL screen=No Review&lt;BR&gt;Customer FTB (A) Status=CUR&lt;BR&gt;Customer FTB (B) Status=CUR&lt;BR&gt;Customer RA Status=N-HOM&lt;BR&gt;Child Eligibility FTB(A)=Y&lt;BR&gt;Child Eligibility FTB(B)=Y&lt;/HTML&gt;</v>
      </c>
    </row>
    <row r="44" spans="1:23" ht="409.5">
      <c r="A44" s="36">
        <f>IF(B44="","",COUNTIF($B$2:B44,"&lt;&gt;"&amp;""))</f>
        <v>43</v>
      </c>
      <c r="B44" s="37" t="s">
        <v>811</v>
      </c>
      <c r="C44" s="38" t="str">
        <f ca="1">FormatTest!A44</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D44" s="38" t="s">
        <v>592</v>
      </c>
      <c r="E44" s="39" t="str">
        <f ca="1">FormatTest!C44</f>
        <v>&lt;BR&gt;&lt;BR&gt;Benefit Status=CUR&lt;BR&gt;Review created on FAL screen=No Review&lt;BR&gt;Customer FTB (A) Status=CUR&lt;BR&gt;Customer FTB (B) Status=CUR&lt;BR&gt;Customer RA Status=N-HOM&lt;BR&gt;Child Eligibility FTB(A)=Y&lt;BR&gt;Child Eligibility FTB(B)=Y</v>
      </c>
      <c r="F44" s="37" t="s">
        <v>13</v>
      </c>
      <c r="G44" s="37"/>
      <c r="H44" s="37"/>
      <c r="I44" s="41" t="str">
        <f ca="1">OFFSET(BuildTest!$D$202,MOD(ROW()-ROW($D$2),ROWS(BuildTest!$D$202:$D$202)),TRUNC((ROW()-ROW($D$2))/ROWS(BuildTest!$D$202:$D$202)),1,1)</f>
        <v xml:space="preserve">FTB.Regression.NCL.Single customer.AU citzenRelation type circ.grandParent </v>
      </c>
      <c r="J44" s="41" t="s">
        <v>16</v>
      </c>
      <c r="K44" s="41" t="str">
        <f ca="1">FormatTest!F44</f>
        <v>Index a FTB/NCL with below circumstance description &lt;BR&gt;&lt;BR&gt;&lt;B&gt;Customer  circumstances&lt;/B&gt;&lt;BR&gt;Residential Qualification = AU citizen&lt;BR&gt;Direct Credit details   =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L44" s="41" t="str">
        <f ca="1">FormatTest!G44</f>
        <v>Verify Assessment and Eligibility outcome
&lt;BR&gt;&lt;BR&gt;Benefit Status=CUR&lt;BR&gt;Review created on FAL screen=No Review&lt;BR&gt;Customer FTB (A) Status=CUR&lt;BR&gt;Customer FTB (B) Status=CUR&lt;BR&gt;Customer RA Status=N-HOM&lt;BR&gt;Child Eligibility FTB(A)=Y&lt;BR&gt;Child Eligibility FTB(B)=Y</v>
      </c>
      <c r="M44" s="41" t="s">
        <v>322</v>
      </c>
      <c r="N44" s="41"/>
      <c r="O44" s="41" t="s">
        <v>410</v>
      </c>
      <c r="P44" s="41" t="s">
        <v>609</v>
      </c>
      <c r="Q44" s="41" t="s">
        <v>441</v>
      </c>
      <c r="R44" s="41" t="s">
        <v>14</v>
      </c>
      <c r="S44" s="41" t="s">
        <v>893</v>
      </c>
      <c r="T44" s="44" t="str">
        <f t="shared" ca="1" si="14"/>
        <v xml:space="preserve">043.FTB.Regression.NCL.Single customer.AU citzenRelation type circ.grandParent </v>
      </c>
      <c r="U44" s="44" t="str">
        <f ca="1">CONCATENATE("&lt;HTML&gt;&lt;font color=#0000FF&gt;&lt;B&gt;PURPOSE:  &lt;/B&gt;&lt;/font&gt;&lt;BR&gt;",C44,"&lt;BR&gt;&lt;BR&gt;&lt;BR&gt;&lt;font color=#0000FF&gt;&lt;B&gt;Pre-requisites:  &lt;/B&gt;&lt;/font&gt;",D44,"&lt;BR&gt;&lt;BR&gt;&lt;font color=#0000FF&gt;&lt;B&gt;User Spec Name:  &lt;/B&gt;&lt;/font&gt;",Cover!$C$8,"&lt;BR&gt;",Cover!$F$8,"&lt;BR&gt;&lt;font color=#0000FF&gt;&lt;B&gt;User Spec Reference:  &lt;/B&gt;&lt;/font&gt;",B44,"&lt;/HTML&gt;")</f>
        <v>&lt;HTML&gt;&lt;font color=#0000FF&gt;&lt;B&gt;PURPOSE:  &lt;/B&gt;&lt;/font&gt;&lt;BR&gt;The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10&lt;/HTML&gt;</v>
      </c>
      <c r="V44" s="44" t="str">
        <f t="shared" ca="1" si="15"/>
        <v>&lt;HTML&gt;Index a FTB/NCL with below circumstance description &lt;BR&gt;&lt;BR&gt;&lt;B&gt;Customer  circumstances&lt;/B&gt;&lt;BR&gt;Residential Qualification = AU citizen&lt;BR&gt;Direct Credit details   =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care&lt;/HTML&gt;</v>
      </c>
      <c r="W44" s="44" t="str">
        <f t="shared" ca="1" si="16"/>
        <v>&lt;HTML&gt;Verify Assessment and Eligibility outcome
&lt;BR&gt;&lt;BR&gt;Benefit Status=CUR&lt;BR&gt;Review created on FAL screen=No Review&lt;BR&gt;Customer FTB (A) Status=CUR&lt;BR&gt;Customer FTB (B) Status=CUR&lt;BR&gt;Customer RA Status=N-HOM&lt;BR&gt;Child Eligibility FTB(A)=Y&lt;BR&gt;Child Eligibility FTB(B)=Y&lt;/HTML&gt;</v>
      </c>
    </row>
    <row r="45" spans="1:23" ht="409.5">
      <c r="A45" s="36">
        <f>IF(B45="","",COUNTIF($B$2:B45,"&lt;&gt;"&amp;""))</f>
        <v>44</v>
      </c>
      <c r="B45" s="37" t="s">
        <v>812</v>
      </c>
      <c r="C45" s="38" t="str">
        <f ca="1">FormatTest!A45</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Permanent Resident Visa Class&lt;BR&gt;Direct Credit details   = Coded Exemption - FNG&lt;BR&gt;TFN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D45" s="38" t="s">
        <v>592</v>
      </c>
      <c r="E45" s="39" t="str">
        <f ca="1">FormatTest!C45</f>
        <v>&lt;BR&gt;&lt;BR&gt;Benefit Status=CUR&lt;BR&gt;Review created on FAL screen=No Review&lt;BR&gt;Customer FTB (A) Status=CUR&lt;BR&gt;Customer FTB (B) Status=CUR&lt;BR&gt;Customer RA Status=N-HOM&lt;BR&gt;Child Eligibility FTB(A)=Y&lt;BR&gt;Child Eligibility FTB(B)=Y</v>
      </c>
      <c r="F45" s="37" t="s">
        <v>13</v>
      </c>
      <c r="G45" s="37"/>
      <c r="H45" s="37"/>
      <c r="I45" s="41" t="str">
        <f ca="1">OFFSET(BuildTest!$D$202,MOD(ROW()-ROW($D$2),ROWS(BuildTest!$D$202:$D$202)),TRUNC((ROW()-ROW($D$2))/ROWS(BuildTest!$D$202:$D$202)),1,1)</f>
        <v>FTB.Regression.NCL.Single customer.Permanent Resident Visa.Direct credit circ.Exempt FNG</v>
      </c>
      <c r="J45" s="41" t="s">
        <v>16</v>
      </c>
      <c r="K45" s="41" t="str">
        <f ca="1">FormatTest!F45</f>
        <v>Index a FTB/NCL with below circumstance description &lt;BR&gt;&lt;BR&gt;&lt;B&gt;Customer  circumstances&lt;/B&gt;&lt;BR&gt;Residential Qualification = Permanent Resident Visa Class&lt;BR&gt;Direct Credit details   = Coded Exemption - FNG&lt;BR&gt;TFN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L45" s="41" t="str">
        <f ca="1">FormatTest!G45</f>
        <v>Verify Assessment and Eligibility outcome
&lt;BR&gt;&lt;BR&gt;Benefit Status=CUR&lt;BR&gt;Review created on FAL screen=No Review&lt;BR&gt;Customer FTB (A) Status=CUR&lt;BR&gt;Customer FTB (B) Status=CUR&lt;BR&gt;Customer RA Status=N-HOM&lt;BR&gt;Child Eligibility FTB(A)=Y&lt;BR&gt;Child Eligibility FTB(B)=Y</v>
      </c>
      <c r="M45" s="41" t="s">
        <v>322</v>
      </c>
      <c r="N45" s="41"/>
      <c r="O45" s="41" t="s">
        <v>410</v>
      </c>
      <c r="P45" s="41" t="s">
        <v>609</v>
      </c>
      <c r="Q45" s="41" t="s">
        <v>441</v>
      </c>
      <c r="R45" s="41" t="s">
        <v>14</v>
      </c>
      <c r="S45" s="41" t="s">
        <v>893</v>
      </c>
      <c r="T45" s="44" t="str">
        <f t="shared" ca="1" si="14"/>
        <v>044.FTB.Regression.NCL.Single customer.Permanent Resident Visa.Direct credit circ.Exempt FNG</v>
      </c>
      <c r="U45" s="44" t="str">
        <f ca="1">CONCATENATE("&lt;HTML&gt;&lt;font color=#0000FF&gt;&lt;B&gt;PURPOSE:  &lt;/B&gt;&lt;/font&gt;&lt;BR&gt;",C45,"&lt;BR&gt;&lt;BR&gt;&lt;BR&gt;&lt;font color=#0000FF&gt;&lt;B&gt;Pre-requisites:  &lt;/B&gt;&lt;/font&gt;",D45,"&lt;BR&gt;&lt;BR&gt;&lt;font color=#0000FF&gt;&lt;B&gt;User Spec Name:  &lt;/B&gt;&lt;/font&gt;",Cover!$C$8,"&lt;BR&gt;",Cover!$F$8,"&lt;BR&gt;&lt;font color=#0000FF&gt;&lt;B&gt;User Spec Reference:  &lt;/B&gt;&lt;/font&gt;",B45,"&lt;/HTML&gt;")</f>
        <v>&lt;HTML&gt;&lt;font color=#0000FF&gt;&lt;B&gt;PURPOSE:  &lt;/B&gt;&lt;/font&gt;&lt;BR&gt;The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Permanent Resident Visa Class&lt;BR&gt;Direct Credit details   = Coded Exemption - FNG&lt;BR&gt;TFN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11&lt;/HTML&gt;</v>
      </c>
      <c r="V45" s="44" t="str">
        <f t="shared" ca="1" si="15"/>
        <v>&lt;HTML&gt;Index a FTB/NCL with below circumstance description &lt;BR&gt;&lt;BR&gt;&lt;B&gt;Customer  circumstances&lt;/B&gt;&lt;BR&gt;Residential Qualification = Permanent Resident Visa Class&lt;BR&gt;Direct Credit details   = Coded Exemption - FNG&lt;BR&gt;TFN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care&lt;/HTML&gt;</v>
      </c>
      <c r="W45" s="44" t="str">
        <f t="shared" ca="1" si="16"/>
        <v>&lt;HTML&gt;Verify Assessment and Eligibility outcome
&lt;BR&gt;&lt;BR&gt;Benefit Status=CUR&lt;BR&gt;Review created on FAL screen=No Review&lt;BR&gt;Customer FTB (A) Status=CUR&lt;BR&gt;Customer FTB (B) Status=CUR&lt;BR&gt;Customer RA Status=N-HOM&lt;BR&gt;Child Eligibility FTB(A)=Y&lt;BR&gt;Child Eligibility FTB(B)=Y&lt;/HTML&gt;</v>
      </c>
    </row>
    <row r="46" spans="1:23" ht="409.5">
      <c r="A46" s="36">
        <f>IF(B46="","",COUNTIF($B$2:B46,"&lt;&gt;"&amp;""))</f>
        <v>45</v>
      </c>
      <c r="B46" s="37" t="s">
        <v>813</v>
      </c>
      <c r="C46" s="38" t="str">
        <f ca="1">FormatTest!A46</f>
        <v>The purpose of the test is to verify &lt;BR&gt;&lt;BR&gt;&lt;BR&gt;&lt;BR&gt;Benefit Status=NEF-BAN&lt;BR&gt;Review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Permanent Resident Visa Class&lt;BR&gt;Direct Credit details   = Not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D46" s="38" t="s">
        <v>592</v>
      </c>
      <c r="E46" s="39" t="str">
        <f ca="1">FormatTest!C46</f>
        <v>&lt;BR&gt;&lt;BR&gt;Benefit Status=NEF-BAN&lt;BR&gt;Review created on FAL screen=No Review&lt;BR&gt;Customer FTB (A) Status=NULL&lt;BR&gt;Customer FTB (B) Status=NULL&lt;BR&gt;Customer RA Status=N-NULL&lt;BR&gt;Child Eligibility FTB(A)=Y&lt;BR&gt;Child Eligibility FTB(B)=Y</v>
      </c>
      <c r="F46" s="37" t="s">
        <v>13</v>
      </c>
      <c r="G46" s="37"/>
      <c r="H46" s="37"/>
      <c r="I46" s="41" t="str">
        <f ca="1">OFFSET(BuildTest!$D$202,MOD(ROW()-ROW($D$2),ROWS(BuildTest!$D$202:$D$202)),TRUNC((ROW()-ROW($D$2))/ROWS(BuildTest!$D$202:$D$202)),1,1)</f>
        <v>FTB.Regression.NCL.Single customer.Permanent Resident Visa.Direct credit circ.Not Coded</v>
      </c>
      <c r="J46" s="41" t="s">
        <v>16</v>
      </c>
      <c r="K46" s="41" t="str">
        <f ca="1">FormatTest!F46</f>
        <v>Index a FTB/NCL with below circumstance description &lt;BR&gt;&lt;BR&gt;&lt;B&gt;Customer  circumstances&lt;/B&gt;&lt;BR&gt;Residential Qualification = Permanent Resident Visa Class&lt;BR&gt;Direct Credit details   = Not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L46" s="41" t="str">
        <f ca="1">FormatTest!G46</f>
        <v>Verify Assessment and Eligibility outcome
&lt;BR&gt;&lt;BR&gt;Benefit Status=NEF-BAN&lt;BR&gt;Review created on FAL screen=No Review&lt;BR&gt;Customer FTB (A) Status=NULL&lt;BR&gt;Customer FTB (B) Status=NULL&lt;BR&gt;Customer RA Status=N-NULL&lt;BR&gt;Child Eligibility FTB(A)=Y&lt;BR&gt;Child Eligibility FTB(B)=Y</v>
      </c>
      <c r="M46" s="41" t="s">
        <v>322</v>
      </c>
      <c r="N46" s="41"/>
      <c r="O46" s="41" t="s">
        <v>410</v>
      </c>
      <c r="P46" s="41" t="s">
        <v>609</v>
      </c>
      <c r="Q46" s="41" t="s">
        <v>441</v>
      </c>
      <c r="R46" s="41" t="s">
        <v>14</v>
      </c>
      <c r="S46" s="41" t="s">
        <v>893</v>
      </c>
      <c r="T46" s="44" t="str">
        <f t="shared" ca="1" si="14"/>
        <v>045.FTB.Regression.NCL.Single customer.Permanent Resident Visa.Direct credit circ.Not Coded</v>
      </c>
      <c r="U46" s="44" t="str">
        <f ca="1">CONCATENATE("&lt;HTML&gt;&lt;font color=#0000FF&gt;&lt;B&gt;PURPOSE:  &lt;/B&gt;&lt;/font&gt;&lt;BR&gt;",C46,"&lt;BR&gt;&lt;BR&gt;&lt;BR&gt;&lt;font color=#0000FF&gt;&lt;B&gt;Pre-requisites:  &lt;/B&gt;&lt;/font&gt;",D46,"&lt;BR&gt;&lt;BR&gt;&lt;font color=#0000FF&gt;&lt;B&gt;User Spec Name:  &lt;/B&gt;&lt;/font&gt;",Cover!$C$8,"&lt;BR&gt;",Cover!$F$8,"&lt;BR&gt;&lt;font color=#0000FF&gt;&lt;B&gt;User Spec Reference:  &lt;/B&gt;&lt;/font&gt;",B46,"&lt;/HTML&gt;")</f>
        <v>&lt;HTML&gt;&lt;font color=#0000FF&gt;&lt;B&gt;PURPOSE:  &lt;/B&gt;&lt;/font&gt;&lt;BR&gt;The purpose of the test is to verify &lt;BR&gt;&lt;BR&gt;&lt;BR&gt;&lt;BR&gt;Benefit Status=NEF-BAN&lt;BR&gt;Review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Permanent Resident Visa Class&lt;BR&gt;Direct Credit details   = Not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12&lt;/HTML&gt;</v>
      </c>
      <c r="V46" s="44" t="str">
        <f t="shared" ca="1" si="15"/>
        <v>&lt;HTML&gt;Index a FTB/NCL with below circumstance description &lt;BR&gt;&lt;BR&gt;&lt;B&gt;Customer  circumstances&lt;/B&gt;&lt;BR&gt;Residential Qualification = Permanent Resident Visa Class&lt;BR&gt;Direct Credit details   = Not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care&lt;/HTML&gt;</v>
      </c>
      <c r="W46" s="44" t="str">
        <f t="shared" ca="1" si="16"/>
        <v>&lt;HTML&gt;Verify Assessment and Eligibility outcome
&lt;BR&gt;&lt;BR&gt;Benefit Status=NEF-BAN&lt;BR&gt;Review created on FAL screen=No Review&lt;BR&gt;Customer FTB (A) Status=NULL&lt;BR&gt;Customer FTB (B) Status=NULL&lt;BR&gt;Customer RA Status=N-NULL&lt;BR&gt;Child Eligibility FTB(A)=Y&lt;BR&gt;Child Eligibility FTB(B)=Y&lt;/HTML&gt;</v>
      </c>
    </row>
    <row r="47" spans="1:23" ht="409.5">
      <c r="A47" s="36">
        <f>IF(B47="","",COUNTIF($B$2:B47,"&lt;&gt;"&amp;""))</f>
        <v>46</v>
      </c>
      <c r="B47" s="37" t="s">
        <v>814</v>
      </c>
      <c r="C47" s="38" t="str">
        <f ca="1">FormatTest!A47</f>
        <v>The purpose of the test is to verify &lt;BR&gt;&lt;BR&gt;&lt;BR&gt;&lt;BR&gt;Benefit Status=NEF-NTC&lt;BR&gt;Review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Permanent Resident Visa Class&lt;BR&gt;Direct Credit details   = Coded&lt;BR&gt;TFN details = Not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D47" s="38" t="s">
        <v>592</v>
      </c>
      <c r="E47" s="39" t="str">
        <f ca="1">FormatTest!C47</f>
        <v>&lt;BR&gt;&lt;BR&gt;Benefit Status=NEF-NTC&lt;BR&gt;Review created on FAL screen=No Review&lt;BR&gt;Customer FTB (A) Status=NULL&lt;BR&gt;Customer FTB (B) Status=NULL&lt;BR&gt;Customer RA Status=N-NULL&lt;BR&gt;Child Eligibility FTB(A)=Y&lt;BR&gt;Child Eligibility FTB(B)=Y</v>
      </c>
      <c r="F47" s="37" t="s">
        <v>13</v>
      </c>
      <c r="G47" s="37"/>
      <c r="H47" s="37"/>
      <c r="I47" s="41" t="str">
        <f ca="1">OFFSET(BuildTest!$D$202,MOD(ROW()-ROW($D$2),ROWS(BuildTest!$D$202:$D$202)),TRUNC((ROW()-ROW($D$2))/ROWS(BuildTest!$D$202:$D$202)),1,1)</f>
        <v>FTB.Regression.NCL.Single customer.Permanent Resident Visa.TFN circ.Not coded</v>
      </c>
      <c r="J47" s="41" t="s">
        <v>16</v>
      </c>
      <c r="K47" s="41" t="str">
        <f ca="1">FormatTest!F47</f>
        <v>Index a FTB/NCL with below circumstance description &lt;BR&gt;&lt;BR&gt;&lt;B&gt;Customer  circumstances&lt;/B&gt;&lt;BR&gt;Residential Qualification = Permanent Resident Visa Class&lt;BR&gt;Direct Credit details   = Coded&lt;BR&gt;TFN details = Not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L47" s="41" t="str">
        <f ca="1">FormatTest!G47</f>
        <v>Verify Assessment and Eligibility outcome
&lt;BR&gt;&lt;BR&gt;Benefit Status=NEF-NTC&lt;BR&gt;Review created on FAL screen=No Review&lt;BR&gt;Customer FTB (A) Status=NULL&lt;BR&gt;Customer FTB (B) Status=NULL&lt;BR&gt;Customer RA Status=N-NULL&lt;BR&gt;Child Eligibility FTB(A)=Y&lt;BR&gt;Child Eligibility FTB(B)=Y</v>
      </c>
      <c r="M47" s="41" t="s">
        <v>322</v>
      </c>
      <c r="N47" s="41"/>
      <c r="O47" s="41" t="s">
        <v>410</v>
      </c>
      <c r="P47" s="41" t="s">
        <v>609</v>
      </c>
      <c r="Q47" s="41" t="s">
        <v>441</v>
      </c>
      <c r="R47" s="41" t="s">
        <v>14</v>
      </c>
      <c r="S47" s="41" t="s">
        <v>893</v>
      </c>
      <c r="T47" s="44" t="str">
        <f t="shared" ca="1" si="14"/>
        <v>046.FTB.Regression.NCL.Single customer.Permanent Resident Visa.TFN circ.Not coded</v>
      </c>
      <c r="U47" s="44" t="str">
        <f ca="1">CONCATENATE("&lt;HTML&gt;&lt;font color=#0000FF&gt;&lt;B&gt;PURPOSE:  &lt;/B&gt;&lt;/font&gt;&lt;BR&gt;",C47,"&lt;BR&gt;&lt;BR&gt;&lt;BR&gt;&lt;font color=#0000FF&gt;&lt;B&gt;Pre-requisites:  &lt;/B&gt;&lt;/font&gt;",D47,"&lt;BR&gt;&lt;BR&gt;&lt;font color=#0000FF&gt;&lt;B&gt;User Spec Name:  &lt;/B&gt;&lt;/font&gt;",Cover!$C$8,"&lt;BR&gt;",Cover!$F$8,"&lt;BR&gt;&lt;font color=#0000FF&gt;&lt;B&gt;User Spec Reference:  &lt;/B&gt;&lt;/font&gt;",B47,"&lt;/HTML&gt;")</f>
        <v>&lt;HTML&gt;&lt;font color=#0000FF&gt;&lt;B&gt;PURPOSE:  &lt;/B&gt;&lt;/font&gt;&lt;BR&gt;The purpose of the test is to verify &lt;BR&gt;&lt;BR&gt;&lt;BR&gt;&lt;BR&gt;Benefit Status=NEF-NTC&lt;BR&gt;Review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Permanent Resident Visa Class&lt;BR&gt;Direct Credit details   = Coded&lt;BR&gt;TFN details = Not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13&lt;/HTML&gt;</v>
      </c>
      <c r="V47" s="44" t="str">
        <f t="shared" ca="1" si="15"/>
        <v>&lt;HTML&gt;Index a FTB/NCL with below circumstance description &lt;BR&gt;&lt;BR&gt;&lt;B&gt;Customer  circumstances&lt;/B&gt;&lt;BR&gt;Residential Qualification = Permanent Resident Visa Class&lt;BR&gt;Direct Credit details   = Coded&lt;BR&gt;TFN details = Not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care&lt;/HTML&gt;</v>
      </c>
      <c r="W47" s="44" t="str">
        <f t="shared" ca="1" si="16"/>
        <v>&lt;HTML&gt;Verify Assessment and Eligibility outcome
&lt;BR&gt;&lt;BR&gt;Benefit Status=NEF-NTC&lt;BR&gt;Review created on FAL screen=No Review&lt;BR&gt;Customer FTB (A) Status=NULL&lt;BR&gt;Customer FTB (B) Status=NULL&lt;BR&gt;Customer RA Status=N-NULL&lt;BR&gt;Child Eligibility FTB(A)=Y&lt;BR&gt;Child Eligibility FTB(B)=Y&lt;/HTML&gt;</v>
      </c>
    </row>
    <row r="48" spans="1:23" ht="409.5">
      <c r="A48" s="36">
        <f>IF(B48="","",COUNTIF($B$2:B48,"&lt;&gt;"&amp;""))</f>
        <v>47</v>
      </c>
      <c r="B48" s="37" t="s">
        <v>815</v>
      </c>
      <c r="C48" s="38" t="str">
        <f ca="1">FormatTest!A48</f>
        <v>The purpose of the test is to verify &lt;BR&gt;&lt;BR&gt;&lt;BR&gt;&lt;BR&gt;Benefit Status=REJ-INC&lt;BR&gt;Review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Permanent Resident Visa Class&lt;BR&gt;Direct Credit details   = Coded&lt;BR&gt;TFN details = Coded&lt;BR&gt;Secondary Earner income = More than $ 27,613&lt;BR&gt;Home ownership code = Home owner - HOM&lt;BR&gt;&lt;BR&gt;&lt;BR&gt;&lt;B&gt;Child  circumstances&lt;/B&gt;&lt;BR&gt;Number of Child(ren) = 1&lt;BR&gt;Age of Child = &lt;= 5yr&lt;BR&gt;Principal Care Type = Adoptive Parent &lt;BR&gt;Care Percentage = 100% of Customer's care</v>
      </c>
      <c r="D48" s="38" t="s">
        <v>592</v>
      </c>
      <c r="E48" s="39" t="str">
        <f ca="1">FormatTest!C48</f>
        <v>&lt;BR&gt;&lt;BR&gt;Benefit Status=REJ-INC&lt;BR&gt;Review created on FAL screen=No Review&lt;BR&gt;Customer FTB (A) Status=NULL&lt;BR&gt;Customer FTB (B) Status=NULL&lt;BR&gt;Customer RA Status=N-NULL&lt;BR&gt;Child Eligibility FTB(A)=Y&lt;BR&gt;Child Eligibility FTB(B)=Y</v>
      </c>
      <c r="F48" s="37" t="s">
        <v>13</v>
      </c>
      <c r="G48" s="37"/>
      <c r="H48" s="37"/>
      <c r="I48" s="41" t="str">
        <f ca="1">OFFSET(BuildTest!$D$202,MOD(ROW()-ROW($D$2),ROWS(BuildTest!$D$202:$D$202)),TRUNC((ROW()-ROW($D$2))/ROWS(BuildTest!$D$202:$D$202)),1,1)</f>
        <v>FTB.Regression.NCL.Single customer.Permanent Resident Visa.Income circ. Income above threshold</v>
      </c>
      <c r="J48" s="41" t="s">
        <v>16</v>
      </c>
      <c r="K48" s="41" t="str">
        <f ca="1">FormatTest!F48</f>
        <v>Index a FTB/NCL with below circumstance description &lt;BR&gt;&lt;BR&gt;&lt;B&gt;Customer  circumstances&lt;/B&gt;&lt;BR&gt;Residential Qualification = Permanent Resident Visa Class&lt;BR&gt;Direct Credit details   = Coded&lt;BR&gt;TFN details = Coded&lt;BR&gt;Secondary Earner income = More than $ 27,613&lt;BR&gt;Home ownership code = Home owner - HOM&lt;BR&gt;&lt;BR&gt;&lt;BR&gt;&lt;B&gt;Child  circumstances&lt;/B&gt;&lt;BR&gt;Number of Child(ren) = 1&lt;BR&gt;Age of Child = &lt;= 5yr&lt;BR&gt;Principal Care Type = Adoptive Parent &lt;BR&gt;Care Percentage = 100% of Customer's care</v>
      </c>
      <c r="L48" s="41" t="str">
        <f ca="1">FormatTest!G48</f>
        <v>Verify Assessment and Eligibility outcome
&lt;BR&gt;&lt;BR&gt;Benefit Status=REJ-INC&lt;BR&gt;Review created on FAL screen=No Review&lt;BR&gt;Customer FTB (A) Status=NULL&lt;BR&gt;Customer FTB (B) Status=NULL&lt;BR&gt;Customer RA Status=N-NULL&lt;BR&gt;Child Eligibility FTB(A)=Y&lt;BR&gt;Child Eligibility FTB(B)=Y</v>
      </c>
      <c r="M48" s="41" t="s">
        <v>322</v>
      </c>
      <c r="N48" s="41"/>
      <c r="O48" s="41" t="s">
        <v>410</v>
      </c>
      <c r="P48" s="41" t="s">
        <v>609</v>
      </c>
      <c r="Q48" s="41" t="s">
        <v>441</v>
      </c>
      <c r="R48" s="41" t="s">
        <v>14</v>
      </c>
      <c r="S48" s="41" t="s">
        <v>893</v>
      </c>
      <c r="T48" s="44" t="str">
        <f t="shared" ca="1" si="14"/>
        <v>047.FTB.Regression.NCL.Single customer.Permanent Resident Visa.Income circ. Income above threshold</v>
      </c>
      <c r="U48" s="44" t="str">
        <f ca="1">CONCATENATE("&lt;HTML&gt;&lt;font color=#0000FF&gt;&lt;B&gt;PURPOSE:  &lt;/B&gt;&lt;/font&gt;&lt;BR&gt;",C48,"&lt;BR&gt;&lt;BR&gt;&lt;BR&gt;&lt;font color=#0000FF&gt;&lt;B&gt;Pre-requisites:  &lt;/B&gt;&lt;/font&gt;",D48,"&lt;BR&gt;&lt;BR&gt;&lt;font color=#0000FF&gt;&lt;B&gt;User Spec Name:  &lt;/B&gt;&lt;/font&gt;",Cover!$C$8,"&lt;BR&gt;",Cover!$F$8,"&lt;BR&gt;&lt;font color=#0000FF&gt;&lt;B&gt;User Spec Reference:  &lt;/B&gt;&lt;/font&gt;",B48,"&lt;/HTML&gt;")</f>
        <v>&lt;HTML&gt;&lt;font color=#0000FF&gt;&lt;B&gt;PURPOSE:  &lt;/B&gt;&lt;/font&gt;&lt;BR&gt;The purpose of the test is to verify &lt;BR&gt;&lt;BR&gt;&lt;BR&gt;&lt;BR&gt;Benefit Status=REJ-INC&lt;BR&gt;Review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Permanent Resident Visa Class&lt;BR&gt;Direct Credit details   = Coded&lt;BR&gt;TFN details = Coded&lt;BR&gt;Secondary Earner income = More than $ 27,613&lt;BR&gt;Home ownership code = Home owner - HOM&lt;BR&gt;&lt;BR&gt;&lt;BR&gt;&lt;B&gt;Child  circumstances&lt;/B&gt;&lt;BR&gt;Number of Child(ren) = 1&lt;BR&gt;Age of Child = &lt;= 5yr&lt;BR&gt;Principal Care Type = Adoptive Parent &lt;BR&gt;Care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14&lt;/HTML&gt;</v>
      </c>
      <c r="V48" s="44" t="str">
        <f t="shared" ca="1" si="15"/>
        <v>&lt;HTML&gt;Index a FTB/NCL with below circumstance description &lt;BR&gt;&lt;BR&gt;&lt;B&gt;Customer  circumstances&lt;/B&gt;&lt;BR&gt;Residential Qualification = Permanent Resident Visa Class&lt;BR&gt;Direct Credit details   = Coded&lt;BR&gt;TFN details = Coded&lt;BR&gt;Secondary Earner income = More than $ 27,613&lt;BR&gt;Home ownership code = Home owner - HOM&lt;BR&gt;&lt;BR&gt;&lt;BR&gt;&lt;B&gt;Child  circumstances&lt;/B&gt;&lt;BR&gt;Number of Child(ren) = 1&lt;BR&gt;Age of Child = &lt;= 5yr&lt;BR&gt;Principal Care Type = Adoptive Parent &lt;BR&gt;Care Percentage = 100% of Customer's care&lt;/HTML&gt;</v>
      </c>
      <c r="W48" s="44" t="str">
        <f t="shared" ca="1" si="16"/>
        <v>&lt;HTML&gt;Verify Assessment and Eligibility outcome
&lt;BR&gt;&lt;BR&gt;Benefit Status=REJ-INC&lt;BR&gt;Review created on FAL screen=No Review&lt;BR&gt;Customer FTB (A) Status=NULL&lt;BR&gt;Customer FTB (B) Status=NULL&lt;BR&gt;Customer RA Status=N-NULL&lt;BR&gt;Child Eligibility FTB(A)=Y&lt;BR&gt;Child Eligibility FTB(B)=Y&lt;/HTML&gt;</v>
      </c>
    </row>
    <row r="49" spans="1:23" ht="409.5">
      <c r="A49" s="36">
        <f>IF(B49="","",COUNTIF($B$2:B49,"&lt;&gt;"&amp;""))</f>
        <v>48</v>
      </c>
      <c r="B49" s="37" t="s">
        <v>816</v>
      </c>
      <c r="C49" s="38" t="str">
        <f ca="1">FormatTest!A49</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Permanent Resident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D49" s="38" t="s">
        <v>592</v>
      </c>
      <c r="E49" s="39" t="str">
        <f ca="1">FormatTest!C49</f>
        <v>&lt;BR&gt;&lt;BR&gt;Benefit Status=CUR&lt;BR&gt;Review created on FAL screen=No Review&lt;BR&gt;Customer FTB (A) Status=CUR&lt;BR&gt;Customer FTB (B) Status=CUR&lt;BR&gt;Customer RA Status=N-HOM&lt;BR&gt;Child Eligibility FTB(A)=Y&lt;BR&gt;Child Eligibility FTB(B)=Y</v>
      </c>
      <c r="F49" s="37" t="s">
        <v>13</v>
      </c>
      <c r="G49" s="37"/>
      <c r="H49" s="37"/>
      <c r="I49" s="41" t="str">
        <f ca="1">OFFSET(BuildTest!$D$202,MOD(ROW()-ROW($D$2),ROWS(BuildTest!$D$202:$D$202)),TRUNC((ROW()-ROW($D$2))/ROWS(BuildTest!$D$202:$D$202)),1,1)</f>
        <v>FTB.Regression.NCL.Single customer.Permanent Resident VisaRelation type circ.step parent</v>
      </c>
      <c r="J49" s="41" t="s">
        <v>16</v>
      </c>
      <c r="K49" s="41" t="str">
        <f ca="1">FormatTest!F49</f>
        <v>Index a FTB/NCL with below circumstance description &lt;BR&gt;&lt;BR&gt;&lt;B&gt;Customer  circumstances&lt;/B&gt;&lt;BR&gt;Residential Qualification = Permanent Resident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L49" s="41" t="str">
        <f ca="1">FormatTest!G49</f>
        <v>Verify Assessment and Eligibility outcome
&lt;BR&gt;&lt;BR&gt;Benefit Status=CUR&lt;BR&gt;Review created on FAL screen=No Review&lt;BR&gt;Customer FTB (A) Status=CUR&lt;BR&gt;Customer FTB (B) Status=CUR&lt;BR&gt;Customer RA Status=N-HOM&lt;BR&gt;Child Eligibility FTB(A)=Y&lt;BR&gt;Child Eligibility FTB(B)=Y</v>
      </c>
      <c r="M49" s="41" t="s">
        <v>322</v>
      </c>
      <c r="N49" s="41"/>
      <c r="O49" s="41" t="s">
        <v>410</v>
      </c>
      <c r="P49" s="41" t="s">
        <v>609</v>
      </c>
      <c r="Q49" s="41" t="s">
        <v>441</v>
      </c>
      <c r="R49" s="41" t="s">
        <v>14</v>
      </c>
      <c r="S49" s="41" t="s">
        <v>893</v>
      </c>
      <c r="T49" s="44" t="str">
        <f t="shared" ca="1" si="14"/>
        <v>048.FTB.Regression.NCL.Single customer.Permanent Resident VisaRelation type circ.step parent</v>
      </c>
      <c r="U49" s="44" t="str">
        <f ca="1">CONCATENATE("&lt;HTML&gt;&lt;font color=#0000FF&gt;&lt;B&gt;PURPOSE:  &lt;/B&gt;&lt;/font&gt;&lt;BR&gt;",C49,"&lt;BR&gt;&lt;BR&gt;&lt;BR&gt;&lt;font color=#0000FF&gt;&lt;B&gt;Pre-requisites:  &lt;/B&gt;&lt;/font&gt;",D49,"&lt;BR&gt;&lt;BR&gt;&lt;font color=#0000FF&gt;&lt;B&gt;User Spec Name:  &lt;/B&gt;&lt;/font&gt;",Cover!$C$8,"&lt;BR&gt;",Cover!$F$8,"&lt;BR&gt;&lt;font color=#0000FF&gt;&lt;B&gt;User Spec Reference:  &lt;/B&gt;&lt;/font&gt;",B49,"&lt;/HTML&gt;")</f>
        <v>&lt;HTML&gt;&lt;font color=#0000FF&gt;&lt;B&gt;PURPOSE:  &lt;/B&gt;&lt;/font&gt;&lt;BR&gt;The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Permanent Resident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15&lt;/HTML&gt;</v>
      </c>
      <c r="V49" s="44" t="str">
        <f t="shared" ca="1" si="15"/>
        <v>&lt;HTML&gt;Index a FTB/NCL with below circumstance description &lt;BR&gt;&lt;BR&gt;&lt;B&gt;Customer  circumstances&lt;/B&gt;&lt;BR&gt;Residential Qualification = Permanent Resident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care&lt;/HTML&gt;</v>
      </c>
      <c r="W49" s="44" t="str">
        <f t="shared" ca="1" si="16"/>
        <v>&lt;HTML&gt;Verify Assessment and Eligibility outcome
&lt;BR&gt;&lt;BR&gt;Benefit Status=CUR&lt;BR&gt;Review created on FAL screen=No Review&lt;BR&gt;Customer FTB (A) Status=CUR&lt;BR&gt;Customer FTB (B) Status=CUR&lt;BR&gt;Customer RA Status=N-HOM&lt;BR&gt;Child Eligibility FTB(A)=Y&lt;BR&gt;Child Eligibility FTB(B)=Y&lt;/HTML&gt;</v>
      </c>
    </row>
    <row r="50" spans="1:23" ht="409.5">
      <c r="A50" s="36">
        <f>IF(B50="","",COUNTIF($B$2:B50,"&lt;&gt;"&amp;""))</f>
        <v>49</v>
      </c>
      <c r="B50" s="37" t="s">
        <v>817</v>
      </c>
      <c r="C50" s="38" t="str">
        <f ca="1">FormatTest!A50</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Permanent Resident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D50" s="38" t="s">
        <v>592</v>
      </c>
      <c r="E50" s="39" t="str">
        <f ca="1">FormatTest!C50</f>
        <v>&lt;BR&gt;&lt;BR&gt;Benefit Status=CUR&lt;BR&gt;Review created on FAL screen=No Review&lt;BR&gt;Customer FTB (A) Status=CUR&lt;BR&gt;Customer FTB (B) Status=CUR&lt;BR&gt;Customer RA Status=N-HOM&lt;BR&gt;Child Eligibility FTB(A)=Y&lt;BR&gt;Child Eligibility FTB(B)=Y</v>
      </c>
      <c r="F50" s="37" t="s">
        <v>13</v>
      </c>
      <c r="G50" s="37"/>
      <c r="H50" s="37"/>
      <c r="I50" s="41" t="str">
        <f ca="1">OFFSET(BuildTest!$D$202,MOD(ROW()-ROW($D$2),ROWS(BuildTest!$D$202:$D$202)),TRUNC((ROW()-ROW($D$2))/ROWS(BuildTest!$D$202:$D$202)),1,1)</f>
        <v>FTB.Regression.NCL.Single customer.Permanent Resident Visa.Relation type circ.adoptive parent</v>
      </c>
      <c r="J50" s="41" t="s">
        <v>16</v>
      </c>
      <c r="K50" s="41" t="str">
        <f ca="1">FormatTest!F50</f>
        <v>Index a FTB/NCL with below circumstance description &lt;BR&gt;&lt;BR&gt;&lt;B&gt;Customer  circumstances&lt;/B&gt;&lt;BR&gt;Residential Qualification = Permanent Resident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L50" s="41" t="str">
        <f ca="1">FormatTest!G50</f>
        <v>Verify Assessment and Eligibility outcome
&lt;BR&gt;&lt;BR&gt;Benefit Status=CUR&lt;BR&gt;Review created on FAL screen=No Review&lt;BR&gt;Customer FTB (A) Status=CUR&lt;BR&gt;Customer FTB (B) Status=CUR&lt;BR&gt;Customer RA Status=N-HOM&lt;BR&gt;Child Eligibility FTB(A)=Y&lt;BR&gt;Child Eligibility FTB(B)=Y</v>
      </c>
      <c r="M50" s="41" t="s">
        <v>322</v>
      </c>
      <c r="N50" s="41"/>
      <c r="O50" s="41" t="s">
        <v>410</v>
      </c>
      <c r="P50" s="41" t="s">
        <v>609</v>
      </c>
      <c r="Q50" s="41" t="s">
        <v>441</v>
      </c>
      <c r="R50" s="41" t="s">
        <v>14</v>
      </c>
      <c r="S50" s="41" t="s">
        <v>893</v>
      </c>
      <c r="T50" s="44" t="str">
        <f t="shared" ca="1" si="14"/>
        <v>049.FTB.Regression.NCL.Single customer.Permanent Resident Visa.Relation type circ.adoptive parent</v>
      </c>
      <c r="U50" s="44" t="str">
        <f ca="1">CONCATENATE("&lt;HTML&gt;&lt;font color=#0000FF&gt;&lt;B&gt;PURPOSE:  &lt;/B&gt;&lt;/font&gt;&lt;BR&gt;",C50,"&lt;BR&gt;&lt;BR&gt;&lt;BR&gt;&lt;font color=#0000FF&gt;&lt;B&gt;Pre-requisites:  &lt;/B&gt;&lt;/font&gt;",D50,"&lt;BR&gt;&lt;BR&gt;&lt;font color=#0000FF&gt;&lt;B&gt;User Spec Name:  &lt;/B&gt;&lt;/font&gt;",Cover!$C$8,"&lt;BR&gt;",Cover!$F$8,"&lt;BR&gt;&lt;font color=#0000FF&gt;&lt;B&gt;User Spec Reference:  &lt;/B&gt;&lt;/font&gt;",B50,"&lt;/HTML&gt;")</f>
        <v>&lt;HTML&gt;&lt;font color=#0000FF&gt;&lt;B&gt;PURPOSE:  &lt;/B&gt;&lt;/font&gt;&lt;BR&gt;The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Permanent Resident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16&lt;/HTML&gt;</v>
      </c>
      <c r="V50" s="44" t="str">
        <f t="shared" ca="1" si="15"/>
        <v>&lt;HTML&gt;Index a FTB/NCL with below circumstance description &lt;BR&gt;&lt;BR&gt;&lt;B&gt;Customer  circumstances&lt;/B&gt;&lt;BR&gt;Residential Qualification = Permanent Resident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care&lt;/HTML&gt;</v>
      </c>
      <c r="W50" s="44" t="str">
        <f t="shared" ca="1" si="16"/>
        <v>&lt;HTML&gt;Verify Assessment and Eligibility outcome
&lt;BR&gt;&lt;BR&gt;Benefit Status=CUR&lt;BR&gt;Review created on FAL screen=No Review&lt;BR&gt;Customer FTB (A) Status=CUR&lt;BR&gt;Customer FTB (B) Status=CUR&lt;BR&gt;Customer RA Status=N-HOM&lt;BR&gt;Child Eligibility FTB(A)=Y&lt;BR&gt;Child Eligibility FTB(B)=Y&lt;/HTML&gt;</v>
      </c>
    </row>
    <row r="51" spans="1:23" ht="409.5">
      <c r="A51" s="36">
        <f>IF(B51="","",COUNTIF($B$2:B51,"&lt;&gt;"&amp;""))</f>
        <v>50</v>
      </c>
      <c r="B51" s="37" t="s">
        <v>818</v>
      </c>
      <c r="C51" s="38" t="str">
        <f ca="1">FormatTest!A51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Permanent Resident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D51" s="38" t="s">
        <v>592</v>
      </c>
      <c r="E51" s="39" t="str">
        <f ca="1">FormatTest!C51</f>
        <v>&lt;BR&gt;&lt;BR&gt;Benefit Status=CUR&lt;BR&gt;Review created on FAL screen=No Review&lt;BR&gt;Customer FTB (A) Status=CUR&lt;BR&gt;Customer FTB (B) Status=CUR&lt;BR&gt;Customer RA Status=N-HOM&lt;BR&gt;Child Eligibility FTB(A)=Y&lt;BR&gt;Child Eligibility FTB(B)=Y</v>
      </c>
      <c r="F51" s="37" t="s">
        <v>13</v>
      </c>
      <c r="G51" s="37"/>
      <c r="H51" s="37"/>
      <c r="I51" s="41" t="str">
        <f ca="1">OFFSET(BuildTest!$D$202,MOD(ROW()-ROW($D$2),ROWS(BuildTest!$D$202:$D$202)),TRUNC((ROW()-ROW($D$2))/ROWS(BuildTest!$D$202:$D$202)),1,1)</f>
        <v>FTB.Regression.NCL.Single customer.Permanent Resident Visa.Relation type circ.Foster Carer</v>
      </c>
      <c r="J51" s="41" t="s">
        <v>16</v>
      </c>
      <c r="K51" s="41" t="str">
        <f ca="1">FormatTest!F51</f>
        <v>Index a FTB/NCL with below circumstance description &lt;BR&gt;&lt;BR&gt;&lt;B&gt;Customer  circumstances&lt;/B&gt;&lt;BR&gt;Residential Qualification = Permanent Resident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L51" s="41" t="str">
        <f ca="1">FormatTest!G51</f>
        <v>Verify Assessment and Eligibility outcome
&lt;BR&gt;&lt;BR&gt;Benefit Status=CUR&lt;BR&gt;Review created on FAL screen=No Review&lt;BR&gt;Customer FTB (A) Status=CUR&lt;BR&gt;Customer FTB (B) Status=CUR&lt;BR&gt;Customer RA Status=N-HOM&lt;BR&gt;Child Eligibility FTB(A)=Y&lt;BR&gt;Child Eligibility FTB(B)=Y</v>
      </c>
      <c r="M51" s="41" t="s">
        <v>322</v>
      </c>
      <c r="N51" s="41"/>
      <c r="O51" s="41" t="s">
        <v>410</v>
      </c>
      <c r="P51" s="41" t="s">
        <v>609</v>
      </c>
      <c r="Q51" s="41" t="s">
        <v>441</v>
      </c>
      <c r="R51" s="41" t="s">
        <v>14</v>
      </c>
      <c r="S51" s="41" t="s">
        <v>893</v>
      </c>
      <c r="T51" s="44" t="str">
        <f t="shared" ca="1" si="14"/>
        <v>050.FTB.Regression.NCL.Single customer.Permanent Resident Visa.Relation type circ.Foster Carer</v>
      </c>
      <c r="U51" s="44" t="str">
        <f ca="1">CONCATENATE("&lt;HTML&gt;&lt;font color=#0000FF&gt;&lt;B&gt;PURPOSE:  &lt;/B&gt;&lt;/font&gt;&lt;BR&gt;",C51,"&lt;BR&gt;&lt;BR&gt;&lt;BR&gt;&lt;font color=#0000FF&gt;&lt;B&gt;Pre-requisites:  &lt;/B&gt;&lt;/font&gt;",D51,"&lt;BR&gt;&lt;BR&gt;&lt;font color=#0000FF&gt;&lt;B&gt;User Spec Name:  &lt;/B&gt;&lt;/font&gt;",Cover!$C$8,"&lt;BR&gt;",Cover!$F$8,"&lt;BR&gt;&lt;font color=#0000FF&gt;&lt;B&gt;User Spec Reference:  &lt;/B&gt;&lt;/font&gt;",B51,"&lt;/HTML&gt;")</f>
        <v>&lt;HTML&gt;&lt;font color=#0000FF&gt;&lt;B&gt;PURPOSE:  &lt;/B&gt;&lt;/font&gt;&lt;BR&gt;The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Permanent Resident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17&lt;/HTML&gt;</v>
      </c>
      <c r="V51" s="44" t="str">
        <f t="shared" ca="1" si="15"/>
        <v>&lt;HTML&gt;Index a FTB/NCL with below circumstance description &lt;BR&gt;&lt;BR&gt;&lt;B&gt;Customer  circumstances&lt;/B&gt;&lt;BR&gt;Residential Qualification = Permanent Resident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care&lt;/HTML&gt;</v>
      </c>
      <c r="W51" s="44" t="str">
        <f t="shared" ca="1" si="16"/>
        <v>&lt;HTML&gt;Verify Assessment and Eligibility outcome
&lt;BR&gt;&lt;BR&gt;Benefit Status=CUR&lt;BR&gt;Review created on FAL screen=No Review&lt;BR&gt;Customer FTB (A) Status=CUR&lt;BR&gt;Customer FTB (B) Status=CUR&lt;BR&gt;Customer RA Status=N-HOM&lt;BR&gt;Child Eligibility FTB(A)=Y&lt;BR&gt;Child Eligibility FTB(B)=Y&lt;/HTML&gt;</v>
      </c>
    </row>
    <row r="52" spans="1:23" ht="409.5">
      <c r="A52" s="36">
        <f>IF(B52="","",COUNTIF($B$2:B52,"&lt;&gt;"&amp;""))</f>
        <v>51</v>
      </c>
      <c r="B52" s="37" t="s">
        <v>819</v>
      </c>
      <c r="C52" s="38" t="str">
        <f ca="1">FormatTest!A52</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Permanent Resident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v>
      </c>
      <c r="D52" s="38" t="s">
        <v>592</v>
      </c>
      <c r="E52" s="39" t="str">
        <f ca="1">FormatTest!C52</f>
        <v>&lt;BR&gt;&lt;BR&gt;Benefit Status=CUR&lt;BR&gt;Review created on FAL screen=No Review&lt;BR&gt;Customer FTB (A) Status=CUR&lt;BR&gt;Customer FTB (B) Status=CUR&lt;BR&gt;Customer RA Status=N-HOM&lt;BR&gt;Child Eligibility FTB(A)=Y&lt;BR&gt;Child Eligibility FTB(B)=Y</v>
      </c>
      <c r="F52" s="37" t="s">
        <v>13</v>
      </c>
      <c r="G52" s="37"/>
      <c r="H52" s="37"/>
      <c r="I52" s="41" t="str">
        <f ca="1">OFFSET(BuildTest!$D$202,MOD(ROW()-ROW($D$2),ROWS(BuildTest!$D$202:$D$202)),TRUNC((ROW()-ROW($D$2))/ROWS(BuildTest!$D$202:$D$202)),1,1)</f>
        <v>FTB.Regression.NCL.Single customer.Permanent Resident Visa.Relation type circ.other</v>
      </c>
      <c r="J52" s="41" t="s">
        <v>16</v>
      </c>
      <c r="K52" s="41" t="str">
        <f ca="1">FormatTest!F52</f>
        <v>Index a FTB/NCL with below circumstance description &lt;BR&gt;&lt;BR&gt;&lt;B&gt;Customer  circumstances&lt;/B&gt;&lt;BR&gt;Residential Qualification = Permanent Resident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v>
      </c>
      <c r="L52" s="41" t="str">
        <f ca="1">FormatTest!G52</f>
        <v>Verify Assessment and Eligibility outcome
&lt;BR&gt;&lt;BR&gt;Benefit Status=CUR&lt;BR&gt;Review created on FAL screen=No Review&lt;BR&gt;Customer FTB (A) Status=CUR&lt;BR&gt;Customer FTB (B) Status=CUR&lt;BR&gt;Customer RA Status=N-HOM&lt;BR&gt;Child Eligibility FTB(A)=Y&lt;BR&gt;Child Eligibility FTB(B)=Y</v>
      </c>
      <c r="M52" s="41" t="s">
        <v>322</v>
      </c>
      <c r="N52" s="41"/>
      <c r="O52" s="41" t="s">
        <v>410</v>
      </c>
      <c r="P52" s="41" t="s">
        <v>609</v>
      </c>
      <c r="Q52" s="41" t="s">
        <v>441</v>
      </c>
      <c r="R52" s="41" t="s">
        <v>14</v>
      </c>
      <c r="S52" s="41" t="s">
        <v>893</v>
      </c>
      <c r="T52" s="44" t="str">
        <f t="shared" ca="1" si="14"/>
        <v>051.FTB.Regression.NCL.Single customer.Permanent Resident Visa.Relation type circ.other</v>
      </c>
      <c r="U52" s="44" t="str">
        <f ca="1">CONCATENATE("&lt;HTML&gt;&lt;font color=#0000FF&gt;&lt;B&gt;PURPOSE:  &lt;/B&gt;&lt;/font&gt;&lt;BR&gt;",C52,"&lt;BR&gt;&lt;BR&gt;&lt;BR&gt;&lt;font color=#0000FF&gt;&lt;B&gt;Pre-requisites:  &lt;/B&gt;&lt;/font&gt;",D52,"&lt;BR&gt;&lt;BR&gt;&lt;font color=#0000FF&gt;&lt;B&gt;User Spec Name:  &lt;/B&gt;&lt;/font&gt;",Cover!$C$8,"&lt;BR&gt;",Cover!$F$8,"&lt;BR&gt;&lt;font color=#0000FF&gt;&lt;B&gt;User Spec Reference:  &lt;/B&gt;&lt;/font&gt;",B52,"&lt;/HTML&gt;")</f>
        <v>&lt;HTML&gt;&lt;font color=#0000FF&gt;&lt;B&gt;PURPOSE:  &lt;/B&gt;&lt;/font&gt;&lt;BR&gt;The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Permanent Resident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18&lt;/HTML&gt;</v>
      </c>
      <c r="V52" s="44" t="str">
        <f t="shared" ca="1" si="15"/>
        <v>&lt;HTML&gt;Index a FTB/NCL with below circumstance description &lt;BR&gt;&lt;BR&gt;&lt;B&gt;Customer  circumstances&lt;/B&gt;&lt;BR&gt;Residential Qualification = Permanent Resident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care&lt;/HTML&gt;</v>
      </c>
      <c r="W52" s="44" t="str">
        <f t="shared" ca="1" si="16"/>
        <v>&lt;HTML&gt;Verify Assessment and Eligibility outcome
&lt;BR&gt;&lt;BR&gt;Benefit Status=CUR&lt;BR&gt;Review created on FAL screen=No Review&lt;BR&gt;Customer FTB (A) Status=CUR&lt;BR&gt;Customer FTB (B) Status=CUR&lt;BR&gt;Customer RA Status=N-HOM&lt;BR&gt;Child Eligibility FTB(A)=Y&lt;BR&gt;Child Eligibility FTB(B)=Y&lt;/HTML&gt;</v>
      </c>
    </row>
    <row r="53" spans="1:23" ht="409.5">
      <c r="A53" s="36">
        <f>IF(B53="","",COUNTIF($B$2:B53,"&lt;&gt;"&amp;""))</f>
        <v>52</v>
      </c>
      <c r="B53" s="37" t="s">
        <v>820</v>
      </c>
      <c r="C53" s="38" t="str">
        <f ca="1">FormatTest!A53</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Permanent Resident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D53" s="38" t="s">
        <v>592</v>
      </c>
      <c r="E53" s="39" t="str">
        <f ca="1">FormatTest!C53</f>
        <v>&lt;BR&gt;&lt;BR&gt;Benefit Status=CUR&lt;BR&gt;Review created on FAL screen=No Review&lt;BR&gt;Customer FTB (A) Status=CUR&lt;BR&gt;Customer FTB (B) Status=CUR&lt;BR&gt;Customer RA Status=N-HOM&lt;BR&gt;Child Eligibility FTB(A)=Y&lt;BR&gt;Child Eligibility FTB(B)=Y</v>
      </c>
      <c r="F53" s="37" t="s">
        <v>13</v>
      </c>
      <c r="G53" s="37"/>
      <c r="H53" s="37"/>
      <c r="I53" s="41" t="str">
        <f ca="1">OFFSET(BuildTest!$D$202,MOD(ROW()-ROW($D$2),ROWS(BuildTest!$D$202:$D$202)),TRUNC((ROW()-ROW($D$2))/ROWS(BuildTest!$D$202:$D$202)),1,1)</f>
        <v>FTB.Regression.NCL.Single customer.Permanent Resident Visa.Relation type circ.grandParent</v>
      </c>
      <c r="J53" s="41" t="s">
        <v>16</v>
      </c>
      <c r="K53" s="41" t="str">
        <f ca="1">FormatTest!F53</f>
        <v>Index a FTB/NCL with below circumstance description &lt;BR&gt;&lt;BR&gt;&lt;B&gt;Customer  circumstances&lt;/B&gt;&lt;BR&gt;Residential Qualification = Permanent Resident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L53" s="41" t="str">
        <f ca="1">FormatTest!G53</f>
        <v>Verify Assessment and Eligibility outcome
&lt;BR&gt;&lt;BR&gt;Benefit Status=CUR&lt;BR&gt;Review created on FAL screen=No Review&lt;BR&gt;Customer FTB (A) Status=CUR&lt;BR&gt;Customer FTB (B) Status=CUR&lt;BR&gt;Customer RA Status=N-HOM&lt;BR&gt;Child Eligibility FTB(A)=Y&lt;BR&gt;Child Eligibility FTB(B)=Y</v>
      </c>
      <c r="M53" s="41" t="s">
        <v>322</v>
      </c>
      <c r="N53" s="41"/>
      <c r="O53" s="41" t="s">
        <v>410</v>
      </c>
      <c r="P53" s="41" t="s">
        <v>609</v>
      </c>
      <c r="Q53" s="41" t="s">
        <v>441</v>
      </c>
      <c r="R53" s="41" t="s">
        <v>14</v>
      </c>
      <c r="S53" s="41" t="s">
        <v>893</v>
      </c>
      <c r="T53" s="44" t="str">
        <f t="shared" ca="1" si="14"/>
        <v>052.FTB.Regression.NCL.Single customer.Permanent Resident Visa.Relation type circ.grandParent</v>
      </c>
      <c r="U53" s="44" t="str">
        <f ca="1">CONCATENATE("&lt;HTML&gt;&lt;font color=#0000FF&gt;&lt;B&gt;PURPOSE:  &lt;/B&gt;&lt;/font&gt;&lt;BR&gt;",C53,"&lt;BR&gt;&lt;BR&gt;&lt;BR&gt;&lt;font color=#0000FF&gt;&lt;B&gt;Pre-requisites:  &lt;/B&gt;&lt;/font&gt;",D53,"&lt;BR&gt;&lt;BR&gt;&lt;font color=#0000FF&gt;&lt;B&gt;User Spec Name:  &lt;/B&gt;&lt;/font&gt;",Cover!$C$8,"&lt;BR&gt;",Cover!$F$8,"&lt;BR&gt;&lt;font color=#0000FF&gt;&lt;B&gt;User Spec Reference:  &lt;/B&gt;&lt;/font&gt;",B53,"&lt;/HTML&gt;")</f>
        <v>&lt;HTML&gt;&lt;font color=#0000FF&gt;&lt;B&gt;PURPOSE:  &lt;/B&gt;&lt;/font&gt;&lt;BR&gt;The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Permanent Resident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19&lt;/HTML&gt;</v>
      </c>
      <c r="V53" s="44" t="str">
        <f t="shared" ca="1" si="15"/>
        <v>&lt;HTML&gt;Index a FTB/NCL with below circumstance description &lt;BR&gt;&lt;BR&gt;&lt;B&gt;Customer  circumstances&lt;/B&gt;&lt;BR&gt;Residential Qualification = Permanent Resident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care&lt;/HTML&gt;</v>
      </c>
      <c r="W53" s="44" t="str">
        <f t="shared" ca="1" si="16"/>
        <v>&lt;HTML&gt;Verify Assessment and Eligibility outcome
&lt;BR&gt;&lt;BR&gt;Benefit Status=CUR&lt;BR&gt;Review created on FAL screen=No Review&lt;BR&gt;Customer FTB (A) Status=CUR&lt;BR&gt;Customer FTB (B) Status=CUR&lt;BR&gt;Customer RA Status=N-HOM&lt;BR&gt;Child Eligibility FTB(A)=Y&lt;BR&gt;Child Eligibility FTB(B)=Y&lt;/HTML&gt;</v>
      </c>
    </row>
    <row r="54" spans="1:23" ht="409.5">
      <c r="A54" s="36">
        <f>IF(B54="","",COUNTIF($B$2:B54,"&lt;&gt;"&amp;""))</f>
        <v>53</v>
      </c>
      <c r="B54" s="37" t="s">
        <v>821</v>
      </c>
      <c r="C54" s="38" t="str">
        <f ca="1">FormatTest!A54</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Spouse/Partner Visa Class&lt;BR&gt;Direct Credit details   = Coded Exemption - FNG&lt;BR&gt;TFN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D54" s="38" t="s">
        <v>592</v>
      </c>
      <c r="E54" s="39" t="str">
        <f ca="1">FormatTest!C54</f>
        <v>&lt;BR&gt;&lt;BR&gt;Benefit Status=CUR&lt;BR&gt;Review created on FAL screen=No Review&lt;BR&gt;Customer FTB (A) Status=CUR&lt;BR&gt;Customer FTB (B) Status=CUR&lt;BR&gt;Customer RA Status=N-HOM&lt;BR&gt;Child Eligibility FTB(A)=Y&lt;BR&gt;Child Eligibility FTB(B)=Y</v>
      </c>
      <c r="F54" s="37" t="s">
        <v>13</v>
      </c>
      <c r="G54" s="37"/>
      <c r="H54" s="37"/>
      <c r="I54" s="41" t="str">
        <f ca="1">OFFSET(BuildTest!$D$202,MOD(ROW()-ROW($D$2),ROWS(BuildTest!$D$202:$D$202)),TRUNC((ROW()-ROW($D$2))/ROWS(BuildTest!$D$202:$D$202)),1,1)</f>
        <v>FTB.Regression.NCL.Single customer.Permanent Resident Visa.Direct credit circ.Exempt FNG</v>
      </c>
      <c r="J54" s="41" t="s">
        <v>16</v>
      </c>
      <c r="K54" s="41" t="str">
        <f ca="1">FormatTest!F54</f>
        <v>Index a FTB/NCL with below circumstance description &lt;BR&gt;&lt;BR&gt;&lt;B&gt;Customer  circumstances&lt;/B&gt;&lt;BR&gt;Residential Qualification = Spouse/Partner Visa Class&lt;BR&gt;Direct Credit details   = Coded Exemption - FNG&lt;BR&gt;TFN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L54" s="41" t="str">
        <f ca="1">FormatTest!G54</f>
        <v>Verify Assessment and Eligibility outcome
&lt;BR&gt;&lt;BR&gt;Benefit Status=CUR&lt;BR&gt;Review created on FAL screen=No Review&lt;BR&gt;Customer FTB (A) Status=CUR&lt;BR&gt;Customer FTB (B) Status=CUR&lt;BR&gt;Customer RA Status=N-HOM&lt;BR&gt;Child Eligibility FTB(A)=Y&lt;BR&gt;Child Eligibility FTB(B)=Y</v>
      </c>
      <c r="M54" s="41" t="s">
        <v>322</v>
      </c>
      <c r="N54" s="41"/>
      <c r="O54" s="41" t="s">
        <v>410</v>
      </c>
      <c r="P54" s="41" t="s">
        <v>609</v>
      </c>
      <c r="Q54" s="41" t="s">
        <v>441</v>
      </c>
      <c r="R54" s="41" t="s">
        <v>14</v>
      </c>
      <c r="S54" s="41" t="s">
        <v>893</v>
      </c>
      <c r="T54" s="44" t="str">
        <f t="shared" ca="1" si="14"/>
        <v>053.FTB.Regression.NCL.Single customer.Permanent Resident Visa.Direct credit circ.Exempt FNG</v>
      </c>
      <c r="U54" s="44" t="str">
        <f ca="1">CONCATENATE("&lt;HTML&gt;&lt;font color=#0000FF&gt;&lt;B&gt;PURPOSE:  &lt;/B&gt;&lt;/font&gt;&lt;BR&gt;",C54,"&lt;BR&gt;&lt;BR&gt;&lt;BR&gt;&lt;font color=#0000FF&gt;&lt;B&gt;Pre-requisites:  &lt;/B&gt;&lt;/font&gt;",D54,"&lt;BR&gt;&lt;BR&gt;&lt;font color=#0000FF&gt;&lt;B&gt;User Spec Name:  &lt;/B&gt;&lt;/font&gt;",Cover!$C$8,"&lt;BR&gt;",Cover!$F$8,"&lt;BR&gt;&lt;font color=#0000FF&gt;&lt;B&gt;User Spec Reference:  &lt;/B&gt;&lt;/font&gt;",B54,"&lt;/HTML&gt;")</f>
        <v>&lt;HTML&gt;&lt;font color=#0000FF&gt;&lt;B&gt;PURPOSE:  &lt;/B&gt;&lt;/font&gt;&lt;BR&gt;The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Spouse/Partner Visa Class&lt;BR&gt;Direct Credit details   = Coded Exemption - FNG&lt;BR&gt;TFN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20&lt;/HTML&gt;</v>
      </c>
      <c r="V54" s="44" t="str">
        <f t="shared" ca="1" si="15"/>
        <v>&lt;HTML&gt;Index a FTB/NCL with below circumstance description &lt;BR&gt;&lt;BR&gt;&lt;B&gt;Customer  circumstances&lt;/B&gt;&lt;BR&gt;Residential Qualification = Spouse/Partner Visa Class&lt;BR&gt;Direct Credit details   = Coded Exemption - FNG&lt;BR&gt;TFN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care&lt;/HTML&gt;</v>
      </c>
      <c r="W54" s="44" t="str">
        <f t="shared" ca="1" si="16"/>
        <v>&lt;HTML&gt;Verify Assessment and Eligibility outcome
&lt;BR&gt;&lt;BR&gt;Benefit Status=CUR&lt;BR&gt;Review created on FAL screen=No Review&lt;BR&gt;Customer FTB (A) Status=CUR&lt;BR&gt;Customer FTB (B) Status=CUR&lt;BR&gt;Customer RA Status=N-HOM&lt;BR&gt;Child Eligibility FTB(A)=Y&lt;BR&gt;Child Eligibility FTB(B)=Y&lt;/HTML&gt;</v>
      </c>
    </row>
    <row r="55" spans="1:23" ht="409.5">
      <c r="A55" s="36">
        <f>IF(B55="","",COUNTIF($B$2:B55,"&lt;&gt;"&amp;""))</f>
        <v>54</v>
      </c>
      <c r="B55" s="37" t="s">
        <v>822</v>
      </c>
      <c r="C55" s="38" t="str">
        <f ca="1">FormatTest!A55</f>
        <v>The purpose of the test is to verify &lt;BR&gt;&lt;BR&gt;&lt;BR&gt;&lt;BR&gt;Benefit Status=NEF-BAN&lt;BR&gt;Review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Spouse/Partner Visa Class&lt;BR&gt;Direct Credit details   = Not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D55" s="38" t="s">
        <v>592</v>
      </c>
      <c r="E55" s="39" t="str">
        <f ca="1">FormatTest!C55</f>
        <v>&lt;BR&gt;&lt;BR&gt;Benefit Status=NEF-BAN&lt;BR&gt;Review created on FAL screen=No Review&lt;BR&gt;Customer FTB (A) Status=NULL&lt;BR&gt;Customer FTB (B) Status=NULL&lt;BR&gt;Customer RA Status=N-NULL&lt;BR&gt;Child Eligibility FTB(A)=Y&lt;BR&gt;Child Eligibility FTB(B)=Y</v>
      </c>
      <c r="F55" s="37" t="s">
        <v>13</v>
      </c>
      <c r="G55" s="37"/>
      <c r="H55" s="37"/>
      <c r="I55" s="41" t="str">
        <f ca="1">OFFSET(BuildTest!$D$202,MOD(ROW()-ROW($D$2),ROWS(BuildTest!$D$202:$D$202)),TRUNC((ROW()-ROW($D$2))/ROWS(BuildTest!$D$202:$D$202)),1,1)</f>
        <v>FTB.Regression.NCL.Single customer.Permanent Resident Visa.Direct credit circ.Not Coded</v>
      </c>
      <c r="J55" s="41" t="s">
        <v>16</v>
      </c>
      <c r="K55" s="41" t="str">
        <f ca="1">FormatTest!F55</f>
        <v>Index a FTB/NCL with below circumstance description &lt;BR&gt;&lt;BR&gt;&lt;B&gt;Customer  circumstances&lt;/B&gt;&lt;BR&gt;Residential Qualification = Spouse/Partner Visa Class&lt;BR&gt;Direct Credit details   = Not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L55" s="41" t="str">
        <f ca="1">FormatTest!G55</f>
        <v>Verify Assessment and Eligibility outcome
&lt;BR&gt;&lt;BR&gt;Benefit Status=NEF-BAN&lt;BR&gt;Review created on FAL screen=No Review&lt;BR&gt;Customer FTB (A) Status=NULL&lt;BR&gt;Customer FTB (B) Status=NULL&lt;BR&gt;Customer RA Status=N-NULL&lt;BR&gt;Child Eligibility FTB(A)=Y&lt;BR&gt;Child Eligibility FTB(B)=Y</v>
      </c>
      <c r="M55" s="41" t="s">
        <v>322</v>
      </c>
      <c r="N55" s="41"/>
      <c r="O55" s="41" t="s">
        <v>410</v>
      </c>
      <c r="P55" s="41" t="s">
        <v>609</v>
      </c>
      <c r="Q55" s="41" t="s">
        <v>441</v>
      </c>
      <c r="R55" s="41" t="s">
        <v>14</v>
      </c>
      <c r="S55" s="41" t="s">
        <v>893</v>
      </c>
      <c r="T55" s="44" t="str">
        <f t="shared" ca="1" si="14"/>
        <v>054.FTB.Regression.NCL.Single customer.Permanent Resident Visa.Direct credit circ.Not Coded</v>
      </c>
      <c r="U55" s="44" t="str">
        <f ca="1">CONCATENATE("&lt;HTML&gt;&lt;font color=#0000FF&gt;&lt;B&gt;PURPOSE:  &lt;/B&gt;&lt;/font&gt;&lt;BR&gt;",C55,"&lt;BR&gt;&lt;BR&gt;&lt;BR&gt;&lt;font color=#0000FF&gt;&lt;B&gt;Pre-requisites:  &lt;/B&gt;&lt;/font&gt;",D55,"&lt;BR&gt;&lt;BR&gt;&lt;font color=#0000FF&gt;&lt;B&gt;User Spec Name:  &lt;/B&gt;&lt;/font&gt;",Cover!$C$8,"&lt;BR&gt;",Cover!$F$8,"&lt;BR&gt;&lt;font color=#0000FF&gt;&lt;B&gt;User Spec Reference:  &lt;/B&gt;&lt;/font&gt;",B55,"&lt;/HTML&gt;")</f>
        <v>&lt;HTML&gt;&lt;font color=#0000FF&gt;&lt;B&gt;PURPOSE:  &lt;/B&gt;&lt;/font&gt;&lt;BR&gt;The purpose of the test is to verify &lt;BR&gt;&lt;BR&gt;&lt;BR&gt;&lt;BR&gt;Benefit Status=NEF-BAN&lt;BR&gt;Review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Spouse/Partner Visa Class&lt;BR&gt;Direct Credit details   = Not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21&lt;/HTML&gt;</v>
      </c>
      <c r="V55" s="44" t="str">
        <f t="shared" ca="1" si="15"/>
        <v>&lt;HTML&gt;Index a FTB/NCL with below circumstance description &lt;BR&gt;&lt;BR&gt;&lt;B&gt;Customer  circumstances&lt;/B&gt;&lt;BR&gt;Residential Qualification = Spouse/Partner Visa Class&lt;BR&gt;Direct Credit details   = Not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care&lt;/HTML&gt;</v>
      </c>
      <c r="W55" s="44" t="str">
        <f t="shared" ca="1" si="16"/>
        <v>&lt;HTML&gt;Verify Assessment and Eligibility outcome
&lt;BR&gt;&lt;BR&gt;Benefit Status=NEF-BAN&lt;BR&gt;Review created on FAL screen=No Review&lt;BR&gt;Customer FTB (A) Status=NULL&lt;BR&gt;Customer FTB (B) Status=NULL&lt;BR&gt;Customer RA Status=N-NULL&lt;BR&gt;Child Eligibility FTB(A)=Y&lt;BR&gt;Child Eligibility FTB(B)=Y&lt;/HTML&gt;</v>
      </c>
    </row>
    <row r="56" spans="1:23" ht="409.5">
      <c r="A56" s="36">
        <f>IF(B56="","",COUNTIF($B$2:B56,"&lt;&gt;"&amp;""))</f>
        <v>55</v>
      </c>
      <c r="B56" s="37" t="s">
        <v>823</v>
      </c>
      <c r="C56" s="38" t="str">
        <f ca="1">FormatTest!A56</f>
        <v>The purpose of the test is to verify &lt;BR&gt;&lt;BR&gt;&lt;BR&gt;&lt;BR&gt;Benefit Status=NEF-NTC&lt;BR&gt;Review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Spouse/Partner Visa Class&lt;BR&gt;Direct Credit details   = Coded&lt;BR&gt;TFN details = Not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D56" s="38" t="s">
        <v>592</v>
      </c>
      <c r="E56" s="39" t="str">
        <f ca="1">FormatTest!C56</f>
        <v>&lt;BR&gt;&lt;BR&gt;Benefit Status=NEF-NTC&lt;BR&gt;Review created on FAL screen=No Review&lt;BR&gt;Customer FTB (A) Status=NULL&lt;BR&gt;Customer FTB (B) Status=NULL&lt;BR&gt;Customer RA Status=N-NULL&lt;BR&gt;Child Eligibility FTB(A)=Y&lt;BR&gt;Child Eligibility FTB(B)=Y</v>
      </c>
      <c r="F56" s="37" t="s">
        <v>13</v>
      </c>
      <c r="G56" s="37"/>
      <c r="H56" s="37"/>
      <c r="I56" s="41" t="str">
        <f ca="1">OFFSET(BuildTest!$D$202,MOD(ROW()-ROW($D$2),ROWS(BuildTest!$D$202:$D$202)),TRUNC((ROW()-ROW($D$2))/ROWS(BuildTest!$D$202:$D$202)),1,1)</f>
        <v>FTB.Regression.NCL.Single customer.Permanent Resident Visa.TFN circ.Not coded</v>
      </c>
      <c r="J56" s="41" t="s">
        <v>16</v>
      </c>
      <c r="K56" s="41" t="str">
        <f ca="1">FormatTest!F56</f>
        <v>Index a FTB/NCL with below circumstance description &lt;BR&gt;&lt;BR&gt;&lt;B&gt;Customer  circumstances&lt;/B&gt;&lt;BR&gt;Residential Qualification = Spouse/Partner Visa Class&lt;BR&gt;Direct Credit details   = Coded&lt;BR&gt;TFN details = Not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L56" s="41" t="str">
        <f ca="1">FormatTest!G56</f>
        <v>Verify Assessment and Eligibility outcome
&lt;BR&gt;&lt;BR&gt;Benefit Status=NEF-NTC&lt;BR&gt;Review created on FAL screen=No Review&lt;BR&gt;Customer FTB (A) Status=NULL&lt;BR&gt;Customer FTB (B) Status=NULL&lt;BR&gt;Customer RA Status=N-NULL&lt;BR&gt;Child Eligibility FTB(A)=Y&lt;BR&gt;Child Eligibility FTB(B)=Y</v>
      </c>
      <c r="M56" s="41" t="s">
        <v>322</v>
      </c>
      <c r="N56" s="41"/>
      <c r="O56" s="41" t="s">
        <v>410</v>
      </c>
      <c r="P56" s="41" t="s">
        <v>609</v>
      </c>
      <c r="Q56" s="41" t="s">
        <v>441</v>
      </c>
      <c r="R56" s="41" t="s">
        <v>14</v>
      </c>
      <c r="S56" s="41" t="s">
        <v>893</v>
      </c>
      <c r="T56" s="44" t="str">
        <f t="shared" ca="1" si="14"/>
        <v>055.FTB.Regression.NCL.Single customer.Permanent Resident Visa.TFN circ.Not coded</v>
      </c>
      <c r="U56" s="44" t="str">
        <f ca="1">CONCATENATE("&lt;HTML&gt;&lt;font color=#0000FF&gt;&lt;B&gt;PURPOSE:  &lt;/B&gt;&lt;/font&gt;&lt;BR&gt;",C56,"&lt;BR&gt;&lt;BR&gt;&lt;BR&gt;&lt;font color=#0000FF&gt;&lt;B&gt;Pre-requisites:  &lt;/B&gt;&lt;/font&gt;",D56,"&lt;BR&gt;&lt;BR&gt;&lt;font color=#0000FF&gt;&lt;B&gt;User Spec Name:  &lt;/B&gt;&lt;/font&gt;",Cover!$C$8,"&lt;BR&gt;",Cover!$F$8,"&lt;BR&gt;&lt;font color=#0000FF&gt;&lt;B&gt;User Spec Reference:  &lt;/B&gt;&lt;/font&gt;",B56,"&lt;/HTML&gt;")</f>
        <v>&lt;HTML&gt;&lt;font color=#0000FF&gt;&lt;B&gt;PURPOSE:  &lt;/B&gt;&lt;/font&gt;&lt;BR&gt;The purpose of the test is to verify &lt;BR&gt;&lt;BR&gt;&lt;BR&gt;&lt;BR&gt;Benefit Status=NEF-NTC&lt;BR&gt;Review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Spouse/Partner Visa Class&lt;BR&gt;Direct Credit details   = Coded&lt;BR&gt;TFN details = Not Coded&lt;BR&gt;Secondary Earner income = Less than $21,499&lt;BR&gt;Home ownership code = Home owner - HOM&lt;BR&gt;&lt;BR&gt;&lt;BR&gt;&lt;B&gt;Child  circumstances&lt;/B&gt;&lt;BR&gt;Number of Child(ren) = 1&lt;BR&gt;Age of Child = &lt;= 5yr&lt;BR&gt;Principal Care Type = Foster carer&lt;BR&gt;Care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22&lt;/HTML&gt;</v>
      </c>
      <c r="V56" s="44" t="str">
        <f t="shared" ca="1" si="15"/>
        <v>&lt;HTML&gt;Index a FTB/NCL with below circumstance description &lt;BR&gt;&lt;BR&gt;&lt;B&gt;Customer  circumstances&lt;/B&gt;&lt;BR&gt;Residential Qualification = Spouse/Partner Visa Class&lt;BR&gt;Direct Credit details   = Coded&lt;BR&gt;TFN details = Not Coded&lt;BR&gt;Secondary Earner income = Less than $21,499&lt;BR&gt;Home ownership code = Home owner - HOM&lt;BR&gt;&lt;BR&gt;&lt;BR&gt;&lt;B&gt;Child  circumstances&lt;/B&gt;&lt;BR&gt;Number of Child(ren) = 1&lt;BR&gt;Age of Child = &lt;= 5yr&lt;BR&gt;Principal Care Type = Foster carer&lt;BR&gt;Care Percentage = 100% of Customer's care&lt;/HTML&gt;</v>
      </c>
      <c r="W56" s="44" t="str">
        <f t="shared" ca="1" si="16"/>
        <v>&lt;HTML&gt;Verify Assessment and Eligibility outcome
&lt;BR&gt;&lt;BR&gt;Benefit Status=NEF-NTC&lt;BR&gt;Review created on FAL screen=No Review&lt;BR&gt;Customer FTB (A) Status=NULL&lt;BR&gt;Customer FTB (B) Status=NULL&lt;BR&gt;Customer RA Status=N-NULL&lt;BR&gt;Child Eligibility FTB(A)=Y&lt;BR&gt;Child Eligibility FTB(B)=Y&lt;/HTML&gt;</v>
      </c>
    </row>
    <row r="57" spans="1:23" ht="409.5">
      <c r="A57" s="36">
        <f>IF(B57="","",COUNTIF($B$2:B57,"&lt;&gt;"&amp;""))</f>
        <v>56</v>
      </c>
      <c r="B57" s="37" t="s">
        <v>824</v>
      </c>
      <c r="C57" s="38" t="str">
        <f ca="1">FormatTest!A57</f>
        <v>The purpose of the test is to verify &lt;BR&gt;&lt;BR&gt;&lt;BR&gt;&lt;BR&gt;Benefit Status=REJ-INC&lt;BR&gt;Review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Spouse/Partner Visa Class&lt;BR&gt;Direct Credit details   = Coded&lt;BR&gt;TFN details = Coded&lt;BR&gt;Secondary Earner income = More than $ 27,613&lt;BR&gt;Home ownership code = Home owner - HOM&lt;BR&gt;&lt;BR&gt;&lt;BR&gt;&lt;B&gt;Child  circumstances&lt;/B&gt;&lt;BR&gt;Number of Child(ren) = 1&lt;BR&gt;Age of Child = &lt;= 5yr&lt;BR&gt;Principal Care Type = Foster carer&lt;BR&gt;Care Percentage = 100% of Customer's care</v>
      </c>
      <c r="D57" s="38" t="s">
        <v>592</v>
      </c>
      <c r="E57" s="39" t="str">
        <f ca="1">FormatTest!C57</f>
        <v>&lt;BR&gt;&lt;BR&gt;Benefit Status=REJ-INC&lt;BR&gt;Review created on FAL screen=No Review&lt;BR&gt;Customer FTB (A) Status=NULL&lt;BR&gt;Customer FTB (B) Status=NULL&lt;BR&gt;Customer RA Status=N-NULL&lt;BR&gt;Child Eligibility FTB(A)=Y&lt;BR&gt;Child Eligibility FTB(B)=Y</v>
      </c>
      <c r="F57" s="37" t="s">
        <v>13</v>
      </c>
      <c r="G57" s="37"/>
      <c r="H57" s="37"/>
      <c r="I57" s="41" t="str">
        <f ca="1">OFFSET(BuildTest!$D$202,MOD(ROW()-ROW($D$2),ROWS(BuildTest!$D$202:$D$202)),TRUNC((ROW()-ROW($D$2))/ROWS(BuildTest!$D$202:$D$202)),1,1)</f>
        <v>FTB.Regression.NCL.Single customer.Permanent Resident Visa.Income circ. Income above threshold</v>
      </c>
      <c r="J57" s="41" t="s">
        <v>16</v>
      </c>
      <c r="K57" s="41" t="str">
        <f ca="1">FormatTest!F57</f>
        <v>Index a FTB/NCL with below circumstance description &lt;BR&gt;&lt;BR&gt;&lt;B&gt;Customer  circumstances&lt;/B&gt;&lt;BR&gt;Residential Qualification = Spouse/Partner Visa Class&lt;BR&gt;Direct Credit details   = Coded&lt;BR&gt;TFN details = Coded&lt;BR&gt;Secondary Earner income = More than $ 27,613&lt;BR&gt;Home ownership code = Home owner - HOM&lt;BR&gt;&lt;BR&gt;&lt;BR&gt;&lt;B&gt;Child  circumstances&lt;/B&gt;&lt;BR&gt;Number of Child(ren) = 1&lt;BR&gt;Age of Child = &lt;= 5yr&lt;BR&gt;Principal Care Type = Foster carer&lt;BR&gt;Care Percentage = 100% of Customer's care</v>
      </c>
      <c r="L57" s="41" t="str">
        <f ca="1">FormatTest!G57</f>
        <v>Verify Assessment and Eligibility outcome
&lt;BR&gt;&lt;BR&gt;Benefit Status=REJ-INC&lt;BR&gt;Review created on FAL screen=No Review&lt;BR&gt;Customer FTB (A) Status=NULL&lt;BR&gt;Customer FTB (B) Status=NULL&lt;BR&gt;Customer RA Status=N-NULL&lt;BR&gt;Child Eligibility FTB(A)=Y&lt;BR&gt;Child Eligibility FTB(B)=Y</v>
      </c>
      <c r="M57" s="41" t="s">
        <v>322</v>
      </c>
      <c r="N57" s="41"/>
      <c r="O57" s="41" t="s">
        <v>410</v>
      </c>
      <c r="P57" s="41" t="s">
        <v>609</v>
      </c>
      <c r="Q57" s="41" t="s">
        <v>441</v>
      </c>
      <c r="R57" s="41" t="s">
        <v>14</v>
      </c>
      <c r="S57" s="41" t="s">
        <v>893</v>
      </c>
      <c r="T57" s="44" t="str">
        <f t="shared" ca="1" si="14"/>
        <v>056.FTB.Regression.NCL.Single customer.Permanent Resident Visa.Income circ. Income above threshold</v>
      </c>
      <c r="U57" s="44" t="str">
        <f ca="1">CONCATENATE("&lt;HTML&gt;&lt;font color=#0000FF&gt;&lt;B&gt;PURPOSE:  &lt;/B&gt;&lt;/font&gt;&lt;BR&gt;",C57,"&lt;BR&gt;&lt;BR&gt;&lt;BR&gt;&lt;font color=#0000FF&gt;&lt;B&gt;Pre-requisites:  &lt;/B&gt;&lt;/font&gt;",D57,"&lt;BR&gt;&lt;BR&gt;&lt;font color=#0000FF&gt;&lt;B&gt;User Spec Name:  &lt;/B&gt;&lt;/font&gt;",Cover!$C$8,"&lt;BR&gt;",Cover!$F$8,"&lt;BR&gt;&lt;font color=#0000FF&gt;&lt;B&gt;User Spec Reference:  &lt;/B&gt;&lt;/font&gt;",B57,"&lt;/HTML&gt;")</f>
        <v>&lt;HTML&gt;&lt;font color=#0000FF&gt;&lt;B&gt;PURPOSE:  &lt;/B&gt;&lt;/font&gt;&lt;BR&gt;The purpose of the test is to verify &lt;BR&gt;&lt;BR&gt;&lt;BR&gt;&lt;BR&gt;Benefit Status=REJ-INC&lt;BR&gt;Review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Spouse/Partner Visa Class&lt;BR&gt;Direct Credit details   = Coded&lt;BR&gt;TFN details = Coded&lt;BR&gt;Secondary Earner income = More than $ 27,613&lt;BR&gt;Home ownership code = Home owner - HOM&lt;BR&gt;&lt;BR&gt;&lt;BR&gt;&lt;B&gt;Child  circumstances&lt;/B&gt;&lt;BR&gt;Number of Child(ren) = 1&lt;BR&gt;Age of Child = &lt;= 5yr&lt;BR&gt;Principal Care Type = Foster carer&lt;BR&gt;Care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23&lt;/HTML&gt;</v>
      </c>
      <c r="V57" s="44" t="str">
        <f t="shared" ca="1" si="15"/>
        <v>&lt;HTML&gt;Index a FTB/NCL with below circumstance description &lt;BR&gt;&lt;BR&gt;&lt;B&gt;Customer  circumstances&lt;/B&gt;&lt;BR&gt;Residential Qualification = Spouse/Partner Visa Class&lt;BR&gt;Direct Credit details   = Coded&lt;BR&gt;TFN details = Coded&lt;BR&gt;Secondary Earner income = More than $ 27,613&lt;BR&gt;Home ownership code = Home owner - HOM&lt;BR&gt;&lt;BR&gt;&lt;BR&gt;&lt;B&gt;Child  circumstances&lt;/B&gt;&lt;BR&gt;Number of Child(ren) = 1&lt;BR&gt;Age of Child = &lt;= 5yr&lt;BR&gt;Principal Care Type = Foster carer&lt;BR&gt;Care Percentage = 100% of Customer's care&lt;/HTML&gt;</v>
      </c>
      <c r="W57" s="44" t="str">
        <f t="shared" ca="1" si="16"/>
        <v>&lt;HTML&gt;Verify Assessment and Eligibility outcome
&lt;BR&gt;&lt;BR&gt;Benefit Status=REJ-INC&lt;BR&gt;Review created on FAL screen=No Review&lt;BR&gt;Customer FTB (A) Status=NULL&lt;BR&gt;Customer FTB (B) Status=NULL&lt;BR&gt;Customer RA Status=N-NULL&lt;BR&gt;Child Eligibility FTB(A)=Y&lt;BR&gt;Child Eligibility FTB(B)=Y&lt;/HTML&gt;</v>
      </c>
    </row>
    <row r="58" spans="1:23" ht="409.5">
      <c r="A58" s="36">
        <f>IF(B58="","",COUNTIF($B$2:B58,"&lt;&gt;"&amp;""))</f>
        <v>57</v>
      </c>
      <c r="B58" s="37" t="s">
        <v>825</v>
      </c>
      <c r="C58" s="38" t="str">
        <f ca="1">FormatTest!A58</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Spouse/Partner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D58" s="38" t="s">
        <v>592</v>
      </c>
      <c r="E58" s="39" t="str">
        <f ca="1">FormatTest!C58</f>
        <v>&lt;BR&gt;&lt;BR&gt;Benefit Status=CUR&lt;BR&gt;Review created on FAL screen=No Review&lt;BR&gt;Customer FTB (A) Status=CUR&lt;BR&gt;Customer FTB (B) Status=CUR&lt;BR&gt;Customer RA Status=N-HOM&lt;BR&gt;Child Eligibility FTB(A)=Y&lt;BR&gt;Child Eligibility FTB(B)=Y</v>
      </c>
      <c r="F58" s="37" t="s">
        <v>13</v>
      </c>
      <c r="G58" s="37"/>
      <c r="H58" s="37"/>
      <c r="I58" s="41" t="str">
        <f ca="1">OFFSET(BuildTest!$D$202,MOD(ROW()-ROW($D$2),ROWS(BuildTest!$D$202:$D$202)),TRUNC((ROW()-ROW($D$2))/ROWS(BuildTest!$D$202:$D$202)),1,1)</f>
        <v>FTB.Regression.NCL.Single customer.Permanent Resident VisaRelation type circ.step parent</v>
      </c>
      <c r="J58" s="41" t="s">
        <v>16</v>
      </c>
      <c r="K58" s="41" t="str">
        <f ca="1">FormatTest!F58</f>
        <v>Index a FTB/NCL with below circumstance description &lt;BR&gt;&lt;BR&gt;&lt;B&gt;Customer  circumstances&lt;/B&gt;&lt;BR&gt;Residential Qualification = Spouse/Partner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L58" s="41" t="str">
        <f ca="1">FormatTest!G58</f>
        <v>Verify Assessment and Eligibility outcome
&lt;BR&gt;&lt;BR&gt;Benefit Status=CUR&lt;BR&gt;Review created on FAL screen=No Review&lt;BR&gt;Customer FTB (A) Status=CUR&lt;BR&gt;Customer FTB (B) Status=CUR&lt;BR&gt;Customer RA Status=N-HOM&lt;BR&gt;Child Eligibility FTB(A)=Y&lt;BR&gt;Child Eligibility FTB(B)=Y</v>
      </c>
      <c r="M58" s="41" t="s">
        <v>322</v>
      </c>
      <c r="N58" s="41"/>
      <c r="O58" s="41" t="s">
        <v>410</v>
      </c>
      <c r="P58" s="41" t="s">
        <v>609</v>
      </c>
      <c r="Q58" s="41" t="s">
        <v>441</v>
      </c>
      <c r="R58" s="41" t="s">
        <v>14</v>
      </c>
      <c r="S58" s="41" t="s">
        <v>893</v>
      </c>
      <c r="T58" s="44" t="str">
        <f t="shared" ca="1" si="14"/>
        <v>057.FTB.Regression.NCL.Single customer.Permanent Resident VisaRelation type circ.step parent</v>
      </c>
      <c r="U58" s="44" t="str">
        <f ca="1">CONCATENATE("&lt;HTML&gt;&lt;font color=#0000FF&gt;&lt;B&gt;PURPOSE:  &lt;/B&gt;&lt;/font&gt;&lt;BR&gt;",C58,"&lt;BR&gt;&lt;BR&gt;&lt;BR&gt;&lt;font color=#0000FF&gt;&lt;B&gt;Pre-requisites:  &lt;/B&gt;&lt;/font&gt;",D58,"&lt;BR&gt;&lt;BR&gt;&lt;font color=#0000FF&gt;&lt;B&gt;User Spec Name:  &lt;/B&gt;&lt;/font&gt;",Cover!$C$8,"&lt;BR&gt;",Cover!$F$8,"&lt;BR&gt;&lt;font color=#0000FF&gt;&lt;B&gt;User Spec Reference:  &lt;/B&gt;&lt;/font&gt;",B58,"&lt;/HTML&gt;")</f>
        <v>&lt;HTML&gt;&lt;font color=#0000FF&gt;&lt;B&gt;PURPOSE:  &lt;/B&gt;&lt;/font&gt;&lt;BR&gt;The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Spouse/Partner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24&lt;/HTML&gt;</v>
      </c>
      <c r="V58" s="44" t="str">
        <f t="shared" ca="1" si="15"/>
        <v>&lt;HTML&gt;Index a FTB/NCL with below circumstance description &lt;BR&gt;&lt;BR&gt;&lt;B&gt;Customer  circumstances&lt;/B&gt;&lt;BR&gt;Residential Qualification = Spouse/Partner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care&lt;/HTML&gt;</v>
      </c>
      <c r="W58" s="44" t="str">
        <f t="shared" ca="1" si="16"/>
        <v>&lt;HTML&gt;Verify Assessment and Eligibility outcome
&lt;BR&gt;&lt;BR&gt;Benefit Status=CUR&lt;BR&gt;Review created on FAL screen=No Review&lt;BR&gt;Customer FTB (A) Status=CUR&lt;BR&gt;Customer FTB (B) Status=CUR&lt;BR&gt;Customer RA Status=N-HOM&lt;BR&gt;Child Eligibility FTB(A)=Y&lt;BR&gt;Child Eligibility FTB(B)=Y&lt;/HTML&gt;</v>
      </c>
    </row>
    <row r="59" spans="1:23" ht="409.5">
      <c r="A59" s="36">
        <f>IF(B59="","",COUNTIF($B$2:B59,"&lt;&gt;"&amp;""))</f>
        <v>58</v>
      </c>
      <c r="B59" s="37" t="s">
        <v>826</v>
      </c>
      <c r="C59" s="38" t="str">
        <f ca="1">FormatTest!A59</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Spouse/Partner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D59" s="38" t="s">
        <v>592</v>
      </c>
      <c r="E59" s="39" t="str">
        <f ca="1">FormatTest!C59</f>
        <v>&lt;BR&gt;&lt;BR&gt;Benefit Status=CUR&lt;BR&gt;Review created on FAL screen=No Review&lt;BR&gt;Customer FTB (A) Status=CUR&lt;BR&gt;Customer FTB (B) Status=CUR&lt;BR&gt;Customer RA Status=N-HOM&lt;BR&gt;Child Eligibility FTB(A)=Y&lt;BR&gt;Child Eligibility FTB(B)=Y</v>
      </c>
      <c r="F59" s="37" t="s">
        <v>13</v>
      </c>
      <c r="G59" s="37"/>
      <c r="H59" s="37"/>
      <c r="I59" s="41" t="str">
        <f ca="1">OFFSET(BuildTest!$D$202,MOD(ROW()-ROW($D$2),ROWS(BuildTest!$D$202:$D$202)),TRUNC((ROW()-ROW($D$2))/ROWS(BuildTest!$D$202:$D$202)),1,1)</f>
        <v>FTB.Regression.NCL.Single customer.Permanent Resident Visa.Relation type circ.adoptive parent</v>
      </c>
      <c r="J59" s="41" t="s">
        <v>16</v>
      </c>
      <c r="K59" s="41" t="str">
        <f ca="1">FormatTest!F59</f>
        <v>Index a FTB/NCL with below circumstance description &lt;BR&gt;&lt;BR&gt;&lt;B&gt;Customer  circumstances&lt;/B&gt;&lt;BR&gt;Residential Qualification = Spouse/Partner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L59" s="41" t="str">
        <f ca="1">FormatTest!G59</f>
        <v>Verify Assessment and Eligibility outcome
&lt;BR&gt;&lt;BR&gt;Benefit Status=CUR&lt;BR&gt;Review created on FAL screen=No Review&lt;BR&gt;Customer FTB (A) Status=CUR&lt;BR&gt;Customer FTB (B) Status=CUR&lt;BR&gt;Customer RA Status=N-HOM&lt;BR&gt;Child Eligibility FTB(A)=Y&lt;BR&gt;Child Eligibility FTB(B)=Y</v>
      </c>
      <c r="M59" s="41" t="s">
        <v>322</v>
      </c>
      <c r="N59" s="41"/>
      <c r="O59" s="41" t="s">
        <v>410</v>
      </c>
      <c r="P59" s="41" t="s">
        <v>609</v>
      </c>
      <c r="Q59" s="41" t="s">
        <v>441</v>
      </c>
      <c r="R59" s="41" t="s">
        <v>14</v>
      </c>
      <c r="S59" s="41" t="s">
        <v>893</v>
      </c>
      <c r="T59" s="44" t="str">
        <f t="shared" ca="1" si="14"/>
        <v>058.FTB.Regression.NCL.Single customer.Permanent Resident Visa.Relation type circ.adoptive parent</v>
      </c>
      <c r="U59" s="44" t="str">
        <f ca="1">CONCATENATE("&lt;HTML&gt;&lt;font color=#0000FF&gt;&lt;B&gt;PURPOSE:  &lt;/B&gt;&lt;/font&gt;&lt;BR&gt;",C59,"&lt;BR&gt;&lt;BR&gt;&lt;BR&gt;&lt;font color=#0000FF&gt;&lt;B&gt;Pre-requisites:  &lt;/B&gt;&lt;/font&gt;",D59,"&lt;BR&gt;&lt;BR&gt;&lt;font color=#0000FF&gt;&lt;B&gt;User Spec Name:  &lt;/B&gt;&lt;/font&gt;",Cover!$C$8,"&lt;BR&gt;",Cover!$F$8,"&lt;BR&gt;&lt;font color=#0000FF&gt;&lt;B&gt;User Spec Reference:  &lt;/B&gt;&lt;/font&gt;",B59,"&lt;/HTML&gt;")</f>
        <v>&lt;HTML&gt;&lt;font color=#0000FF&gt;&lt;B&gt;PURPOSE:  &lt;/B&gt;&lt;/font&gt;&lt;BR&gt;The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Spouse/Partner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25&lt;/HTML&gt;</v>
      </c>
      <c r="V59" s="44" t="str">
        <f t="shared" ca="1" si="15"/>
        <v>&lt;HTML&gt;Index a FTB/NCL with below circumstance description &lt;BR&gt;&lt;BR&gt;&lt;B&gt;Customer  circumstances&lt;/B&gt;&lt;BR&gt;Residential Qualification = Spouse/Partner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care&lt;/HTML&gt;</v>
      </c>
      <c r="W59" s="44" t="str">
        <f t="shared" ca="1" si="16"/>
        <v>&lt;HTML&gt;Verify Assessment and Eligibility outcome
&lt;BR&gt;&lt;BR&gt;Benefit Status=CUR&lt;BR&gt;Review created on FAL screen=No Review&lt;BR&gt;Customer FTB (A) Status=CUR&lt;BR&gt;Customer FTB (B) Status=CUR&lt;BR&gt;Customer RA Status=N-HOM&lt;BR&gt;Child Eligibility FTB(A)=Y&lt;BR&gt;Child Eligibility FTB(B)=Y&lt;/HTML&gt;</v>
      </c>
    </row>
    <row r="60" spans="1:23" ht="409.5">
      <c r="A60" s="36">
        <f>IF(B60="","",COUNTIF($B$2:B60,"&lt;&gt;"&amp;""))</f>
        <v>59</v>
      </c>
      <c r="B60" s="37" t="s">
        <v>827</v>
      </c>
      <c r="C60" s="38" t="str">
        <f ca="1">FormatTest!A60</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Spouse/Partner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D60" s="38" t="s">
        <v>592</v>
      </c>
      <c r="E60" s="39" t="str">
        <f ca="1">FormatTest!C60</f>
        <v>&lt;BR&gt;&lt;BR&gt;Benefit Status=CUR&lt;BR&gt;Review created on FAL screen=No Review&lt;BR&gt;Customer FTB (A) Status=CUR&lt;BR&gt;Customer FTB (B) Status=CUR&lt;BR&gt;Customer RA Status=N-HOM&lt;BR&gt;Child Eligibility FTB(A)=Y&lt;BR&gt;Child Eligibility FTB(B)=Y</v>
      </c>
      <c r="F60" s="37" t="s">
        <v>13</v>
      </c>
      <c r="G60" s="37"/>
      <c r="H60" s="37"/>
      <c r="I60" s="41" t="str">
        <f ca="1">OFFSET(BuildTest!$D$202,MOD(ROW()-ROW($D$2),ROWS(BuildTest!$D$202:$D$202)),TRUNC((ROW()-ROW($D$2))/ROWS(BuildTest!$D$202:$D$202)),1,1)</f>
        <v>FTB.Regression.NCL.Single customer.Permanent Resident Visa.Relation type circ.Foster carer</v>
      </c>
      <c r="J60" s="41" t="s">
        <v>16</v>
      </c>
      <c r="K60" s="41" t="str">
        <f ca="1">FormatTest!F60</f>
        <v>Index a FTB/NCL with below circumstance description &lt;BR&gt;&lt;BR&gt;&lt;B&gt;Customer  circumstances&lt;/B&gt;&lt;BR&gt;Residential Qualification = Spouse/Partner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L60" s="41" t="str">
        <f ca="1">FormatTest!G60</f>
        <v>Verify Assessment and Eligibility outcome
&lt;BR&gt;&lt;BR&gt;Benefit Status=CUR&lt;BR&gt;Review created on FAL screen=No Review&lt;BR&gt;Customer FTB (A) Status=CUR&lt;BR&gt;Customer FTB (B) Status=CUR&lt;BR&gt;Customer RA Status=N-HOM&lt;BR&gt;Child Eligibility FTB(A)=Y&lt;BR&gt;Child Eligibility FTB(B)=Y</v>
      </c>
      <c r="M60" s="41" t="s">
        <v>322</v>
      </c>
      <c r="N60" s="41"/>
      <c r="O60" s="41" t="s">
        <v>410</v>
      </c>
      <c r="P60" s="41" t="s">
        <v>609</v>
      </c>
      <c r="Q60" s="41" t="s">
        <v>441</v>
      </c>
      <c r="R60" s="41" t="s">
        <v>14</v>
      </c>
      <c r="S60" s="41" t="s">
        <v>893</v>
      </c>
      <c r="T60" s="44" t="str">
        <f t="shared" ca="1" si="14"/>
        <v>059.FTB.Regression.NCL.Single customer.Permanent Resident Visa.Relation type circ.Foster carer</v>
      </c>
      <c r="U60" s="44" t="str">
        <f ca="1">CONCATENATE("&lt;HTML&gt;&lt;font color=#0000FF&gt;&lt;B&gt;PURPOSE:  &lt;/B&gt;&lt;/font&gt;&lt;BR&gt;",C60,"&lt;BR&gt;&lt;BR&gt;&lt;BR&gt;&lt;font color=#0000FF&gt;&lt;B&gt;Pre-requisites:  &lt;/B&gt;&lt;/font&gt;",D60,"&lt;BR&gt;&lt;BR&gt;&lt;font color=#0000FF&gt;&lt;B&gt;User Spec Name:  &lt;/B&gt;&lt;/font&gt;",Cover!$C$8,"&lt;BR&gt;",Cover!$F$8,"&lt;BR&gt;&lt;font color=#0000FF&gt;&lt;B&gt;User Spec Reference:  &lt;/B&gt;&lt;/font&gt;",B60,"&lt;/HTML&gt;")</f>
        <v>&lt;HTML&gt;&lt;font color=#0000FF&gt;&lt;B&gt;PURPOSE:  &lt;/B&gt;&lt;/font&gt;&lt;BR&gt;The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Spouse/Partner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26&lt;/HTML&gt;</v>
      </c>
      <c r="V60" s="44" t="str">
        <f t="shared" ca="1" si="15"/>
        <v>&lt;HTML&gt;Index a FTB/NCL with below circumstance description &lt;BR&gt;&lt;BR&gt;&lt;B&gt;Customer  circumstances&lt;/B&gt;&lt;BR&gt;Residential Qualification = Spouse/Partner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care&lt;/HTML&gt;</v>
      </c>
      <c r="W60" s="44" t="str">
        <f t="shared" ca="1" si="16"/>
        <v>&lt;HTML&gt;Verify Assessment and Eligibility outcome
&lt;BR&gt;&lt;BR&gt;Benefit Status=CUR&lt;BR&gt;Review created on FAL screen=No Review&lt;BR&gt;Customer FTB (A) Status=CUR&lt;BR&gt;Customer FTB (B) Status=CUR&lt;BR&gt;Customer RA Status=N-HOM&lt;BR&gt;Child Eligibility FTB(A)=Y&lt;BR&gt;Child Eligibility FTB(B)=Y&lt;/HTML&gt;</v>
      </c>
    </row>
    <row r="61" spans="1:23" ht="409.5">
      <c r="A61" s="36">
        <f>IF(B61="","",COUNTIF($B$2:B61,"&lt;&gt;"&amp;""))</f>
        <v>60</v>
      </c>
      <c r="B61" s="37" t="s">
        <v>828</v>
      </c>
      <c r="C61" s="38" t="str">
        <f ca="1">FormatTest!A61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Spouse/Partner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v>
      </c>
      <c r="D61" s="38" t="s">
        <v>592</v>
      </c>
      <c r="E61" s="39" t="str">
        <f ca="1">FormatTest!C61</f>
        <v>&lt;BR&gt;&lt;BR&gt;Benefit Status=CUR&lt;BR&gt;Review created on FAL screen=No Review&lt;BR&gt;Customer FTB (A) Status=CUR&lt;BR&gt;Customer FTB (B) Status=CUR&lt;BR&gt;Customer RA Status=N-HOM&lt;BR&gt;Child Eligibility FTB(A)=Y&lt;BR&gt;Child Eligibility FTB(B)=Y</v>
      </c>
      <c r="F61" s="37" t="s">
        <v>13</v>
      </c>
      <c r="G61" s="37"/>
      <c r="H61" s="37"/>
      <c r="I61" s="41" t="str">
        <f ca="1">OFFSET(BuildTest!$D$202,MOD(ROW()-ROW($D$2),ROWS(BuildTest!$D$202:$D$202)),TRUNC((ROW()-ROW($D$2))/ROWS(BuildTest!$D$202:$D$202)),1,1)</f>
        <v>FTB.Regression.NCL.Single customer.Permanent Resident Visa.Relation type circ.other</v>
      </c>
      <c r="J61" s="41" t="s">
        <v>16</v>
      </c>
      <c r="K61" s="41" t="str">
        <f ca="1">FormatTest!F61</f>
        <v>Index a FTB/NCL with below circumstance description &lt;BR&gt;&lt;BR&gt;&lt;B&gt;Customer  circumstances&lt;/B&gt;&lt;BR&gt;Residential Qualification = Spouse/Partner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v>
      </c>
      <c r="L61" s="41" t="str">
        <f ca="1">FormatTest!G61</f>
        <v>Verify Assessment and Eligibility outcome
&lt;BR&gt;&lt;BR&gt;Benefit Status=CUR&lt;BR&gt;Review created on FAL screen=No Review&lt;BR&gt;Customer FTB (A) Status=CUR&lt;BR&gt;Customer FTB (B) Status=CUR&lt;BR&gt;Customer RA Status=N-HOM&lt;BR&gt;Child Eligibility FTB(A)=Y&lt;BR&gt;Child Eligibility FTB(B)=Y</v>
      </c>
      <c r="M61" s="41" t="s">
        <v>322</v>
      </c>
      <c r="N61" s="41"/>
      <c r="O61" s="41" t="s">
        <v>410</v>
      </c>
      <c r="P61" s="41" t="s">
        <v>609</v>
      </c>
      <c r="Q61" s="41" t="s">
        <v>441</v>
      </c>
      <c r="R61" s="41" t="s">
        <v>14</v>
      </c>
      <c r="S61" s="41" t="s">
        <v>893</v>
      </c>
      <c r="T61" s="44" t="str">
        <f t="shared" ca="1" si="14"/>
        <v>060.FTB.Regression.NCL.Single customer.Permanent Resident Visa.Relation type circ.other</v>
      </c>
      <c r="U61" s="44" t="str">
        <f ca="1">CONCATENATE("&lt;HTML&gt;&lt;font color=#0000FF&gt;&lt;B&gt;PURPOSE:  &lt;/B&gt;&lt;/font&gt;&lt;BR&gt;",C61,"&lt;BR&gt;&lt;BR&gt;&lt;BR&gt;&lt;font color=#0000FF&gt;&lt;B&gt;Pre-requisites:  &lt;/B&gt;&lt;/font&gt;",D61,"&lt;BR&gt;&lt;BR&gt;&lt;font color=#0000FF&gt;&lt;B&gt;User Spec Name:  &lt;/B&gt;&lt;/font&gt;",Cover!$C$8,"&lt;BR&gt;",Cover!$F$8,"&lt;BR&gt;&lt;font color=#0000FF&gt;&lt;B&gt;User Spec Reference:  &lt;/B&gt;&lt;/font&gt;",B61,"&lt;/HTML&gt;")</f>
        <v>&lt;HTML&gt;&lt;font color=#0000FF&gt;&lt;B&gt;PURPOSE:  &lt;/B&gt;&lt;/font&gt;&lt;BR&gt;The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Spouse/Partner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27&lt;/HTML&gt;</v>
      </c>
      <c r="V61" s="44" t="str">
        <f t="shared" ca="1" si="15"/>
        <v>&lt;HTML&gt;Index a FTB/NCL with below circumstance description &lt;BR&gt;&lt;BR&gt;&lt;B&gt;Customer  circumstances&lt;/B&gt;&lt;BR&gt;Residential Qualification = Spouse/Partner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care&lt;/HTML&gt;</v>
      </c>
      <c r="W61" s="44" t="str">
        <f t="shared" ca="1" si="16"/>
        <v>&lt;HTML&gt;Verify Assessment and Eligibility outcome
&lt;BR&gt;&lt;BR&gt;Benefit Status=CUR&lt;BR&gt;Review created on FAL screen=No Review&lt;BR&gt;Customer FTB (A) Status=CUR&lt;BR&gt;Customer FTB (B) Status=CUR&lt;BR&gt;Customer RA Status=N-HOM&lt;BR&gt;Child Eligibility FTB(A)=Y&lt;BR&gt;Child Eligibility FTB(B)=Y&lt;/HTML&gt;</v>
      </c>
    </row>
    <row r="62" spans="1:23" ht="409.5">
      <c r="A62" s="36">
        <f>IF(B62="","",COUNTIF($B$2:B62,"&lt;&gt;"&amp;""))</f>
        <v>61</v>
      </c>
      <c r="B62" s="37" t="s">
        <v>829</v>
      </c>
      <c r="C62" s="38" t="str">
        <f ca="1">FormatTest!A62</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Spouse/Partner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D62" s="38" t="s">
        <v>592</v>
      </c>
      <c r="E62" s="39" t="str">
        <f ca="1">FormatTest!C62</f>
        <v>&lt;BR&gt;&lt;BR&gt;Benefit Status=CUR&lt;BR&gt;Review created on FAL screen=No Review&lt;BR&gt;Customer FTB (A) Status=CUR&lt;BR&gt;Customer FTB (B) Status=CUR&lt;BR&gt;Customer RA Status=N-HOM&lt;BR&gt;Child Eligibility FTB(A)=Y&lt;BR&gt;Child Eligibility FTB(B)=Y</v>
      </c>
      <c r="F62" s="37" t="s">
        <v>13</v>
      </c>
      <c r="G62" s="37"/>
      <c r="H62" s="37"/>
      <c r="I62" s="41" t="str">
        <f ca="1">OFFSET(BuildTest!$D$202,MOD(ROW()-ROW($D$2),ROWS(BuildTest!$D$202:$D$202)),TRUNC((ROW()-ROW($D$2))/ROWS(BuildTest!$D$202:$D$202)),1,1)</f>
        <v>FTB.Regression.NCL.Single customer.Permanent Resident Visa.Relation type circ.grand parent</v>
      </c>
      <c r="J62" s="41" t="s">
        <v>16</v>
      </c>
      <c r="K62" s="41" t="str">
        <f ca="1">FormatTest!F62</f>
        <v>Index a FTB/NCL with below circumstance description &lt;BR&gt;&lt;BR&gt;&lt;B&gt;Customer  circumstances&lt;/B&gt;&lt;BR&gt;Residential Qualification = Spouse/Partner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L62" s="41" t="str">
        <f ca="1">FormatTest!G62</f>
        <v>Verify Assessment and Eligibility outcome
&lt;BR&gt;&lt;BR&gt;Benefit Status=CUR&lt;BR&gt;Review created on FAL screen=No Review&lt;BR&gt;Customer FTB (A) Status=CUR&lt;BR&gt;Customer FTB (B) Status=CUR&lt;BR&gt;Customer RA Status=N-HOM&lt;BR&gt;Child Eligibility FTB(A)=Y&lt;BR&gt;Child Eligibility FTB(B)=Y</v>
      </c>
      <c r="M62" s="41" t="s">
        <v>322</v>
      </c>
      <c r="N62" s="41"/>
      <c r="O62" s="41" t="s">
        <v>410</v>
      </c>
      <c r="P62" s="41" t="s">
        <v>609</v>
      </c>
      <c r="Q62" s="41" t="s">
        <v>441</v>
      </c>
      <c r="R62" s="41" t="s">
        <v>14</v>
      </c>
      <c r="S62" s="41" t="s">
        <v>893</v>
      </c>
      <c r="T62" s="44" t="str">
        <f t="shared" ca="1" si="14"/>
        <v>061.FTB.Regression.NCL.Single customer.Permanent Resident Visa.Relation type circ.grand parent</v>
      </c>
      <c r="U62" s="44" t="str">
        <f ca="1">CONCATENATE("&lt;HTML&gt;&lt;font color=#0000FF&gt;&lt;B&gt;PURPOSE:  &lt;/B&gt;&lt;/font&gt;&lt;BR&gt;",C62,"&lt;BR&gt;&lt;BR&gt;&lt;BR&gt;&lt;font color=#0000FF&gt;&lt;B&gt;Pre-requisites:  &lt;/B&gt;&lt;/font&gt;",D62,"&lt;BR&gt;&lt;BR&gt;&lt;font color=#0000FF&gt;&lt;B&gt;User Spec Name:  &lt;/B&gt;&lt;/font&gt;",Cover!$C$8,"&lt;BR&gt;",Cover!$F$8,"&lt;BR&gt;&lt;font color=#0000FF&gt;&lt;B&gt;User Spec Reference:  &lt;/B&gt;&lt;/font&gt;",B62,"&lt;/HTML&gt;")</f>
        <v>&lt;HTML&gt;&lt;font color=#0000FF&gt;&lt;B&gt;PURPOSE:  &lt;/B&gt;&lt;/font&gt;&lt;BR&gt;The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Spouse/Partner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28&lt;/HTML&gt;</v>
      </c>
      <c r="V62" s="44" t="str">
        <f t="shared" ca="1" si="15"/>
        <v>&lt;HTML&gt;Index a FTB/NCL with below circumstance description &lt;BR&gt;&lt;BR&gt;&lt;B&gt;Customer  circumstances&lt;/B&gt;&lt;BR&gt;Residential Qualification = Spouse/Partner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care&lt;/HTML&gt;</v>
      </c>
      <c r="W62" s="44" t="str">
        <f t="shared" ca="1" si="16"/>
        <v>&lt;HTML&gt;Verify Assessment and Eligibility outcome
&lt;BR&gt;&lt;BR&gt;Benefit Status=CUR&lt;BR&gt;Review created on FAL screen=No Review&lt;BR&gt;Customer FTB (A) Status=CUR&lt;BR&gt;Customer FTB (B) Status=CUR&lt;BR&gt;Customer RA Status=N-HOM&lt;BR&gt;Child Eligibility FTB(A)=Y&lt;BR&gt;Child Eligibility FTB(B)=Y&lt;/HTML&gt;</v>
      </c>
    </row>
    <row r="63" spans="1:23" ht="409.5">
      <c r="A63" s="36">
        <f>IF(B63="","",COUNTIF($B$2:B63,"&lt;&gt;"&amp;""))</f>
        <v>62</v>
      </c>
      <c r="B63" s="37" t="s">
        <v>830</v>
      </c>
      <c r="C63" s="38" t="str">
        <f ca="1">FormatTest!A63</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Temporary Visa Class&lt;BR&gt;Direct Credit details   = Coded Exemption - FNG&lt;BR&gt;TFN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v>
      </c>
      <c r="D63" s="38" t="s">
        <v>592</v>
      </c>
      <c r="E63" s="39" t="str">
        <f ca="1">FormatTest!C63</f>
        <v>&lt;BR&gt;&lt;BR&gt;Benefit Status=CUR&lt;BR&gt;Review created on FAL screen=No Review&lt;BR&gt;Customer FTB (A) Status=CUR&lt;BR&gt;Customer FTB (B) Status=CUR&lt;BR&gt;Customer RA Status=N-HOM&lt;BR&gt;Child Eligibility FTB(A)=Y&lt;BR&gt;Child Eligibility FTB(B)=Y</v>
      </c>
      <c r="F63" s="37" t="s">
        <v>13</v>
      </c>
      <c r="G63" s="37"/>
      <c r="H63" s="37"/>
      <c r="I63" s="41" t="str">
        <f ca="1">OFFSET(BuildTest!$D$202,MOD(ROW()-ROW($D$2),ROWS(BuildTest!$D$202:$D$202)),TRUNC((ROW()-ROW($D$2))/ROWS(BuildTest!$D$202:$D$202)),1,1)</f>
        <v>FTB.Regression.NCL.Single customer.Temporary Visa.Direct credit circ.Exempt FNG</v>
      </c>
      <c r="J63" s="41" t="s">
        <v>16</v>
      </c>
      <c r="K63" s="41" t="str">
        <f ca="1">FormatTest!F63</f>
        <v>Index a FTB/NCL with below circumstance description &lt;BR&gt;&lt;BR&gt;&lt;B&gt;Customer  circumstances&lt;/B&gt;&lt;BR&gt;Residential Qualification = Temporary Visa Class&lt;BR&gt;Direct Credit details   = Coded Exemption - FNG&lt;BR&gt;TFN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v>
      </c>
      <c r="L63" s="41" t="str">
        <f ca="1">FormatTest!G63</f>
        <v>Verify Assessment and Eligibility outcome
&lt;BR&gt;&lt;BR&gt;Benefit Status=CUR&lt;BR&gt;Review created on FAL screen=No Review&lt;BR&gt;Customer FTB (A) Status=CUR&lt;BR&gt;Customer FTB (B) Status=CUR&lt;BR&gt;Customer RA Status=N-HOM&lt;BR&gt;Child Eligibility FTB(A)=Y&lt;BR&gt;Child Eligibility FTB(B)=Y</v>
      </c>
      <c r="M63" s="41" t="s">
        <v>322</v>
      </c>
      <c r="N63" s="41"/>
      <c r="O63" s="41" t="s">
        <v>410</v>
      </c>
      <c r="P63" s="41" t="s">
        <v>609</v>
      </c>
      <c r="Q63" s="41" t="s">
        <v>441</v>
      </c>
      <c r="R63" s="41" t="s">
        <v>14</v>
      </c>
      <c r="S63" s="41" t="s">
        <v>893</v>
      </c>
      <c r="T63" s="44" t="str">
        <f t="shared" ca="1" si="14"/>
        <v>062.FTB.Regression.NCL.Single customer.Temporary Visa.Direct credit circ.Exempt FNG</v>
      </c>
      <c r="U63" s="44" t="str">
        <f ca="1">CONCATENATE("&lt;HTML&gt;&lt;font color=#0000FF&gt;&lt;B&gt;PURPOSE:  &lt;/B&gt;&lt;/font&gt;&lt;BR&gt;",C63,"&lt;BR&gt;&lt;BR&gt;&lt;BR&gt;&lt;font color=#0000FF&gt;&lt;B&gt;Pre-requisites:  &lt;/B&gt;&lt;/font&gt;",D63,"&lt;BR&gt;&lt;BR&gt;&lt;font color=#0000FF&gt;&lt;B&gt;User Spec Name:  &lt;/B&gt;&lt;/font&gt;",Cover!$C$8,"&lt;BR&gt;",Cover!$F$8,"&lt;BR&gt;&lt;font color=#0000FF&gt;&lt;B&gt;User Spec Reference:  &lt;/B&gt;&lt;/font&gt;",B63,"&lt;/HTML&gt;")</f>
        <v>&lt;HTML&gt;&lt;font color=#0000FF&gt;&lt;B&gt;PURPOSE:  &lt;/B&gt;&lt;/font&gt;&lt;BR&gt;The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Temporary Visa Class&lt;BR&gt;Direct Credit details   = Coded Exemption - FNG&lt;BR&gt;TFN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29&lt;/HTML&gt;</v>
      </c>
      <c r="V63" s="44" t="str">
        <f t="shared" ca="1" si="15"/>
        <v>&lt;HTML&gt;Index a FTB/NCL with below circumstance description &lt;BR&gt;&lt;BR&gt;&lt;B&gt;Customer  circumstances&lt;/B&gt;&lt;BR&gt;Residential Qualification = Temporary Visa Class&lt;BR&gt;Direct Credit details   = Coded Exemption - FNG&lt;BR&gt;TFN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care&lt;/HTML&gt;</v>
      </c>
      <c r="W63" s="44" t="str">
        <f t="shared" ca="1" si="16"/>
        <v>&lt;HTML&gt;Verify Assessment and Eligibility outcome
&lt;BR&gt;&lt;BR&gt;Benefit Status=CUR&lt;BR&gt;Review created on FAL screen=No Review&lt;BR&gt;Customer FTB (A) Status=CUR&lt;BR&gt;Customer FTB (B) Status=CUR&lt;BR&gt;Customer RA Status=N-HOM&lt;BR&gt;Child Eligibility FTB(A)=Y&lt;BR&gt;Child Eligibility FTB(B)=Y&lt;/HTML&gt;</v>
      </c>
    </row>
    <row r="64" spans="1:23" ht="409.5">
      <c r="A64" s="36">
        <f>IF(B64="","",COUNTIF($B$2:B64,"&lt;&gt;"&amp;""))</f>
        <v>63</v>
      </c>
      <c r="B64" s="37" t="s">
        <v>831</v>
      </c>
      <c r="C64" s="38" t="str">
        <f ca="1">FormatTest!A64</f>
        <v>The purpose of the test is to verify &lt;BR&gt;&lt;BR&gt;&lt;BR&gt;&lt;BR&gt;Benefit Status=NEF-BAN&lt;BR&gt;Review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Temporary Visa Class&lt;BR&gt;Direct Credit details   = Not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v>
      </c>
      <c r="D64" s="38" t="s">
        <v>592</v>
      </c>
      <c r="E64" s="39" t="str">
        <f ca="1">FormatTest!C64</f>
        <v>&lt;BR&gt;&lt;BR&gt;Benefit Status=NEF-BAN&lt;BR&gt;Review created on FAL screen=No Review&lt;BR&gt;Customer FTB (A) Status=NULL&lt;BR&gt;Customer FTB (B) Status=NULL&lt;BR&gt;Customer RA Status=N-NULL&lt;BR&gt;Child Eligibility FTB(A)=Y&lt;BR&gt;Child Eligibility FTB(B)=Y</v>
      </c>
      <c r="F64" s="37" t="s">
        <v>13</v>
      </c>
      <c r="G64" s="37"/>
      <c r="H64" s="37"/>
      <c r="I64" s="41" t="str">
        <f ca="1">OFFSET(BuildTest!$D$202,MOD(ROW()-ROW($D$2),ROWS(BuildTest!$D$202:$D$202)),TRUNC((ROW()-ROW($D$2))/ROWS(BuildTest!$D$202:$D$202)),1,1)</f>
        <v>FTB.Regression.NCL.Single customer.Temporary Visa.Direct credit circ.Not Coded</v>
      </c>
      <c r="J64" s="41" t="s">
        <v>16</v>
      </c>
      <c r="K64" s="41" t="str">
        <f ca="1">FormatTest!F64</f>
        <v>Index a FTB/NCL with below circumstance description &lt;BR&gt;&lt;BR&gt;&lt;B&gt;Customer  circumstances&lt;/B&gt;&lt;BR&gt;Residential Qualification = Temporary Visa Class&lt;BR&gt;Direct Credit details   = Not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v>
      </c>
      <c r="L64" s="41" t="str">
        <f ca="1">FormatTest!G64</f>
        <v>Verify Assessment and Eligibility outcome
&lt;BR&gt;&lt;BR&gt;Benefit Status=NEF-BAN&lt;BR&gt;Review created on FAL screen=No Review&lt;BR&gt;Customer FTB (A) Status=NULL&lt;BR&gt;Customer FTB (B) Status=NULL&lt;BR&gt;Customer RA Status=N-NULL&lt;BR&gt;Child Eligibility FTB(A)=Y&lt;BR&gt;Child Eligibility FTB(B)=Y</v>
      </c>
      <c r="M64" s="41" t="s">
        <v>322</v>
      </c>
      <c r="N64" s="41"/>
      <c r="O64" s="41" t="s">
        <v>410</v>
      </c>
      <c r="P64" s="41" t="s">
        <v>609</v>
      </c>
      <c r="Q64" s="41" t="s">
        <v>441</v>
      </c>
      <c r="R64" s="41" t="s">
        <v>14</v>
      </c>
      <c r="S64" s="41" t="s">
        <v>893</v>
      </c>
      <c r="T64" s="44" t="str">
        <f t="shared" ca="1" si="14"/>
        <v>063.FTB.Regression.NCL.Single customer.Temporary Visa.Direct credit circ.Not Coded</v>
      </c>
      <c r="U64" s="44" t="str">
        <f ca="1">CONCATENATE("&lt;HTML&gt;&lt;font color=#0000FF&gt;&lt;B&gt;PURPOSE:  &lt;/B&gt;&lt;/font&gt;&lt;BR&gt;",C64,"&lt;BR&gt;&lt;BR&gt;&lt;BR&gt;&lt;font color=#0000FF&gt;&lt;B&gt;Pre-requisites:  &lt;/B&gt;&lt;/font&gt;",D64,"&lt;BR&gt;&lt;BR&gt;&lt;font color=#0000FF&gt;&lt;B&gt;User Spec Name:  &lt;/B&gt;&lt;/font&gt;",Cover!$C$8,"&lt;BR&gt;",Cover!$F$8,"&lt;BR&gt;&lt;font color=#0000FF&gt;&lt;B&gt;User Spec Reference:  &lt;/B&gt;&lt;/font&gt;",B64,"&lt;/HTML&gt;")</f>
        <v>&lt;HTML&gt;&lt;font color=#0000FF&gt;&lt;B&gt;PURPOSE:  &lt;/B&gt;&lt;/font&gt;&lt;BR&gt;The purpose of the test is to verify &lt;BR&gt;&lt;BR&gt;&lt;BR&gt;&lt;BR&gt;Benefit Status=NEF-BAN&lt;BR&gt;Review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Temporary Visa Class&lt;BR&gt;Direct Credit details   = Not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30&lt;/HTML&gt;</v>
      </c>
      <c r="V64" s="44" t="str">
        <f t="shared" ca="1" si="15"/>
        <v>&lt;HTML&gt;Index a FTB/NCL with below circumstance description &lt;BR&gt;&lt;BR&gt;&lt;B&gt;Customer  circumstances&lt;/B&gt;&lt;BR&gt;Residential Qualification = Temporary Visa Class&lt;BR&gt;Direct Credit details   = Not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care&lt;/HTML&gt;</v>
      </c>
      <c r="W64" s="44" t="str">
        <f t="shared" ca="1" si="16"/>
        <v>&lt;HTML&gt;Verify Assessment and Eligibility outcome
&lt;BR&gt;&lt;BR&gt;Benefit Status=NEF-BAN&lt;BR&gt;Review created on FAL screen=No Review&lt;BR&gt;Customer FTB (A) Status=NULL&lt;BR&gt;Customer FTB (B) Status=NULL&lt;BR&gt;Customer RA Status=N-NULL&lt;BR&gt;Child Eligibility FTB(A)=Y&lt;BR&gt;Child Eligibility FTB(B)=Y&lt;/HTML&gt;</v>
      </c>
    </row>
    <row r="65" spans="1:23" ht="409.5">
      <c r="A65" s="36">
        <f>IF(B65="","",COUNTIF($B$2:B65,"&lt;&gt;"&amp;""))</f>
        <v>64</v>
      </c>
      <c r="B65" s="37" t="s">
        <v>832</v>
      </c>
      <c r="C65" s="38" t="str">
        <f ca="1">FormatTest!A65</f>
        <v>The purpose of the test is to verify &lt;BR&gt;&lt;BR&gt;&lt;BR&gt;&lt;BR&gt;Benefit Status=NEF-NTC&lt;BR&gt;Review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Temporary Visa Class&lt;BR&gt;Direct Credit details   = Coded&lt;BR&gt;TFN details = Not Coded&lt;BR&gt;Secondary Earner income = Less than $21,499&lt;BR&gt;Home ownership code = Home owner - HOM&lt;BR&gt;&lt;BR&gt;&lt;BR&gt;&lt;B&gt;Child  circumstances&lt;/B&gt;&lt;BR&gt;Number of Child(ren) = 1&lt;BR&gt;Age of Child = &lt;= 5yr&lt;BR&gt;Principal Care Type = Other&lt;BR&gt;Care Percentage = 100% of Customer's care</v>
      </c>
      <c r="D65" s="38" t="s">
        <v>592</v>
      </c>
      <c r="E65" s="39" t="str">
        <f ca="1">FormatTest!C65</f>
        <v>&lt;BR&gt;&lt;BR&gt;Benefit Status=NEF-NTC&lt;BR&gt;Review created on FAL screen=No Review&lt;BR&gt;Customer FTB (A) Status=NULL&lt;BR&gt;Customer FTB (B) Status=NULL&lt;BR&gt;Customer RA Status=N-NULL&lt;BR&gt;Child Eligibility FTB(A)=Y&lt;BR&gt;Child Eligibility FTB(B)=Y</v>
      </c>
      <c r="F65" s="37" t="s">
        <v>13</v>
      </c>
      <c r="G65" s="37"/>
      <c r="H65" s="37"/>
      <c r="I65" s="41" t="str">
        <f ca="1">OFFSET(BuildTest!$D$202,MOD(ROW()-ROW($D$2),ROWS(BuildTest!$D$202:$D$202)),TRUNC((ROW()-ROW($D$2))/ROWS(BuildTest!$D$202:$D$202)),1,1)</f>
        <v>FTB.Regression.NCL.Single customer.Temporary Visa.TFN circ.Not coded</v>
      </c>
      <c r="J65" s="41" t="s">
        <v>16</v>
      </c>
      <c r="K65" s="41" t="str">
        <f ca="1">FormatTest!F65</f>
        <v>Index a FTB/NCL with below circumstance description &lt;BR&gt;&lt;BR&gt;&lt;B&gt;Customer  circumstances&lt;/B&gt;&lt;BR&gt;Residential Qualification = Temporary Visa Class&lt;BR&gt;Direct Credit details   = Coded&lt;BR&gt;TFN details = Not Coded&lt;BR&gt;Secondary Earner income = Less than $21,499&lt;BR&gt;Home ownership code = Home owner - HOM&lt;BR&gt;&lt;BR&gt;&lt;BR&gt;&lt;B&gt;Child  circumstances&lt;/B&gt;&lt;BR&gt;Number of Child(ren) = 1&lt;BR&gt;Age of Child = &lt;= 5yr&lt;BR&gt;Principal Care Type = Other&lt;BR&gt;Care Percentage = 100% of Customer's care</v>
      </c>
      <c r="L65" s="41" t="str">
        <f ca="1">FormatTest!G65</f>
        <v>Verify Assessment and Eligibility outcome
&lt;BR&gt;&lt;BR&gt;Benefit Status=NEF-NTC&lt;BR&gt;Review created on FAL screen=No Review&lt;BR&gt;Customer FTB (A) Status=NULL&lt;BR&gt;Customer FTB (B) Status=NULL&lt;BR&gt;Customer RA Status=N-NULL&lt;BR&gt;Child Eligibility FTB(A)=Y&lt;BR&gt;Child Eligibility FTB(B)=Y</v>
      </c>
      <c r="M65" s="41" t="s">
        <v>322</v>
      </c>
      <c r="N65" s="41"/>
      <c r="O65" s="41" t="s">
        <v>410</v>
      </c>
      <c r="P65" s="41" t="s">
        <v>609</v>
      </c>
      <c r="Q65" s="41" t="s">
        <v>441</v>
      </c>
      <c r="R65" s="41" t="s">
        <v>14</v>
      </c>
      <c r="S65" s="41" t="s">
        <v>893</v>
      </c>
      <c r="T65" s="44" t="str">
        <f t="shared" ca="1" si="14"/>
        <v>064.FTB.Regression.NCL.Single customer.Temporary Visa.TFN circ.Not coded</v>
      </c>
      <c r="U65" s="44" t="str">
        <f ca="1">CONCATENATE("&lt;HTML&gt;&lt;font color=#0000FF&gt;&lt;B&gt;PURPOSE:  &lt;/B&gt;&lt;/font&gt;&lt;BR&gt;",C65,"&lt;BR&gt;&lt;BR&gt;&lt;BR&gt;&lt;font color=#0000FF&gt;&lt;B&gt;Pre-requisites:  &lt;/B&gt;&lt;/font&gt;",D65,"&lt;BR&gt;&lt;BR&gt;&lt;font color=#0000FF&gt;&lt;B&gt;User Spec Name:  &lt;/B&gt;&lt;/font&gt;",Cover!$C$8,"&lt;BR&gt;",Cover!$F$8,"&lt;BR&gt;&lt;font color=#0000FF&gt;&lt;B&gt;User Spec Reference:  &lt;/B&gt;&lt;/font&gt;",B65,"&lt;/HTML&gt;")</f>
        <v>&lt;HTML&gt;&lt;font color=#0000FF&gt;&lt;B&gt;PURPOSE:  &lt;/B&gt;&lt;/font&gt;&lt;BR&gt;The purpose of the test is to verify &lt;BR&gt;&lt;BR&gt;&lt;BR&gt;&lt;BR&gt;Benefit Status=NEF-NTC&lt;BR&gt;Review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Temporary Visa Class&lt;BR&gt;Direct Credit details   = Coded&lt;BR&gt;TFN details = Not Coded&lt;BR&gt;Secondary Earner income = Less than $21,499&lt;BR&gt;Home ownership code = Home owner - HOM&lt;BR&gt;&lt;BR&gt;&lt;BR&gt;&lt;B&gt;Child  circumstances&lt;/B&gt;&lt;BR&gt;Number of Child(ren) = 1&lt;BR&gt;Age of Child = &lt;= 5yr&lt;BR&gt;Principal Care Type = Other&lt;BR&gt;Care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31&lt;/HTML&gt;</v>
      </c>
      <c r="V65" s="44" t="str">
        <f t="shared" ca="1" si="15"/>
        <v>&lt;HTML&gt;Index a FTB/NCL with below circumstance description &lt;BR&gt;&lt;BR&gt;&lt;B&gt;Customer  circumstances&lt;/B&gt;&lt;BR&gt;Residential Qualification = Temporary Visa Class&lt;BR&gt;Direct Credit details   = Coded&lt;BR&gt;TFN details = Not Coded&lt;BR&gt;Secondary Earner income = Less than $21,499&lt;BR&gt;Home ownership code = Home owner - HOM&lt;BR&gt;&lt;BR&gt;&lt;BR&gt;&lt;B&gt;Child  circumstances&lt;/B&gt;&lt;BR&gt;Number of Child(ren) = 1&lt;BR&gt;Age of Child = &lt;= 5yr&lt;BR&gt;Principal Care Type = Other&lt;BR&gt;Care Percentage = 100% of Customer's care&lt;/HTML&gt;</v>
      </c>
      <c r="W65" s="44" t="str">
        <f t="shared" ca="1" si="16"/>
        <v>&lt;HTML&gt;Verify Assessment and Eligibility outcome
&lt;BR&gt;&lt;BR&gt;Benefit Status=NEF-NTC&lt;BR&gt;Review created on FAL screen=No Review&lt;BR&gt;Customer FTB (A) Status=NULL&lt;BR&gt;Customer FTB (B) Status=NULL&lt;BR&gt;Customer RA Status=N-NULL&lt;BR&gt;Child Eligibility FTB(A)=Y&lt;BR&gt;Child Eligibility FTB(B)=Y&lt;/HTML&gt;</v>
      </c>
    </row>
    <row r="66" spans="1:23" ht="409.5">
      <c r="A66" s="36">
        <f>IF(B66="","",COUNTIF($B$2:B66,"&lt;&gt;"&amp;""))</f>
        <v>65</v>
      </c>
      <c r="B66" s="37" t="s">
        <v>833</v>
      </c>
      <c r="C66" s="38" t="str">
        <f ca="1">FormatTest!A66</f>
        <v>The purpose of the test is to verify &lt;BR&gt;&lt;BR&gt;&lt;BR&gt;&lt;BR&gt;Benefit Status=REJ-INC&lt;BR&gt;Review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Temporary Visa Class&lt;BR&gt;Direct Credit details   = Coded&lt;BR&gt;TFN details = Coded&lt;BR&gt;Secondary Earner income = More than $ 27,613&lt;BR&gt;Home ownership code = Home owner - HOM&lt;BR&gt;&lt;BR&gt;&lt;BR&gt;&lt;B&gt;Child  circumstances&lt;/B&gt;&lt;BR&gt;Number of Child(ren) = 1&lt;BR&gt;Age of Child = &lt;= 5yr&lt;BR&gt;Principal Care Type = Other&lt;BR&gt;Care Percentage = 100% of Customer's care</v>
      </c>
      <c r="D66" s="38" t="s">
        <v>592</v>
      </c>
      <c r="E66" s="39" t="str">
        <f ca="1">FormatTest!C66</f>
        <v>&lt;BR&gt;&lt;BR&gt;Benefit Status=REJ-INC&lt;BR&gt;Review created on FAL screen=No Review&lt;BR&gt;Customer FTB (A) Status=NULL&lt;BR&gt;Customer FTB (B) Status=NULL&lt;BR&gt;Customer RA Status=N-NULL&lt;BR&gt;Child Eligibility FTB(A)=Y&lt;BR&gt;Child Eligibility FTB(B)=Y</v>
      </c>
      <c r="F66" s="37" t="s">
        <v>13</v>
      </c>
      <c r="G66" s="37"/>
      <c r="H66" s="37"/>
      <c r="I66" s="41" t="str">
        <f ca="1">OFFSET(BuildTest!$D$202,MOD(ROW()-ROW($D$2),ROWS(BuildTest!$D$202:$D$202)),TRUNC((ROW()-ROW($D$2))/ROWS(BuildTest!$D$202:$D$202)),1,1)</f>
        <v>FTB.Regression.NCL.Single customer.Temporary Visa.Income circ. Income above threshold</v>
      </c>
      <c r="J66" s="41" t="s">
        <v>16</v>
      </c>
      <c r="K66" s="41" t="str">
        <f ca="1">FormatTest!F66</f>
        <v>Index a FTB/NCL with below circumstance description &lt;BR&gt;&lt;BR&gt;&lt;B&gt;Customer  circumstances&lt;/B&gt;&lt;BR&gt;Residential Qualification = Temporary Visa Class&lt;BR&gt;Direct Credit details   = Coded&lt;BR&gt;TFN details = Coded&lt;BR&gt;Secondary Earner income = More than $ 27,613&lt;BR&gt;Home ownership code = Home owner - HOM&lt;BR&gt;&lt;BR&gt;&lt;BR&gt;&lt;B&gt;Child  circumstances&lt;/B&gt;&lt;BR&gt;Number of Child(ren) = 1&lt;BR&gt;Age of Child = &lt;= 5yr&lt;BR&gt;Principal Care Type = Other&lt;BR&gt;Care Percentage = 100% of Customer's care</v>
      </c>
      <c r="L66" s="41" t="str">
        <f ca="1">FormatTest!G66</f>
        <v>Verify Assessment and Eligibility outcome
&lt;BR&gt;&lt;BR&gt;Benefit Status=REJ-INC&lt;BR&gt;Review created on FAL screen=No Review&lt;BR&gt;Customer FTB (A) Status=NULL&lt;BR&gt;Customer FTB (B) Status=NULL&lt;BR&gt;Customer RA Status=N-NULL&lt;BR&gt;Child Eligibility FTB(A)=Y&lt;BR&gt;Child Eligibility FTB(B)=Y</v>
      </c>
      <c r="M66" s="41" t="s">
        <v>322</v>
      </c>
      <c r="N66" s="41"/>
      <c r="O66" s="41" t="s">
        <v>410</v>
      </c>
      <c r="P66" s="41" t="s">
        <v>609</v>
      </c>
      <c r="Q66" s="41" t="s">
        <v>441</v>
      </c>
      <c r="R66" s="41" t="s">
        <v>14</v>
      </c>
      <c r="S66" s="41" t="s">
        <v>893</v>
      </c>
      <c r="T66" s="44" t="str">
        <f t="shared" ca="1" si="14"/>
        <v>065.FTB.Regression.NCL.Single customer.Temporary Visa.Income circ. Income above threshold</v>
      </c>
      <c r="U66" s="44" t="str">
        <f ca="1">CONCATENATE("&lt;HTML&gt;&lt;font color=#0000FF&gt;&lt;B&gt;PURPOSE:  &lt;/B&gt;&lt;/font&gt;&lt;BR&gt;",C66,"&lt;BR&gt;&lt;BR&gt;&lt;BR&gt;&lt;font color=#0000FF&gt;&lt;B&gt;Pre-requisites:  &lt;/B&gt;&lt;/font&gt;",D66,"&lt;BR&gt;&lt;BR&gt;&lt;font color=#0000FF&gt;&lt;B&gt;User Spec Name:  &lt;/B&gt;&lt;/font&gt;",Cover!$C$8,"&lt;BR&gt;",Cover!$F$8,"&lt;BR&gt;&lt;font color=#0000FF&gt;&lt;B&gt;User Spec Reference:  &lt;/B&gt;&lt;/font&gt;",B66,"&lt;/HTML&gt;")</f>
        <v>&lt;HTML&gt;&lt;font color=#0000FF&gt;&lt;B&gt;PURPOSE:  &lt;/B&gt;&lt;/font&gt;&lt;BR&gt;The purpose of the test is to verify &lt;BR&gt;&lt;BR&gt;&lt;BR&gt;&lt;BR&gt;Benefit Status=REJ-INC&lt;BR&gt;Review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Temporary Visa Class&lt;BR&gt;Direct Credit details   = Coded&lt;BR&gt;TFN details = Coded&lt;BR&gt;Secondary Earner income = More than $ 27,613&lt;BR&gt;Home ownership code = Home owner - HOM&lt;BR&gt;&lt;BR&gt;&lt;BR&gt;&lt;B&gt;Child  circumstances&lt;/B&gt;&lt;BR&gt;Number of Child(ren) = 1&lt;BR&gt;Age of Child = &lt;= 5yr&lt;BR&gt;Principal Care Type = Other&lt;BR&gt;Care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32&lt;/HTML&gt;</v>
      </c>
      <c r="V66" s="44" t="str">
        <f t="shared" ca="1" si="15"/>
        <v>&lt;HTML&gt;Index a FTB/NCL with below circumstance description &lt;BR&gt;&lt;BR&gt;&lt;B&gt;Customer  circumstances&lt;/B&gt;&lt;BR&gt;Residential Qualification = Temporary Visa Class&lt;BR&gt;Direct Credit details   = Coded&lt;BR&gt;TFN details = Coded&lt;BR&gt;Secondary Earner income = More than $ 27,613&lt;BR&gt;Home ownership code = Home owner - HOM&lt;BR&gt;&lt;BR&gt;&lt;BR&gt;&lt;B&gt;Child  circumstances&lt;/B&gt;&lt;BR&gt;Number of Child(ren) = 1&lt;BR&gt;Age of Child = &lt;= 5yr&lt;BR&gt;Principal Care Type = Other&lt;BR&gt;Care Percentage = 100% of Customer's care&lt;/HTML&gt;</v>
      </c>
      <c r="W66" s="44" t="str">
        <f t="shared" ca="1" si="16"/>
        <v>&lt;HTML&gt;Verify Assessment and Eligibility outcome
&lt;BR&gt;&lt;BR&gt;Benefit Status=REJ-INC&lt;BR&gt;Review created on FAL screen=No Review&lt;BR&gt;Customer FTB (A) Status=NULL&lt;BR&gt;Customer FTB (B) Status=NULL&lt;BR&gt;Customer RA Status=N-NULL&lt;BR&gt;Child Eligibility FTB(A)=Y&lt;BR&gt;Child Eligibility FTB(B)=Y&lt;/HTML&gt;</v>
      </c>
    </row>
    <row r="67" spans="1:23" ht="409.5">
      <c r="A67" s="36">
        <f>IF(B67="","",COUNTIF($B$2:B67,"&lt;&gt;"&amp;""))</f>
        <v>66</v>
      </c>
      <c r="B67" s="37" t="s">
        <v>834</v>
      </c>
      <c r="C67" s="38" t="str">
        <f ca="1">FormatTest!A67</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Temporary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D67" s="38" t="s">
        <v>592</v>
      </c>
      <c r="E67" s="39" t="str">
        <f ca="1">FormatTest!C67</f>
        <v>&lt;BR&gt;&lt;BR&gt;Benefit Status=CUR&lt;BR&gt;Review created on FAL screen=No Review&lt;BR&gt;Customer FTB (A) Status=CUR&lt;BR&gt;Customer FTB (B) Status=CUR&lt;BR&gt;Customer RA Status=N-HOM&lt;BR&gt;Child Eligibility FTB(A)=Y&lt;BR&gt;Child Eligibility FTB(B)=Y</v>
      </c>
      <c r="F67" s="37" t="s">
        <v>13</v>
      </c>
      <c r="G67" s="37"/>
      <c r="H67" s="37"/>
      <c r="I67" s="41" t="str">
        <f ca="1">OFFSET(BuildTest!$D$202,MOD(ROW()-ROW($D$2),ROWS(BuildTest!$D$202:$D$202)),TRUNC((ROW()-ROW($D$2))/ROWS(BuildTest!$D$202:$D$202)),1,1)</f>
        <v>FTB.Regression.NCL.Single customer.Temporary VisaRelation type circ.step parent</v>
      </c>
      <c r="J67" s="41" t="s">
        <v>16</v>
      </c>
      <c r="K67" s="41" t="str">
        <f ca="1">FormatTest!F67</f>
        <v>Index a FTB/NCL with below circumstance description &lt;BR&gt;&lt;BR&gt;&lt;B&gt;Customer  circumstances&lt;/B&gt;&lt;BR&gt;Residential Qualification = Temporary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L67" s="41" t="str">
        <f ca="1">FormatTest!G67</f>
        <v>Verify Assessment and Eligibility outcome
&lt;BR&gt;&lt;BR&gt;Benefit Status=CUR&lt;BR&gt;Review created on FAL screen=No Review&lt;BR&gt;Customer FTB (A) Status=CUR&lt;BR&gt;Customer FTB (B) Status=CUR&lt;BR&gt;Customer RA Status=N-HOM&lt;BR&gt;Child Eligibility FTB(A)=Y&lt;BR&gt;Child Eligibility FTB(B)=Y</v>
      </c>
      <c r="M67" s="41" t="s">
        <v>322</v>
      </c>
      <c r="N67" s="41"/>
      <c r="O67" s="41" t="s">
        <v>410</v>
      </c>
      <c r="P67" s="41" t="s">
        <v>609</v>
      </c>
      <c r="Q67" s="41" t="s">
        <v>441</v>
      </c>
      <c r="R67" s="41" t="s">
        <v>14</v>
      </c>
      <c r="S67" s="41" t="s">
        <v>893</v>
      </c>
      <c r="T67" s="44" t="str">
        <f t="shared" ca="1" si="14"/>
        <v>066.FTB.Regression.NCL.Single customer.Temporary VisaRelation type circ.step parent</v>
      </c>
      <c r="U67" s="44" t="str">
        <f ca="1">CONCATENATE("&lt;HTML&gt;&lt;font color=#0000FF&gt;&lt;B&gt;PURPOSE:  &lt;/B&gt;&lt;/font&gt;&lt;BR&gt;",C67,"&lt;BR&gt;&lt;BR&gt;&lt;BR&gt;&lt;font color=#0000FF&gt;&lt;B&gt;Pre-requisites:  &lt;/B&gt;&lt;/font&gt;",D67,"&lt;BR&gt;&lt;BR&gt;&lt;font color=#0000FF&gt;&lt;B&gt;User Spec Name:  &lt;/B&gt;&lt;/font&gt;",Cover!$C$8,"&lt;BR&gt;",Cover!$F$8,"&lt;BR&gt;&lt;font color=#0000FF&gt;&lt;B&gt;User Spec Reference:  &lt;/B&gt;&lt;/font&gt;",B67,"&lt;/HTML&gt;")</f>
        <v>&lt;HTML&gt;&lt;font color=#0000FF&gt;&lt;B&gt;PURPOSE:  &lt;/B&gt;&lt;/font&gt;&lt;BR&gt;The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Temporary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33&lt;/HTML&gt;</v>
      </c>
      <c r="V67" s="44" t="str">
        <f t="shared" ca="1" si="15"/>
        <v>&lt;HTML&gt;Index a FTB/NCL with below circumstance description &lt;BR&gt;&lt;BR&gt;&lt;B&gt;Customer  circumstances&lt;/B&gt;&lt;BR&gt;Residential Qualification = Temporary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care&lt;/HTML&gt;</v>
      </c>
      <c r="W67" s="44" t="str">
        <f t="shared" ca="1" si="16"/>
        <v>&lt;HTML&gt;Verify Assessment and Eligibility outcome
&lt;BR&gt;&lt;BR&gt;Benefit Status=CUR&lt;BR&gt;Review created on FAL screen=No Review&lt;BR&gt;Customer FTB (A) Status=CUR&lt;BR&gt;Customer FTB (B) Status=CUR&lt;BR&gt;Customer RA Status=N-HOM&lt;BR&gt;Child Eligibility FTB(A)=Y&lt;BR&gt;Child Eligibility FTB(B)=Y&lt;/HTML&gt;</v>
      </c>
    </row>
    <row r="68" spans="1:23" ht="409.5">
      <c r="A68" s="36">
        <f>IF(B68="","",COUNTIF($B$2:B68,"&lt;&gt;"&amp;""))</f>
        <v>67</v>
      </c>
      <c r="B68" s="37" t="s">
        <v>835</v>
      </c>
      <c r="C68" s="38" t="str">
        <f ca="1">FormatTest!A68</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Temporary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D68" s="38" t="s">
        <v>592</v>
      </c>
      <c r="E68" s="39" t="str">
        <f ca="1">FormatTest!C68</f>
        <v>&lt;BR&gt;&lt;BR&gt;Benefit Status=CUR&lt;BR&gt;Review created on FAL screen=No Review&lt;BR&gt;Customer FTB (A) Status=CUR&lt;BR&gt;Customer FTB (B) Status=CUR&lt;BR&gt;Customer RA Status=N-HOM&lt;BR&gt;Child Eligibility FTB(A)=Y&lt;BR&gt;Child Eligibility FTB(B)=Y</v>
      </c>
      <c r="F68" s="37" t="s">
        <v>13</v>
      </c>
      <c r="G68" s="37"/>
      <c r="H68" s="37"/>
      <c r="I68" s="41" t="str">
        <f ca="1">OFFSET(BuildTest!$D$202,MOD(ROW()-ROW($D$2),ROWS(BuildTest!$D$202:$D$202)),TRUNC((ROW()-ROW($D$2))/ROWS(BuildTest!$D$202:$D$202)),1,1)</f>
        <v>FTB.Regression.NCL.Single customer.Temporary Visa.Relation type circadoptive parent</v>
      </c>
      <c r="J68" s="41" t="s">
        <v>16</v>
      </c>
      <c r="K68" s="41" t="str">
        <f ca="1">FormatTest!F68</f>
        <v>Index a FTB/NCL with below circumstance description &lt;BR&gt;&lt;BR&gt;&lt;B&gt;Customer  circumstances&lt;/B&gt;&lt;BR&gt;Residential Qualification = Temporary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L68" s="41" t="str">
        <f ca="1">FormatTest!G68</f>
        <v>Verify Assessment and Eligibility outcome
&lt;BR&gt;&lt;BR&gt;Benefit Status=CUR&lt;BR&gt;Review created on FAL screen=No Review&lt;BR&gt;Customer FTB (A) Status=CUR&lt;BR&gt;Customer FTB (B) Status=CUR&lt;BR&gt;Customer RA Status=N-HOM&lt;BR&gt;Child Eligibility FTB(A)=Y&lt;BR&gt;Child Eligibility FTB(B)=Y</v>
      </c>
      <c r="M68" s="41" t="s">
        <v>322</v>
      </c>
      <c r="N68" s="41"/>
      <c r="O68" s="41" t="s">
        <v>410</v>
      </c>
      <c r="P68" s="41" t="s">
        <v>609</v>
      </c>
      <c r="Q68" s="41" t="s">
        <v>441</v>
      </c>
      <c r="R68" s="41" t="s">
        <v>14</v>
      </c>
      <c r="S68" s="41" t="s">
        <v>893</v>
      </c>
      <c r="T68" s="44" t="str">
        <f t="shared" ca="1" si="14"/>
        <v>067.FTB.Regression.NCL.Single customer.Temporary Visa.Relation type circadoptive parent</v>
      </c>
      <c r="U68" s="44" t="str">
        <f ca="1">CONCATENATE("&lt;HTML&gt;&lt;font color=#0000FF&gt;&lt;B&gt;PURPOSE:  &lt;/B&gt;&lt;/font&gt;&lt;BR&gt;",C68,"&lt;BR&gt;&lt;BR&gt;&lt;BR&gt;&lt;font color=#0000FF&gt;&lt;B&gt;Pre-requisites:  &lt;/B&gt;&lt;/font&gt;",D68,"&lt;BR&gt;&lt;BR&gt;&lt;font color=#0000FF&gt;&lt;B&gt;User Spec Name:  &lt;/B&gt;&lt;/font&gt;",Cover!$C$8,"&lt;BR&gt;",Cover!$F$8,"&lt;BR&gt;&lt;font color=#0000FF&gt;&lt;B&gt;User Spec Reference:  &lt;/B&gt;&lt;/font&gt;",B68,"&lt;/HTML&gt;")</f>
        <v>&lt;HTML&gt;&lt;font color=#0000FF&gt;&lt;B&gt;PURPOSE:  &lt;/B&gt;&lt;/font&gt;&lt;BR&gt;The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Temporary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34&lt;/HTML&gt;</v>
      </c>
      <c r="V68" s="44" t="str">
        <f t="shared" ca="1" si="15"/>
        <v>&lt;HTML&gt;Index a FTB/NCL with below circumstance description &lt;BR&gt;&lt;BR&gt;&lt;B&gt;Customer  circumstances&lt;/B&gt;&lt;BR&gt;Residential Qualification = Temporary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care&lt;/HTML&gt;</v>
      </c>
      <c r="W68" s="44" t="str">
        <f t="shared" ca="1" si="16"/>
        <v>&lt;HTML&gt;Verify Assessment and Eligibility outcome
&lt;BR&gt;&lt;BR&gt;Benefit Status=CUR&lt;BR&gt;Review created on FAL screen=No Review&lt;BR&gt;Customer FTB (A) Status=CUR&lt;BR&gt;Customer FTB (B) Status=CUR&lt;BR&gt;Customer RA Status=N-HOM&lt;BR&gt;Child Eligibility FTB(A)=Y&lt;BR&gt;Child Eligibility FTB(B)=Y&lt;/HTML&gt;</v>
      </c>
    </row>
    <row r="69" spans="1:23" ht="409.5">
      <c r="A69" s="36">
        <f>IF(B69="","",COUNTIF($B$2:B69,"&lt;&gt;"&amp;""))</f>
        <v>68</v>
      </c>
      <c r="B69" s="37" t="s">
        <v>836</v>
      </c>
      <c r="C69" s="38" t="str">
        <f ca="1">FormatTest!A69</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Temporary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D69" s="38" t="s">
        <v>592</v>
      </c>
      <c r="E69" s="39" t="str">
        <f ca="1">FormatTest!C69</f>
        <v>&lt;BR&gt;&lt;BR&gt;Benefit Status=CUR&lt;BR&gt;Review created on FAL screen=No Review&lt;BR&gt;Customer FTB (A) Status=CUR&lt;BR&gt;Customer FTB (B) Status=CUR&lt;BR&gt;Customer RA Status=N-HOM&lt;BR&gt;Child Eligibility FTB(A)=Y&lt;BR&gt;Child Eligibility FTB(B)=Y</v>
      </c>
      <c r="F69" s="37" t="s">
        <v>13</v>
      </c>
      <c r="G69" s="37"/>
      <c r="H69" s="37"/>
      <c r="I69" s="41" t="str">
        <f ca="1">OFFSET(BuildTest!$D$202,MOD(ROW()-ROW($D$2),ROWS(BuildTest!$D$202:$D$202)),TRUNC((ROW()-ROW($D$2))/ROWS(BuildTest!$D$202:$D$202)),1,1)</f>
        <v>FTB.Regression.NCL.Single customer.Temporary Visa.Relation type circ.foster carer</v>
      </c>
      <c r="J69" s="41" t="s">
        <v>16</v>
      </c>
      <c r="K69" s="41" t="str">
        <f ca="1">FormatTest!F69</f>
        <v>Index a FTB/NCL with below circumstance description &lt;BR&gt;&lt;BR&gt;&lt;B&gt;Customer  circumstances&lt;/B&gt;&lt;BR&gt;Residential Qualification = Temporary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L69" s="41" t="str">
        <f ca="1">FormatTest!G69</f>
        <v>Verify Assessment and Eligibility outcome
&lt;BR&gt;&lt;BR&gt;Benefit Status=CUR&lt;BR&gt;Review created on FAL screen=No Review&lt;BR&gt;Customer FTB (A) Status=CUR&lt;BR&gt;Customer FTB (B) Status=CUR&lt;BR&gt;Customer RA Status=N-HOM&lt;BR&gt;Child Eligibility FTB(A)=Y&lt;BR&gt;Child Eligibility FTB(B)=Y</v>
      </c>
      <c r="M69" s="41" t="s">
        <v>322</v>
      </c>
      <c r="N69" s="41"/>
      <c r="O69" s="41" t="s">
        <v>410</v>
      </c>
      <c r="P69" s="41" t="s">
        <v>609</v>
      </c>
      <c r="Q69" s="41" t="s">
        <v>441</v>
      </c>
      <c r="R69" s="41" t="s">
        <v>14</v>
      </c>
      <c r="S69" s="41" t="s">
        <v>893</v>
      </c>
      <c r="T69" s="44" t="str">
        <f t="shared" ca="1" si="14"/>
        <v>068.FTB.Regression.NCL.Single customer.Temporary Visa.Relation type circ.foster carer</v>
      </c>
      <c r="U69" s="44" t="str">
        <f ca="1">CONCATENATE("&lt;HTML&gt;&lt;font color=#0000FF&gt;&lt;B&gt;PURPOSE:  &lt;/B&gt;&lt;/font&gt;&lt;BR&gt;",C69,"&lt;BR&gt;&lt;BR&gt;&lt;BR&gt;&lt;font color=#0000FF&gt;&lt;B&gt;Pre-requisites:  &lt;/B&gt;&lt;/font&gt;",D69,"&lt;BR&gt;&lt;BR&gt;&lt;font color=#0000FF&gt;&lt;B&gt;User Spec Name:  &lt;/B&gt;&lt;/font&gt;",Cover!$C$8,"&lt;BR&gt;",Cover!$F$8,"&lt;BR&gt;&lt;font color=#0000FF&gt;&lt;B&gt;User Spec Reference:  &lt;/B&gt;&lt;/font&gt;",B69,"&lt;/HTML&gt;")</f>
        <v>&lt;HTML&gt;&lt;font color=#0000FF&gt;&lt;B&gt;PURPOSE:  &lt;/B&gt;&lt;/font&gt;&lt;BR&gt;The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Temporary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35&lt;/HTML&gt;</v>
      </c>
      <c r="V69" s="44" t="str">
        <f t="shared" ca="1" si="15"/>
        <v>&lt;HTML&gt;Index a FTB/NCL with below circumstance description &lt;BR&gt;&lt;BR&gt;&lt;B&gt;Customer  circumstances&lt;/B&gt;&lt;BR&gt;Residential Qualification = Temporary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care&lt;/HTML&gt;</v>
      </c>
      <c r="W69" s="44" t="str">
        <f t="shared" ca="1" si="16"/>
        <v>&lt;HTML&gt;Verify Assessment and Eligibility outcome
&lt;BR&gt;&lt;BR&gt;Benefit Status=CUR&lt;BR&gt;Review created on FAL screen=No Review&lt;BR&gt;Customer FTB (A) Status=CUR&lt;BR&gt;Customer FTB (B) Status=CUR&lt;BR&gt;Customer RA Status=N-HOM&lt;BR&gt;Child Eligibility FTB(A)=Y&lt;BR&gt;Child Eligibility FTB(B)=Y&lt;/HTML&gt;</v>
      </c>
    </row>
    <row r="70" spans="1:23" ht="409.5">
      <c r="A70" s="36">
        <f>IF(B70="","",COUNTIF($B$2:B70,"&lt;&gt;"&amp;""))</f>
        <v>69</v>
      </c>
      <c r="B70" s="37" t="s">
        <v>838</v>
      </c>
      <c r="C70" s="38" t="str">
        <f ca="1">FormatTest!A70</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Temporary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v>
      </c>
      <c r="D70" s="38" t="s">
        <v>592</v>
      </c>
      <c r="E70" s="39" t="str">
        <f ca="1">FormatTest!C70</f>
        <v>&lt;BR&gt;&lt;BR&gt;Benefit Status=CUR&lt;BR&gt;Review created on FAL screen=No Review&lt;BR&gt;Customer FTB (A) Status=CUR&lt;BR&gt;Customer FTB (B) Status=CUR&lt;BR&gt;Customer RA Status=N-HOM&lt;BR&gt;Child Eligibility FTB(A)=Y&lt;BR&gt;Child Eligibility FTB(B)=Y</v>
      </c>
      <c r="F70" s="37" t="s">
        <v>13</v>
      </c>
      <c r="G70" s="37"/>
      <c r="H70" s="37"/>
      <c r="I70" s="41" t="str">
        <f ca="1">OFFSET(BuildTest!$D$202,MOD(ROW()-ROW($D$2),ROWS(BuildTest!$D$202:$D$202)),TRUNC((ROW()-ROW($D$2))/ROWS(BuildTest!$D$202:$D$202)),1,1)</f>
        <v>FTB.Regression.NCL.Single customer.Temporary Visa.Relation type circ.other</v>
      </c>
      <c r="J70" s="41" t="s">
        <v>16</v>
      </c>
      <c r="K70" s="41" t="str">
        <f ca="1">FormatTest!F70</f>
        <v>Index a FTB/NCL with below circumstance description &lt;BR&gt;&lt;BR&gt;&lt;B&gt;Customer  circumstances&lt;/B&gt;&lt;BR&gt;Residential Qualification = Temporary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v>
      </c>
      <c r="L70" s="41" t="str">
        <f ca="1">FormatTest!G70</f>
        <v>Verify Assessment and Eligibility outcome
&lt;BR&gt;&lt;BR&gt;Benefit Status=CUR&lt;BR&gt;Review created on FAL screen=No Review&lt;BR&gt;Customer FTB (A) Status=CUR&lt;BR&gt;Customer FTB (B) Status=CUR&lt;BR&gt;Customer RA Status=N-HOM&lt;BR&gt;Child Eligibility FTB(A)=Y&lt;BR&gt;Child Eligibility FTB(B)=Y</v>
      </c>
      <c r="M70" s="41" t="s">
        <v>322</v>
      </c>
      <c r="N70" s="41"/>
      <c r="O70" s="41" t="s">
        <v>410</v>
      </c>
      <c r="P70" s="41" t="s">
        <v>609</v>
      </c>
      <c r="Q70" s="41" t="s">
        <v>441</v>
      </c>
      <c r="R70" s="41" t="s">
        <v>14</v>
      </c>
      <c r="S70" s="41" t="s">
        <v>893</v>
      </c>
      <c r="T70" s="44" t="str">
        <f t="shared" ca="1" si="14"/>
        <v>069.FTB.Regression.NCL.Single customer.Temporary Visa.Relation type circ.other</v>
      </c>
      <c r="U70" s="44" t="str">
        <f ca="1">CONCATENATE("&lt;HTML&gt;&lt;font color=#0000FF&gt;&lt;B&gt;PURPOSE:  &lt;/B&gt;&lt;/font&gt;&lt;BR&gt;",C70,"&lt;BR&gt;&lt;BR&gt;&lt;BR&gt;&lt;font color=#0000FF&gt;&lt;B&gt;Pre-requisites:  &lt;/B&gt;&lt;/font&gt;",D70,"&lt;BR&gt;&lt;BR&gt;&lt;font color=#0000FF&gt;&lt;B&gt;User Spec Name:  &lt;/B&gt;&lt;/font&gt;",Cover!$C$8,"&lt;BR&gt;",Cover!$F$8,"&lt;BR&gt;&lt;font color=#0000FF&gt;&lt;B&gt;User Spec Reference:  &lt;/B&gt;&lt;/font&gt;",B70,"&lt;/HTML&gt;")</f>
        <v>&lt;HTML&gt;&lt;font color=#0000FF&gt;&lt;B&gt;PURPOSE:  &lt;/B&gt;&lt;/font&gt;&lt;BR&gt;The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Temporary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36&lt;/HTML&gt;</v>
      </c>
      <c r="V70" s="44" t="str">
        <f t="shared" ca="1" si="15"/>
        <v>&lt;HTML&gt;Index a FTB/NCL with below circumstance description &lt;BR&gt;&lt;BR&gt;&lt;B&gt;Customer  circumstances&lt;/B&gt;&lt;BR&gt;Residential Qualification = Temporary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care&lt;/HTML&gt;</v>
      </c>
      <c r="W70" s="44" t="str">
        <f t="shared" ca="1" si="16"/>
        <v>&lt;HTML&gt;Verify Assessment and Eligibility outcome
&lt;BR&gt;&lt;BR&gt;Benefit Status=CUR&lt;BR&gt;Review created on FAL screen=No Review&lt;BR&gt;Customer FTB (A) Status=CUR&lt;BR&gt;Customer FTB (B) Status=CUR&lt;BR&gt;Customer RA Status=N-HOM&lt;BR&gt;Child Eligibility FTB(A)=Y&lt;BR&gt;Child Eligibility FTB(B)=Y&lt;/HTML&gt;</v>
      </c>
    </row>
    <row r="71" spans="1:23" ht="409.5">
      <c r="A71" s="36">
        <f>IF(B71="","",COUNTIF($B$2:B71,"&lt;&gt;"&amp;""))</f>
        <v>70</v>
      </c>
      <c r="B71" s="37" t="s">
        <v>840</v>
      </c>
      <c r="C71" s="38" t="str">
        <f ca="1">FormatTest!A71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Temporary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D71" s="38" t="s">
        <v>592</v>
      </c>
      <c r="E71" s="39" t="str">
        <f ca="1">FormatTest!C71</f>
        <v>&lt;BR&gt;&lt;BR&gt;Benefit Status=CUR&lt;BR&gt;Review created on FAL screen=No Review&lt;BR&gt;Customer FTB (A) Status=CUR&lt;BR&gt;Customer FTB (B) Status=CUR&lt;BR&gt;Customer RA Status=N-HOM&lt;BR&gt;Child Eligibility FTB(A)=Y&lt;BR&gt;Child Eligibility FTB(B)=Y</v>
      </c>
      <c r="F71" s="37" t="s">
        <v>13</v>
      </c>
      <c r="G71" s="37"/>
      <c r="H71" s="37"/>
      <c r="I71" s="41" t="str">
        <f ca="1">OFFSET(BuildTest!$D$202,MOD(ROW()-ROW($D$2),ROWS(BuildTest!$D$202:$D$202)),TRUNC((ROW()-ROW($D$2))/ROWS(BuildTest!$D$202:$D$202)),1,1)</f>
        <v>FTB.Regression.NCL.Single customer.Temporary Visa.Relation type circ.grandparent</v>
      </c>
      <c r="J71" s="41" t="s">
        <v>16</v>
      </c>
      <c r="K71" s="41" t="str">
        <f ca="1">FormatTest!F71</f>
        <v>Index a FTB/NCL with below circumstance description &lt;BR&gt;&lt;BR&gt;&lt;B&gt;Customer  circumstances&lt;/B&gt;&lt;BR&gt;Residential Qualification = Temporary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L71" s="41" t="str">
        <f ca="1">FormatTest!G71</f>
        <v>Verify Assessment and Eligibility outcome
&lt;BR&gt;&lt;BR&gt;Benefit Status=CUR&lt;BR&gt;Review created on FAL screen=No Review&lt;BR&gt;Customer FTB (A) Status=CUR&lt;BR&gt;Customer FTB (B) Status=CUR&lt;BR&gt;Customer RA Status=N-HOM&lt;BR&gt;Child Eligibility FTB(A)=Y&lt;BR&gt;Child Eligibility FTB(B)=Y</v>
      </c>
      <c r="M71" s="41" t="s">
        <v>322</v>
      </c>
      <c r="N71" s="41"/>
      <c r="O71" s="41" t="s">
        <v>410</v>
      </c>
      <c r="P71" s="41" t="s">
        <v>609</v>
      </c>
      <c r="Q71" s="41" t="s">
        <v>441</v>
      </c>
      <c r="R71" s="41" t="s">
        <v>14</v>
      </c>
      <c r="S71" s="41" t="s">
        <v>893</v>
      </c>
      <c r="T71" s="44" t="str">
        <f t="shared" ca="1" si="14"/>
        <v>070.FTB.Regression.NCL.Single customer.Temporary Visa.Relation type circ.grandparent</v>
      </c>
      <c r="U71" s="44" t="str">
        <f ca="1">CONCATENATE("&lt;HTML&gt;&lt;font color=#0000FF&gt;&lt;B&gt;PURPOSE:  &lt;/B&gt;&lt;/font&gt;&lt;BR&gt;",C71,"&lt;BR&gt;&lt;BR&gt;&lt;BR&gt;&lt;font color=#0000FF&gt;&lt;B&gt;Pre-requisites:  &lt;/B&gt;&lt;/font&gt;",D71,"&lt;BR&gt;&lt;BR&gt;&lt;font color=#0000FF&gt;&lt;B&gt;User Spec Name:  &lt;/B&gt;&lt;/font&gt;",Cover!$C$8,"&lt;BR&gt;",Cover!$F$8,"&lt;BR&gt;&lt;font color=#0000FF&gt;&lt;B&gt;User Spec Reference:  &lt;/B&gt;&lt;/font&gt;",B71,"&lt;/HTML&gt;")</f>
        <v>&lt;HTML&gt;&lt;font color=#0000FF&gt;&lt;B&gt;PURPOSE:  &lt;/B&gt;&lt;/font&gt;&lt;BR&gt;The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Temporary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37&lt;/HTML&gt;</v>
      </c>
      <c r="V71" s="44" t="str">
        <f t="shared" ca="1" si="15"/>
        <v>&lt;HTML&gt;Index a FTB/NCL with below circumstance description &lt;BR&gt;&lt;BR&gt;&lt;B&gt;Customer  circumstances&lt;/B&gt;&lt;BR&gt;Residential Qualification = Temporary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care&lt;/HTML&gt;</v>
      </c>
      <c r="W71" s="44" t="str">
        <f t="shared" ca="1" si="16"/>
        <v>&lt;HTML&gt;Verify Assessment and Eligibility outcome
&lt;BR&gt;&lt;BR&gt;Benefit Status=CUR&lt;BR&gt;Review created on FAL screen=No Review&lt;BR&gt;Customer FTB (A) Status=CUR&lt;BR&gt;Customer FTB (B) Status=CUR&lt;BR&gt;Customer RA Status=N-HOM&lt;BR&gt;Child Eligibility FTB(A)=Y&lt;BR&gt;Child Eligibility FTB(B)=Y&lt;/HTML&gt;</v>
      </c>
    </row>
    <row r="72" spans="1:23" ht="409.5">
      <c r="A72" s="36">
        <f>IF(B72="","",COUNTIF($B$2:B72,"&lt;&gt;"&amp;""))</f>
        <v>71</v>
      </c>
      <c r="B72" s="37" t="s">
        <v>842</v>
      </c>
      <c r="C72" s="38" t="str">
        <f ca="1">FormatTest!A72</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Special Category Visa Class&lt;BR&gt;Direct Credit details   = Coded Exemption - FNG&lt;BR&gt;TFN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D72" s="38" t="s">
        <v>592</v>
      </c>
      <c r="E72" s="39" t="str">
        <f ca="1">FormatTest!C72</f>
        <v>&lt;BR&gt;&lt;BR&gt;Benefit Status=CUR&lt;BR&gt;Review created on FAL screen=No Review&lt;BR&gt;Customer FTB (A) Status=CUR&lt;BR&gt;Customer FTB (B) Status=CUR&lt;BR&gt;Customer RA Status=N-HOM&lt;BR&gt;Child Eligibility FTB(A)=Y&lt;BR&gt;Child Eligibility FTB(B)=Y</v>
      </c>
      <c r="F72" s="37" t="s">
        <v>13</v>
      </c>
      <c r="G72" s="37"/>
      <c r="H72" s="37"/>
      <c r="I72" s="41" t="str">
        <f ca="1">OFFSET(BuildTest!$D$202,MOD(ROW()-ROW($D$2),ROWS(BuildTest!$D$202:$D$202)),TRUNC((ROW()-ROW($D$2))/ROWS(BuildTest!$D$202:$D$202)),1,1)</f>
        <v>FTB.Regression.NCL.Single customer.Special Category Visa.Direct credit circ.Exempt FNG</v>
      </c>
      <c r="J72" s="41" t="s">
        <v>16</v>
      </c>
      <c r="K72" s="41" t="str">
        <f ca="1">FormatTest!F72</f>
        <v>Index a FTB/NCL with below circumstance description &lt;BR&gt;&lt;BR&gt;&lt;B&gt;Customer  circumstances&lt;/B&gt;&lt;BR&gt;Residential Qualification = Special Category Visa Class&lt;BR&gt;Direct Credit details   = Coded Exemption - FNG&lt;BR&gt;TFN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L72" s="41" t="str">
        <f ca="1">FormatTest!G72</f>
        <v>Verify Assessment and Eligibility outcome
&lt;BR&gt;&lt;BR&gt;Benefit Status=CUR&lt;BR&gt;Review created on FAL screen=No Review&lt;BR&gt;Customer FTB (A) Status=CUR&lt;BR&gt;Customer FTB (B) Status=CUR&lt;BR&gt;Customer RA Status=N-HOM&lt;BR&gt;Child Eligibility FTB(A)=Y&lt;BR&gt;Child Eligibility FTB(B)=Y</v>
      </c>
      <c r="M72" s="41" t="s">
        <v>322</v>
      </c>
      <c r="N72" s="41"/>
      <c r="O72" s="41" t="s">
        <v>410</v>
      </c>
      <c r="P72" s="41" t="s">
        <v>609</v>
      </c>
      <c r="Q72" s="41" t="s">
        <v>441</v>
      </c>
      <c r="R72" s="41" t="s">
        <v>14</v>
      </c>
      <c r="S72" s="41" t="s">
        <v>893</v>
      </c>
      <c r="T72" s="44" t="str">
        <f t="shared" ca="1" si="14"/>
        <v>071.FTB.Regression.NCL.Single customer.Special Category Visa.Direct credit circ.Exempt FNG</v>
      </c>
      <c r="U72" s="44" t="str">
        <f ca="1">CONCATENATE("&lt;HTML&gt;&lt;font color=#0000FF&gt;&lt;B&gt;PURPOSE:  &lt;/B&gt;&lt;/font&gt;&lt;BR&gt;",C72,"&lt;BR&gt;&lt;BR&gt;&lt;BR&gt;&lt;font color=#0000FF&gt;&lt;B&gt;Pre-requisites:  &lt;/B&gt;&lt;/font&gt;",D72,"&lt;BR&gt;&lt;BR&gt;&lt;font color=#0000FF&gt;&lt;B&gt;User Spec Name:  &lt;/B&gt;&lt;/font&gt;",Cover!$C$8,"&lt;BR&gt;",Cover!$F$8,"&lt;BR&gt;&lt;font color=#0000FF&gt;&lt;B&gt;User Spec Reference:  &lt;/B&gt;&lt;/font&gt;",B72,"&lt;/HTML&gt;")</f>
        <v>&lt;HTML&gt;&lt;font color=#0000FF&gt;&lt;B&gt;PURPOSE:  &lt;/B&gt;&lt;/font&gt;&lt;BR&gt;The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Special Category Visa Class&lt;BR&gt;Direct Credit details   = Coded Exemption - FNG&lt;BR&gt;TFN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38&lt;/HTML&gt;</v>
      </c>
      <c r="V72" s="44" t="str">
        <f t="shared" ca="1" si="15"/>
        <v>&lt;HTML&gt;Index a FTB/NCL with below circumstance description &lt;BR&gt;&lt;BR&gt;&lt;B&gt;Customer  circumstances&lt;/B&gt;&lt;BR&gt;Residential Qualification = Special Category Visa Class&lt;BR&gt;Direct Credit details   = Coded Exemption - FNG&lt;BR&gt;TFN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care&lt;/HTML&gt;</v>
      </c>
      <c r="W72" s="44" t="str">
        <f t="shared" ca="1" si="16"/>
        <v>&lt;HTML&gt;Verify Assessment and Eligibility outcome
&lt;BR&gt;&lt;BR&gt;Benefit Status=CUR&lt;BR&gt;Review created on FAL screen=No Review&lt;BR&gt;Customer FTB (A) Status=CUR&lt;BR&gt;Customer FTB (B) Status=CUR&lt;BR&gt;Customer RA Status=N-HOM&lt;BR&gt;Child Eligibility FTB(A)=Y&lt;BR&gt;Child Eligibility FTB(B)=Y&lt;/HTML&gt;</v>
      </c>
    </row>
    <row r="73" spans="1:23" ht="409.5">
      <c r="A73" s="36">
        <f>IF(B73="","",COUNTIF($B$2:B73,"&lt;&gt;"&amp;""))</f>
        <v>72</v>
      </c>
      <c r="B73" s="37" t="s">
        <v>844</v>
      </c>
      <c r="C73" s="38" t="str">
        <f ca="1">FormatTest!A73</f>
        <v>The purpose of the test is to verify &lt;BR&gt;&lt;BR&gt;&lt;BR&gt;&lt;BR&gt;Benefit Status=NEF-BAN&lt;BR&gt;Review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Special Category Visa Class&lt;BR&gt;Direct Credit details   = Not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D73" s="38" t="s">
        <v>592</v>
      </c>
      <c r="E73" s="39" t="str">
        <f ca="1">FormatTest!C73</f>
        <v>&lt;BR&gt;&lt;BR&gt;Benefit Status=NEF-BAN&lt;BR&gt;Review created on FAL screen=No Review&lt;BR&gt;Customer FTB (A) Status=NULL&lt;BR&gt;Customer FTB (B) Status=NULL&lt;BR&gt;Customer RA Status=N-NULL&lt;BR&gt;Child Eligibility FTB(A)=Y&lt;BR&gt;Child Eligibility FTB(B)=Y</v>
      </c>
      <c r="F73" s="37" t="s">
        <v>13</v>
      </c>
      <c r="G73" s="37"/>
      <c r="H73" s="37"/>
      <c r="I73" s="41" t="str">
        <f ca="1">OFFSET(BuildTest!$D$202,MOD(ROW()-ROW($D$2),ROWS(BuildTest!$D$202:$D$202)),TRUNC((ROW()-ROW($D$2))/ROWS(BuildTest!$D$202:$D$202)),1,1)</f>
        <v>FTB.Regression.NCL.Single customer.Special Category Visa.Direct credit circ.Not Coded</v>
      </c>
      <c r="J73" s="41" t="s">
        <v>16</v>
      </c>
      <c r="K73" s="41" t="str">
        <f ca="1">FormatTest!F73</f>
        <v>Index a FTB/NCL with below circumstance description &lt;BR&gt;&lt;BR&gt;&lt;B&gt;Customer  circumstances&lt;/B&gt;&lt;BR&gt;Residential Qualification = Special Category Visa Class&lt;BR&gt;Direct Credit details   = Not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L73" s="41" t="str">
        <f ca="1">FormatTest!G73</f>
        <v>Verify Assessment and Eligibility outcome
&lt;BR&gt;&lt;BR&gt;Benefit Status=NEF-BAN&lt;BR&gt;Review created on FAL screen=No Review&lt;BR&gt;Customer FTB (A) Status=NULL&lt;BR&gt;Customer FTB (B) Status=NULL&lt;BR&gt;Customer RA Status=N-NULL&lt;BR&gt;Child Eligibility FTB(A)=Y&lt;BR&gt;Child Eligibility FTB(B)=Y</v>
      </c>
      <c r="M73" s="41" t="s">
        <v>322</v>
      </c>
      <c r="N73" s="41"/>
      <c r="O73" s="41" t="s">
        <v>410</v>
      </c>
      <c r="P73" s="41" t="s">
        <v>609</v>
      </c>
      <c r="Q73" s="41" t="s">
        <v>441</v>
      </c>
      <c r="R73" s="41" t="s">
        <v>14</v>
      </c>
      <c r="S73" s="41" t="s">
        <v>893</v>
      </c>
      <c r="T73" s="44" t="str">
        <f t="shared" ca="1" si="14"/>
        <v>072.FTB.Regression.NCL.Single customer.Special Category Visa.Direct credit circ.Not Coded</v>
      </c>
      <c r="U73" s="44" t="str">
        <f ca="1">CONCATENATE("&lt;HTML&gt;&lt;font color=#0000FF&gt;&lt;B&gt;PURPOSE:  &lt;/B&gt;&lt;/font&gt;&lt;BR&gt;",C73,"&lt;BR&gt;&lt;BR&gt;&lt;BR&gt;&lt;font color=#0000FF&gt;&lt;B&gt;Pre-requisites:  &lt;/B&gt;&lt;/font&gt;",D73,"&lt;BR&gt;&lt;BR&gt;&lt;font color=#0000FF&gt;&lt;B&gt;User Spec Name:  &lt;/B&gt;&lt;/font&gt;",Cover!$C$8,"&lt;BR&gt;",Cover!$F$8,"&lt;BR&gt;&lt;font color=#0000FF&gt;&lt;B&gt;User Spec Reference:  &lt;/B&gt;&lt;/font&gt;",B73,"&lt;/HTML&gt;")</f>
        <v>&lt;HTML&gt;&lt;font color=#0000FF&gt;&lt;B&gt;PURPOSE:  &lt;/B&gt;&lt;/font&gt;&lt;BR&gt;The purpose of the test is to verify &lt;BR&gt;&lt;BR&gt;&lt;BR&gt;&lt;BR&gt;Benefit Status=NEF-BAN&lt;BR&gt;Review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Special Category Visa Class&lt;BR&gt;Direct Credit details   = Not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39&lt;/HTML&gt;</v>
      </c>
      <c r="V73" s="44" t="str">
        <f t="shared" ca="1" si="15"/>
        <v>&lt;HTML&gt;Index a FTB/NCL with below circumstance description &lt;BR&gt;&lt;BR&gt;&lt;B&gt;Customer  circumstances&lt;/B&gt;&lt;BR&gt;Residential Qualification = Special Category Visa Class&lt;BR&gt;Direct Credit details   = Not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care&lt;/HTML&gt;</v>
      </c>
      <c r="W73" s="44" t="str">
        <f t="shared" ca="1" si="16"/>
        <v>&lt;HTML&gt;Verify Assessment and Eligibility outcome
&lt;BR&gt;&lt;BR&gt;Benefit Status=NEF-BAN&lt;BR&gt;Review created on FAL screen=No Review&lt;BR&gt;Customer FTB (A) Status=NULL&lt;BR&gt;Customer FTB (B) Status=NULL&lt;BR&gt;Customer RA Status=N-NULL&lt;BR&gt;Child Eligibility FTB(A)=Y&lt;BR&gt;Child Eligibility FTB(B)=Y&lt;/HTML&gt;</v>
      </c>
    </row>
    <row r="74" spans="1:23" ht="409.5">
      <c r="A74" s="36">
        <f>IF(B74="","",COUNTIF($B$2:B74,"&lt;&gt;"&amp;""))</f>
        <v>73</v>
      </c>
      <c r="B74" s="37" t="s">
        <v>846</v>
      </c>
      <c r="C74" s="38" t="str">
        <f ca="1">FormatTest!A74</f>
        <v>The purpose of the test is to verify &lt;BR&gt;&lt;BR&gt;&lt;BR&gt;&lt;BR&gt;Benefit Status=NEF-NTC&lt;BR&gt;Review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Special Category Visa Class&lt;BR&gt;Direct Credit details   = Coded&lt;BR&gt;TFN details = Not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D74" s="38" t="s">
        <v>592</v>
      </c>
      <c r="E74" s="39" t="str">
        <f ca="1">FormatTest!C74</f>
        <v>&lt;BR&gt;&lt;BR&gt;Benefit Status=NEF-NTC&lt;BR&gt;Review created on FAL screen=No Review&lt;BR&gt;Customer FTB (A) Status=NULL&lt;BR&gt;Customer FTB (B) Status=NULL&lt;BR&gt;Customer RA Status=N-NULL&lt;BR&gt;Child Eligibility FTB(A)=Y&lt;BR&gt;Child Eligibility FTB(B)=Y</v>
      </c>
      <c r="F74" s="37" t="s">
        <v>13</v>
      </c>
      <c r="G74" s="37"/>
      <c r="H74" s="37"/>
      <c r="I74" s="41" t="str">
        <f ca="1">OFFSET(BuildTest!$D$202,MOD(ROW()-ROW($D$2),ROWS(BuildTest!$D$202:$D$202)),TRUNC((ROW()-ROW($D$2))/ROWS(BuildTest!$D$202:$D$202)),1,1)</f>
        <v>FTB.Regression.NCL.Single customer.Special Category Visa.TFN circ.Not coded</v>
      </c>
      <c r="J74" s="41" t="s">
        <v>16</v>
      </c>
      <c r="K74" s="41" t="str">
        <f ca="1">FormatTest!F74</f>
        <v>Index a FTB/NCL with below circumstance description &lt;BR&gt;&lt;BR&gt;&lt;B&gt;Customer  circumstances&lt;/B&gt;&lt;BR&gt;Residential Qualification = Special Category Visa Class&lt;BR&gt;Direct Credit details   = Coded&lt;BR&gt;TFN details = Not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L74" s="41" t="str">
        <f ca="1">FormatTest!G74</f>
        <v>Verify Assessment and Eligibility outcome
&lt;BR&gt;&lt;BR&gt;Benefit Status=NEF-NTC&lt;BR&gt;Review created on FAL screen=No Review&lt;BR&gt;Customer FTB (A) Status=NULL&lt;BR&gt;Customer FTB (B) Status=NULL&lt;BR&gt;Customer RA Status=N-NULL&lt;BR&gt;Child Eligibility FTB(A)=Y&lt;BR&gt;Child Eligibility FTB(B)=Y</v>
      </c>
      <c r="M74" s="41" t="s">
        <v>322</v>
      </c>
      <c r="N74" s="41"/>
      <c r="O74" s="41" t="s">
        <v>410</v>
      </c>
      <c r="P74" s="41" t="s">
        <v>609</v>
      </c>
      <c r="Q74" s="41" t="s">
        <v>441</v>
      </c>
      <c r="R74" s="41" t="s">
        <v>14</v>
      </c>
      <c r="S74" s="41" t="s">
        <v>893</v>
      </c>
      <c r="T74" s="44" t="str">
        <f t="shared" ca="1" si="14"/>
        <v>073.FTB.Regression.NCL.Single customer.Special Category Visa.TFN circ.Not coded</v>
      </c>
      <c r="U74" s="44" t="str">
        <f ca="1">CONCATENATE("&lt;HTML&gt;&lt;font color=#0000FF&gt;&lt;B&gt;PURPOSE:  &lt;/B&gt;&lt;/font&gt;&lt;BR&gt;",C74,"&lt;BR&gt;&lt;BR&gt;&lt;BR&gt;&lt;font color=#0000FF&gt;&lt;B&gt;Pre-requisites:  &lt;/B&gt;&lt;/font&gt;",D74,"&lt;BR&gt;&lt;BR&gt;&lt;font color=#0000FF&gt;&lt;B&gt;User Spec Name:  &lt;/B&gt;&lt;/font&gt;",Cover!$C$8,"&lt;BR&gt;",Cover!$F$8,"&lt;BR&gt;&lt;font color=#0000FF&gt;&lt;B&gt;User Spec Reference:  &lt;/B&gt;&lt;/font&gt;",B74,"&lt;/HTML&gt;")</f>
        <v>&lt;HTML&gt;&lt;font color=#0000FF&gt;&lt;B&gt;PURPOSE:  &lt;/B&gt;&lt;/font&gt;&lt;BR&gt;The purpose of the test is to verify &lt;BR&gt;&lt;BR&gt;&lt;BR&gt;&lt;BR&gt;Benefit Status=NEF-NTC&lt;BR&gt;Review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Special Category Visa Class&lt;BR&gt;Direct Credit details   = Coded&lt;BR&gt;TFN details = Not Coded&lt;BR&gt;Secondary Earner income = Less than $21,499&lt;BR&gt;Home ownership code = Home owner - HOM&lt;BR&gt;&lt;BR&gt;&lt;BR&gt;&lt;B&gt;Child  circumstances&lt;/B&gt;&lt;BR&gt;Number of Child(ren) = 1&lt;BR&gt;Age of Child = &lt;= 5yr&lt;BR&gt;Principal Care Type = GrandParent&lt;BR&gt;Care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40&lt;/HTML&gt;</v>
      </c>
      <c r="V74" s="44" t="str">
        <f t="shared" ca="1" si="15"/>
        <v>&lt;HTML&gt;Index a FTB/NCL with below circumstance description &lt;BR&gt;&lt;BR&gt;&lt;B&gt;Customer  circumstances&lt;/B&gt;&lt;BR&gt;Residential Qualification = Special Category Visa Class&lt;BR&gt;Direct Credit details   = Coded&lt;BR&gt;TFN details = Not Coded&lt;BR&gt;Secondary Earner income = Less than $21,499&lt;BR&gt;Home ownership code = Home owner - HOM&lt;BR&gt;&lt;BR&gt;&lt;BR&gt;&lt;B&gt;Child  circumstances&lt;/B&gt;&lt;BR&gt;Number of Child(ren) = 1&lt;BR&gt;Age of Child = &lt;= 5yr&lt;BR&gt;Principal Care Type = GrandParent&lt;BR&gt;Care Percentage = 100% of Customer's care&lt;/HTML&gt;</v>
      </c>
      <c r="W74" s="44" t="str">
        <f t="shared" ca="1" si="16"/>
        <v>&lt;HTML&gt;Verify Assessment and Eligibility outcome
&lt;BR&gt;&lt;BR&gt;Benefit Status=NEF-NTC&lt;BR&gt;Review created on FAL screen=No Review&lt;BR&gt;Customer FTB (A) Status=NULL&lt;BR&gt;Customer FTB (B) Status=NULL&lt;BR&gt;Customer RA Status=N-NULL&lt;BR&gt;Child Eligibility FTB(A)=Y&lt;BR&gt;Child Eligibility FTB(B)=Y&lt;/HTML&gt;</v>
      </c>
    </row>
    <row r="75" spans="1:23" ht="409.5">
      <c r="A75" s="36">
        <f>IF(B75="","",COUNTIF($B$2:B75,"&lt;&gt;"&amp;""))</f>
        <v>74</v>
      </c>
      <c r="B75" s="37" t="s">
        <v>848</v>
      </c>
      <c r="C75" s="38" t="str">
        <f ca="1">FormatTest!A75</f>
        <v>The purpose of the test is to verify &lt;BR&gt;&lt;BR&gt;&lt;BR&gt;&lt;BR&gt;Benefit Status=REJ-INC&lt;BR&gt;Review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Special Category Visa Class&lt;BR&gt;Direct Credit details   = Coded&lt;BR&gt;TFN details = Coded&lt;BR&gt;Secondary Earner income = More than $ 27,613&lt;BR&gt;Home ownership code = Home owner - HOM&lt;BR&gt;&lt;BR&gt;&lt;BR&gt;&lt;B&gt;Child  circumstances&lt;/B&gt;&lt;BR&gt;Number of Child(ren) = 1&lt;BR&gt;Age of Child = &lt;= 5yr&lt;BR&gt;Principal Care Type = GrandParent&lt;BR&gt;Care Percentage = 100% of Customer's care</v>
      </c>
      <c r="D75" s="38" t="s">
        <v>592</v>
      </c>
      <c r="E75" s="39" t="str">
        <f ca="1">FormatTest!C75</f>
        <v>&lt;BR&gt;&lt;BR&gt;Benefit Status=REJ-INC&lt;BR&gt;Review created on FAL screen=No Review&lt;BR&gt;Customer FTB (A) Status=NULL&lt;BR&gt;Customer FTB (B) Status=NULL&lt;BR&gt;Customer RA Status=N-NULL&lt;BR&gt;Child Eligibility FTB(A)=Y&lt;BR&gt;Child Eligibility FTB(B)=Y</v>
      </c>
      <c r="F75" s="37" t="s">
        <v>13</v>
      </c>
      <c r="G75" s="37"/>
      <c r="H75" s="37"/>
      <c r="I75" s="41" t="str">
        <f ca="1">OFFSET(BuildTest!$D$202,MOD(ROW()-ROW($D$2),ROWS(BuildTest!$D$202:$D$202)),TRUNC((ROW()-ROW($D$2))/ROWS(BuildTest!$D$202:$D$202)),1,1)</f>
        <v>FTB.Regression.NCL.Single customer.Special Category Visa.Income circ. Income above threshold</v>
      </c>
      <c r="J75" s="41" t="s">
        <v>16</v>
      </c>
      <c r="K75" s="41" t="str">
        <f ca="1">FormatTest!F75</f>
        <v>Index a FTB/NCL with below circumstance description &lt;BR&gt;&lt;BR&gt;&lt;B&gt;Customer  circumstances&lt;/B&gt;&lt;BR&gt;Residential Qualification = Special Category Visa Class&lt;BR&gt;Direct Credit details   = Coded&lt;BR&gt;TFN details = Coded&lt;BR&gt;Secondary Earner income = More than $ 27,613&lt;BR&gt;Home ownership code = Home owner - HOM&lt;BR&gt;&lt;BR&gt;&lt;BR&gt;&lt;B&gt;Child  circumstances&lt;/B&gt;&lt;BR&gt;Number of Child(ren) = 1&lt;BR&gt;Age of Child = &lt;= 5yr&lt;BR&gt;Principal Care Type = GrandParent&lt;BR&gt;Care Percentage = 100% of Customer's care</v>
      </c>
      <c r="L75" s="41" t="str">
        <f ca="1">FormatTest!G75</f>
        <v>Verify Assessment and Eligibility outcome
&lt;BR&gt;&lt;BR&gt;Benefit Status=REJ-INC&lt;BR&gt;Review created on FAL screen=No Review&lt;BR&gt;Customer FTB (A) Status=NULL&lt;BR&gt;Customer FTB (B) Status=NULL&lt;BR&gt;Customer RA Status=N-NULL&lt;BR&gt;Child Eligibility FTB(A)=Y&lt;BR&gt;Child Eligibility FTB(B)=Y</v>
      </c>
      <c r="M75" s="41" t="s">
        <v>322</v>
      </c>
      <c r="N75" s="41"/>
      <c r="O75" s="41" t="s">
        <v>410</v>
      </c>
      <c r="P75" s="41" t="s">
        <v>609</v>
      </c>
      <c r="Q75" s="41" t="s">
        <v>441</v>
      </c>
      <c r="R75" s="41" t="s">
        <v>14</v>
      </c>
      <c r="S75" s="41" t="s">
        <v>893</v>
      </c>
      <c r="T75" s="44" t="str">
        <f t="shared" ca="1" si="14"/>
        <v>074.FTB.Regression.NCL.Single customer.Special Category Visa.Income circ. Income above threshold</v>
      </c>
      <c r="U75" s="44" t="str">
        <f ca="1">CONCATENATE("&lt;HTML&gt;&lt;font color=#0000FF&gt;&lt;B&gt;PURPOSE:  &lt;/B&gt;&lt;/font&gt;&lt;BR&gt;",C75,"&lt;BR&gt;&lt;BR&gt;&lt;BR&gt;&lt;font color=#0000FF&gt;&lt;B&gt;Pre-requisites:  &lt;/B&gt;&lt;/font&gt;",D75,"&lt;BR&gt;&lt;BR&gt;&lt;font color=#0000FF&gt;&lt;B&gt;User Spec Name:  &lt;/B&gt;&lt;/font&gt;",Cover!$C$8,"&lt;BR&gt;",Cover!$F$8,"&lt;BR&gt;&lt;font color=#0000FF&gt;&lt;B&gt;User Spec Reference:  &lt;/B&gt;&lt;/font&gt;",B75,"&lt;/HTML&gt;")</f>
        <v>&lt;HTML&gt;&lt;font color=#0000FF&gt;&lt;B&gt;PURPOSE:  &lt;/B&gt;&lt;/font&gt;&lt;BR&gt;The purpose of the test is to verify &lt;BR&gt;&lt;BR&gt;&lt;BR&gt;&lt;BR&gt;Benefit Status=REJ-INC&lt;BR&gt;Review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Special Category Visa Class&lt;BR&gt;Direct Credit details   = Coded&lt;BR&gt;TFN details = Coded&lt;BR&gt;Secondary Earner income = More than $ 27,613&lt;BR&gt;Home ownership code = Home owner - HOM&lt;BR&gt;&lt;BR&gt;&lt;BR&gt;&lt;B&gt;Child  circumstances&lt;/B&gt;&lt;BR&gt;Number of Child(ren) = 1&lt;BR&gt;Age of Child = &lt;= 5yr&lt;BR&gt;Principal Care Type = GrandParent&lt;BR&gt;Care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41&lt;/HTML&gt;</v>
      </c>
      <c r="V75" s="44" t="str">
        <f t="shared" ca="1" si="15"/>
        <v>&lt;HTML&gt;Index a FTB/NCL with below circumstance description &lt;BR&gt;&lt;BR&gt;&lt;B&gt;Customer  circumstances&lt;/B&gt;&lt;BR&gt;Residential Qualification = Special Category Visa Class&lt;BR&gt;Direct Credit details   = Coded&lt;BR&gt;TFN details = Coded&lt;BR&gt;Secondary Earner income = More than $ 27,613&lt;BR&gt;Home ownership code = Home owner - HOM&lt;BR&gt;&lt;BR&gt;&lt;BR&gt;&lt;B&gt;Child  circumstances&lt;/B&gt;&lt;BR&gt;Number of Child(ren) = 1&lt;BR&gt;Age of Child = &lt;= 5yr&lt;BR&gt;Principal Care Type = GrandParent&lt;BR&gt;Care Percentage = 100% of Customer's care&lt;/HTML&gt;</v>
      </c>
      <c r="W75" s="44" t="str">
        <f t="shared" ca="1" si="16"/>
        <v>&lt;HTML&gt;Verify Assessment and Eligibility outcome
&lt;BR&gt;&lt;BR&gt;Benefit Status=REJ-INC&lt;BR&gt;Review created on FAL screen=No Review&lt;BR&gt;Customer FTB (A) Status=NULL&lt;BR&gt;Customer FTB (B) Status=NULL&lt;BR&gt;Customer RA Status=N-NULL&lt;BR&gt;Child Eligibility FTB(A)=Y&lt;BR&gt;Child Eligibility FTB(B)=Y&lt;/HTML&gt;</v>
      </c>
    </row>
    <row r="76" spans="1:23" ht="409.5">
      <c r="A76" s="36">
        <f>IF(B76="","",COUNTIF($B$2:B76,"&lt;&gt;"&amp;""))</f>
        <v>75</v>
      </c>
      <c r="B76" s="37" t="s">
        <v>850</v>
      </c>
      <c r="C76" s="38" t="str">
        <f ca="1">FormatTest!A76</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Special Category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D76" s="38" t="s">
        <v>592</v>
      </c>
      <c r="E76" s="39" t="str">
        <f ca="1">FormatTest!C76</f>
        <v>&lt;BR&gt;&lt;BR&gt;Benefit Status=CUR&lt;BR&gt;Review created on FAL screen=No Review&lt;BR&gt;Customer FTB (A) Status=CUR&lt;BR&gt;Customer FTB (B) Status=CUR&lt;BR&gt;Customer RA Status=N-HOM&lt;BR&gt;Child Eligibility FTB(A)=Y&lt;BR&gt;Child Eligibility FTB(B)=Y</v>
      </c>
      <c r="F76" s="37" t="s">
        <v>13</v>
      </c>
      <c r="G76" s="37"/>
      <c r="H76" s="37"/>
      <c r="I76" s="41" t="str">
        <f ca="1">OFFSET(BuildTest!$D$202,MOD(ROW()-ROW($D$2),ROWS(BuildTest!$D$202:$D$202)),TRUNC((ROW()-ROW($D$2))/ROWS(BuildTest!$D$202:$D$202)),1,1)</f>
        <v>FTB.Regression.NCL.Single customer.Special Category Visa.Relation type circ.step parent</v>
      </c>
      <c r="J76" s="41" t="s">
        <v>16</v>
      </c>
      <c r="K76" s="41" t="str">
        <f ca="1">FormatTest!F76</f>
        <v>Index a FTB/NCL with below circumstance description &lt;BR&gt;&lt;BR&gt;&lt;B&gt;Customer  circumstances&lt;/B&gt;&lt;BR&gt;Residential Qualification = Special Category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L76" s="41" t="str">
        <f ca="1">FormatTest!G76</f>
        <v>Verify Assessment and Eligibility outcome
&lt;BR&gt;&lt;BR&gt;Benefit Status=CUR&lt;BR&gt;Review created on FAL screen=No Review&lt;BR&gt;Customer FTB (A) Status=CUR&lt;BR&gt;Customer FTB (B) Status=CUR&lt;BR&gt;Customer RA Status=N-HOM&lt;BR&gt;Child Eligibility FTB(A)=Y&lt;BR&gt;Child Eligibility FTB(B)=Y</v>
      </c>
      <c r="M76" s="41" t="s">
        <v>322</v>
      </c>
      <c r="N76" s="41"/>
      <c r="O76" s="41" t="s">
        <v>410</v>
      </c>
      <c r="P76" s="41" t="s">
        <v>609</v>
      </c>
      <c r="Q76" s="41" t="s">
        <v>441</v>
      </c>
      <c r="R76" s="41" t="s">
        <v>14</v>
      </c>
      <c r="S76" s="41" t="s">
        <v>893</v>
      </c>
      <c r="T76" s="44" t="str">
        <f t="shared" ca="1" si="14"/>
        <v>075.FTB.Regression.NCL.Single customer.Special Category Visa.Relation type circ.step parent</v>
      </c>
      <c r="U76" s="44" t="str">
        <f ca="1">CONCATENATE("&lt;HTML&gt;&lt;font color=#0000FF&gt;&lt;B&gt;PURPOSE:  &lt;/B&gt;&lt;/font&gt;&lt;BR&gt;",C76,"&lt;BR&gt;&lt;BR&gt;&lt;BR&gt;&lt;font color=#0000FF&gt;&lt;B&gt;Pre-requisites:  &lt;/B&gt;&lt;/font&gt;",D76,"&lt;BR&gt;&lt;BR&gt;&lt;font color=#0000FF&gt;&lt;B&gt;User Spec Name:  &lt;/B&gt;&lt;/font&gt;",Cover!$C$8,"&lt;BR&gt;",Cover!$F$8,"&lt;BR&gt;&lt;font color=#0000FF&gt;&lt;B&gt;User Spec Reference:  &lt;/B&gt;&lt;/font&gt;",B76,"&lt;/HTML&gt;")</f>
        <v>&lt;HTML&gt;&lt;font color=#0000FF&gt;&lt;B&gt;PURPOSE:  &lt;/B&gt;&lt;/font&gt;&lt;BR&gt;The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Special Category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42&lt;/HTML&gt;</v>
      </c>
      <c r="V76" s="44" t="str">
        <f t="shared" ca="1" si="15"/>
        <v>&lt;HTML&gt;Index a FTB/NCL with below circumstance description &lt;BR&gt;&lt;BR&gt;&lt;B&gt;Customer  circumstances&lt;/B&gt;&lt;BR&gt;Residential Qualification = Special Category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care&lt;/HTML&gt;</v>
      </c>
      <c r="W76" s="44" t="str">
        <f t="shared" ca="1" si="16"/>
        <v>&lt;HTML&gt;Verify Assessment and Eligibility outcome
&lt;BR&gt;&lt;BR&gt;Benefit Status=CUR&lt;BR&gt;Review created on FAL screen=No Review&lt;BR&gt;Customer FTB (A) Status=CUR&lt;BR&gt;Customer FTB (B) Status=CUR&lt;BR&gt;Customer RA Status=N-HOM&lt;BR&gt;Child Eligibility FTB(A)=Y&lt;BR&gt;Child Eligibility FTB(B)=Y&lt;/HTML&gt;</v>
      </c>
    </row>
    <row r="77" spans="1:23" ht="409.5">
      <c r="A77" s="36">
        <f>IF(B77="","",COUNTIF($B$2:B77,"&lt;&gt;"&amp;""))</f>
        <v>76</v>
      </c>
      <c r="B77" s="37" t="s">
        <v>852</v>
      </c>
      <c r="C77" s="38" t="str">
        <f ca="1">FormatTest!A77</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Special Category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D77" s="38" t="s">
        <v>592</v>
      </c>
      <c r="E77" s="39" t="str">
        <f ca="1">FormatTest!C77</f>
        <v>&lt;BR&gt;&lt;BR&gt;Benefit Status=CUR&lt;BR&gt;Review created on FAL screen=No Review&lt;BR&gt;Customer FTB (A) Status=CUR&lt;BR&gt;Customer FTB (B) Status=CUR&lt;BR&gt;Customer RA Status=N-HOM&lt;BR&gt;Child Eligibility FTB(A)=Y&lt;BR&gt;Child Eligibility FTB(B)=Y</v>
      </c>
      <c r="F77" s="37" t="s">
        <v>13</v>
      </c>
      <c r="G77" s="37"/>
      <c r="H77" s="37"/>
      <c r="I77" s="41" t="str">
        <f ca="1">OFFSET(BuildTest!$D$202,MOD(ROW()-ROW($D$2),ROWS(BuildTest!$D$202:$D$202)),TRUNC((ROW()-ROW($D$2))/ROWS(BuildTest!$D$202:$D$202)),1,1)</f>
        <v>FTB.Regression.NCL.Single customer.Special Category Visa.Relation type circ.adoptive parent</v>
      </c>
      <c r="J77" s="41" t="s">
        <v>16</v>
      </c>
      <c r="K77" s="41" t="str">
        <f ca="1">FormatTest!F77</f>
        <v>Index a FTB/NCL with below circumstance description &lt;BR&gt;&lt;BR&gt;&lt;B&gt;Customer  circumstances&lt;/B&gt;&lt;BR&gt;Residential Qualification = Special Category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L77" s="41" t="str">
        <f ca="1">FormatTest!G77</f>
        <v>Verify Assessment and Eligibility outcome
&lt;BR&gt;&lt;BR&gt;Benefit Status=CUR&lt;BR&gt;Review created on FAL screen=No Review&lt;BR&gt;Customer FTB (A) Status=CUR&lt;BR&gt;Customer FTB (B) Status=CUR&lt;BR&gt;Customer RA Status=N-HOM&lt;BR&gt;Child Eligibility FTB(A)=Y&lt;BR&gt;Child Eligibility FTB(B)=Y</v>
      </c>
      <c r="M77" s="41" t="s">
        <v>322</v>
      </c>
      <c r="N77" s="41"/>
      <c r="O77" s="41" t="s">
        <v>410</v>
      </c>
      <c r="P77" s="41" t="s">
        <v>609</v>
      </c>
      <c r="Q77" s="41" t="s">
        <v>441</v>
      </c>
      <c r="R77" s="41" t="s">
        <v>14</v>
      </c>
      <c r="S77" s="41" t="s">
        <v>893</v>
      </c>
      <c r="T77" s="44" t="str">
        <f t="shared" ca="1" si="14"/>
        <v>076.FTB.Regression.NCL.Single customer.Special Category Visa.Relation type circ.adoptive parent</v>
      </c>
      <c r="U77" s="44" t="str">
        <f ca="1">CONCATENATE("&lt;HTML&gt;&lt;font color=#0000FF&gt;&lt;B&gt;PURPOSE:  &lt;/B&gt;&lt;/font&gt;&lt;BR&gt;",C77,"&lt;BR&gt;&lt;BR&gt;&lt;BR&gt;&lt;font color=#0000FF&gt;&lt;B&gt;Pre-requisites:  &lt;/B&gt;&lt;/font&gt;",D77,"&lt;BR&gt;&lt;BR&gt;&lt;font color=#0000FF&gt;&lt;B&gt;User Spec Name:  &lt;/B&gt;&lt;/font&gt;",Cover!$C$8,"&lt;BR&gt;",Cover!$F$8,"&lt;BR&gt;&lt;font color=#0000FF&gt;&lt;B&gt;User Spec Reference:  &lt;/B&gt;&lt;/font&gt;",B77,"&lt;/HTML&gt;")</f>
        <v>&lt;HTML&gt;&lt;font color=#0000FF&gt;&lt;B&gt;PURPOSE:  &lt;/B&gt;&lt;/font&gt;&lt;BR&gt;The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Special Category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43&lt;/HTML&gt;</v>
      </c>
      <c r="V77" s="44" t="str">
        <f t="shared" ca="1" si="15"/>
        <v>&lt;HTML&gt;Index a FTB/NCL with below circumstance description &lt;BR&gt;&lt;BR&gt;&lt;B&gt;Customer  circumstances&lt;/B&gt;&lt;BR&gt;Residential Qualification = Special Category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care&lt;/HTML&gt;</v>
      </c>
      <c r="W77" s="44" t="str">
        <f t="shared" ca="1" si="16"/>
        <v>&lt;HTML&gt;Verify Assessment and Eligibility outcome
&lt;BR&gt;&lt;BR&gt;Benefit Status=CUR&lt;BR&gt;Review created on FAL screen=No Review&lt;BR&gt;Customer FTB (A) Status=CUR&lt;BR&gt;Customer FTB (B) Status=CUR&lt;BR&gt;Customer RA Status=N-HOM&lt;BR&gt;Child Eligibility FTB(A)=Y&lt;BR&gt;Child Eligibility FTB(B)=Y&lt;/HTML&gt;</v>
      </c>
    </row>
    <row r="78" spans="1:23" ht="409.5">
      <c r="A78" s="36">
        <f>IF(B78="","",COUNTIF($B$2:B78,"&lt;&gt;"&amp;""))</f>
        <v>77</v>
      </c>
      <c r="B78" s="37" t="s">
        <v>854</v>
      </c>
      <c r="C78" s="38" t="str">
        <f ca="1">FormatTest!A78</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Special Category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D78" s="38" t="s">
        <v>592</v>
      </c>
      <c r="E78" s="39" t="str">
        <f ca="1">FormatTest!C78</f>
        <v>&lt;BR&gt;&lt;BR&gt;Benefit Status=CUR&lt;BR&gt;Review created on FAL screen=No Review&lt;BR&gt;Customer FTB (A) Status=CUR&lt;BR&gt;Customer FTB (B) Status=CUR&lt;BR&gt;Customer RA Status=N-HOM&lt;BR&gt;Child Eligibility FTB(A)=Y&lt;BR&gt;Child Eligibility FTB(B)=Y</v>
      </c>
      <c r="F78" s="37" t="s">
        <v>13</v>
      </c>
      <c r="G78" s="37"/>
      <c r="H78" s="37"/>
      <c r="I78" s="41" t="str">
        <f ca="1">OFFSET(BuildTest!$D$202,MOD(ROW()-ROW($D$2),ROWS(BuildTest!$D$202:$D$202)),TRUNC((ROW()-ROW($D$2))/ROWS(BuildTest!$D$202:$D$202)),1,1)</f>
        <v>FTB.Regression.NCL.Single customer.Special Category Visa.Relation type circ.foster carer</v>
      </c>
      <c r="J78" s="41" t="s">
        <v>16</v>
      </c>
      <c r="K78" s="41" t="str">
        <f ca="1">FormatTest!F78</f>
        <v>Index a FTB/NCL with below circumstance description &lt;BR&gt;&lt;BR&gt;&lt;B&gt;Customer  circumstances&lt;/B&gt;&lt;BR&gt;Residential Qualification = Special Category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L78" s="41" t="str">
        <f ca="1">FormatTest!G78</f>
        <v>Verify Assessment and Eligibility outcome
&lt;BR&gt;&lt;BR&gt;Benefit Status=CUR&lt;BR&gt;Review created on FAL screen=No Review&lt;BR&gt;Customer FTB (A) Status=CUR&lt;BR&gt;Customer FTB (B) Status=CUR&lt;BR&gt;Customer RA Status=N-HOM&lt;BR&gt;Child Eligibility FTB(A)=Y&lt;BR&gt;Child Eligibility FTB(B)=Y</v>
      </c>
      <c r="M78" s="41" t="s">
        <v>322</v>
      </c>
      <c r="N78" s="41"/>
      <c r="O78" s="41" t="s">
        <v>410</v>
      </c>
      <c r="P78" s="41" t="s">
        <v>609</v>
      </c>
      <c r="Q78" s="41" t="s">
        <v>441</v>
      </c>
      <c r="R78" s="41" t="s">
        <v>14</v>
      </c>
      <c r="S78" s="41" t="s">
        <v>893</v>
      </c>
      <c r="T78" s="44" t="str">
        <f t="shared" ca="1" si="14"/>
        <v>077.FTB.Regression.NCL.Single customer.Special Category Visa.Relation type circ.foster carer</v>
      </c>
      <c r="U78" s="44" t="str">
        <f ca="1">CONCATENATE("&lt;HTML&gt;&lt;font color=#0000FF&gt;&lt;B&gt;PURPOSE:  &lt;/B&gt;&lt;/font&gt;&lt;BR&gt;",C78,"&lt;BR&gt;&lt;BR&gt;&lt;BR&gt;&lt;font color=#0000FF&gt;&lt;B&gt;Pre-requisites:  &lt;/B&gt;&lt;/font&gt;",D78,"&lt;BR&gt;&lt;BR&gt;&lt;font color=#0000FF&gt;&lt;B&gt;User Spec Name:  &lt;/B&gt;&lt;/font&gt;",Cover!$C$8,"&lt;BR&gt;",Cover!$F$8,"&lt;BR&gt;&lt;font color=#0000FF&gt;&lt;B&gt;User Spec Reference:  &lt;/B&gt;&lt;/font&gt;",B78,"&lt;/HTML&gt;")</f>
        <v>&lt;HTML&gt;&lt;font color=#0000FF&gt;&lt;B&gt;PURPOSE:  &lt;/B&gt;&lt;/font&gt;&lt;BR&gt;The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Special Category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44&lt;/HTML&gt;</v>
      </c>
      <c r="V78" s="44" t="str">
        <f t="shared" ca="1" si="15"/>
        <v>&lt;HTML&gt;Index a FTB/NCL with below circumstance description &lt;BR&gt;&lt;BR&gt;&lt;B&gt;Customer  circumstances&lt;/B&gt;&lt;BR&gt;Residential Qualification = Special Category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care&lt;/HTML&gt;</v>
      </c>
      <c r="W78" s="44" t="str">
        <f t="shared" ca="1" si="16"/>
        <v>&lt;HTML&gt;Verify Assessment and Eligibility outcome
&lt;BR&gt;&lt;BR&gt;Benefit Status=CUR&lt;BR&gt;Review created on FAL screen=No Review&lt;BR&gt;Customer FTB (A) Status=CUR&lt;BR&gt;Customer FTB (B) Status=CUR&lt;BR&gt;Customer RA Status=N-HOM&lt;BR&gt;Child Eligibility FTB(A)=Y&lt;BR&gt;Child Eligibility FTB(B)=Y&lt;/HTML&gt;</v>
      </c>
    </row>
    <row r="79" spans="1:23" ht="409.5">
      <c r="A79" s="36">
        <f>IF(B79="","",COUNTIF($B$2:B79,"&lt;&gt;"&amp;""))</f>
        <v>78</v>
      </c>
      <c r="B79" s="37" t="s">
        <v>856</v>
      </c>
      <c r="C79" s="38" t="str">
        <f ca="1">FormatTest!A79</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Special Category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v>
      </c>
      <c r="D79" s="38" t="s">
        <v>592</v>
      </c>
      <c r="E79" s="39" t="str">
        <f ca="1">FormatTest!C79</f>
        <v>&lt;BR&gt;&lt;BR&gt;Benefit Status=CUR&lt;BR&gt;Review created on FAL screen=No Review&lt;BR&gt;Customer FTB (A) Status=CUR&lt;BR&gt;Customer FTB (B) Status=CUR&lt;BR&gt;Customer RA Status=N-HOM&lt;BR&gt;Child Eligibility FTB(A)=Y&lt;BR&gt;Child Eligibility FTB(B)=Y</v>
      </c>
      <c r="F79" s="37" t="s">
        <v>13</v>
      </c>
      <c r="G79" s="37"/>
      <c r="H79" s="37"/>
      <c r="I79" s="41" t="str">
        <f ca="1">OFFSET(BuildTest!$D$202,MOD(ROW()-ROW($D$2),ROWS(BuildTest!$D$202:$D$202)),TRUNC((ROW()-ROW($D$2))/ROWS(BuildTest!$D$202:$D$202)),1,1)</f>
        <v>FTB.Regression.NCL.Single customer.Special Category Visa.Relation type circ.other</v>
      </c>
      <c r="J79" s="41" t="s">
        <v>16</v>
      </c>
      <c r="K79" s="41" t="str">
        <f ca="1">FormatTest!F79</f>
        <v>Index a FTB/NCL with below circumstance description &lt;BR&gt;&lt;BR&gt;&lt;B&gt;Customer  circumstances&lt;/B&gt;&lt;BR&gt;Residential Qualification = Special Category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v>
      </c>
      <c r="L79" s="41" t="str">
        <f ca="1">FormatTest!G79</f>
        <v>Verify Assessment and Eligibility outcome
&lt;BR&gt;&lt;BR&gt;Benefit Status=CUR&lt;BR&gt;Review created on FAL screen=No Review&lt;BR&gt;Customer FTB (A) Status=CUR&lt;BR&gt;Customer FTB (B) Status=CUR&lt;BR&gt;Customer RA Status=N-HOM&lt;BR&gt;Child Eligibility FTB(A)=Y&lt;BR&gt;Child Eligibility FTB(B)=Y</v>
      </c>
      <c r="M79" s="41" t="s">
        <v>322</v>
      </c>
      <c r="N79" s="41"/>
      <c r="O79" s="41" t="s">
        <v>410</v>
      </c>
      <c r="P79" s="41" t="s">
        <v>609</v>
      </c>
      <c r="Q79" s="41" t="s">
        <v>441</v>
      </c>
      <c r="R79" s="41" t="s">
        <v>14</v>
      </c>
      <c r="S79" s="41" t="s">
        <v>893</v>
      </c>
      <c r="T79" s="44" t="str">
        <f t="shared" ca="1" si="14"/>
        <v>078.FTB.Regression.NCL.Single customer.Special Category Visa.Relation type circ.other</v>
      </c>
      <c r="U79" s="44" t="str">
        <f ca="1">CONCATENATE("&lt;HTML&gt;&lt;font color=#0000FF&gt;&lt;B&gt;PURPOSE:  &lt;/B&gt;&lt;/font&gt;&lt;BR&gt;",C79,"&lt;BR&gt;&lt;BR&gt;&lt;BR&gt;&lt;font color=#0000FF&gt;&lt;B&gt;Pre-requisites:  &lt;/B&gt;&lt;/font&gt;",D79,"&lt;BR&gt;&lt;BR&gt;&lt;font color=#0000FF&gt;&lt;B&gt;User Spec Name:  &lt;/B&gt;&lt;/font&gt;",Cover!$C$8,"&lt;BR&gt;",Cover!$F$8,"&lt;BR&gt;&lt;font color=#0000FF&gt;&lt;B&gt;User Spec Reference:  &lt;/B&gt;&lt;/font&gt;",B79,"&lt;/HTML&gt;")</f>
        <v>&lt;HTML&gt;&lt;font color=#0000FF&gt;&lt;B&gt;PURPOSE:  &lt;/B&gt;&lt;/font&gt;&lt;BR&gt;The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Special Category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45&lt;/HTML&gt;</v>
      </c>
      <c r="V79" s="44" t="str">
        <f t="shared" ca="1" si="15"/>
        <v>&lt;HTML&gt;Index a FTB/NCL with below circumstance description &lt;BR&gt;&lt;BR&gt;&lt;B&gt;Customer  circumstances&lt;/B&gt;&lt;BR&gt;Residential Qualification = Special Category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care&lt;/HTML&gt;</v>
      </c>
      <c r="W79" s="44" t="str">
        <f t="shared" ca="1" si="16"/>
        <v>&lt;HTML&gt;Verify Assessment and Eligibility outcome
&lt;BR&gt;&lt;BR&gt;Benefit Status=CUR&lt;BR&gt;Review created on FAL screen=No Review&lt;BR&gt;Customer FTB (A) Status=CUR&lt;BR&gt;Customer FTB (B) Status=CUR&lt;BR&gt;Customer RA Status=N-HOM&lt;BR&gt;Child Eligibility FTB(A)=Y&lt;BR&gt;Child Eligibility FTB(B)=Y&lt;/HTML&gt;</v>
      </c>
    </row>
    <row r="80" spans="1:23" ht="409.5">
      <c r="A80" s="36">
        <f>IF(B80="","",COUNTIF($B$2:B80,"&lt;&gt;"&amp;""))</f>
        <v>79</v>
      </c>
      <c r="B80" s="37" t="s">
        <v>858</v>
      </c>
      <c r="C80" s="38" t="str">
        <f ca="1">FormatTest!A80</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Special Category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D80" s="38" t="s">
        <v>592</v>
      </c>
      <c r="E80" s="39" t="str">
        <f ca="1">FormatTest!C80</f>
        <v>&lt;BR&gt;&lt;BR&gt;Benefit Status=CUR&lt;BR&gt;Review created on FAL screen=No Review&lt;BR&gt;Customer FTB (A) Status=CUR&lt;BR&gt;Customer FTB (B) Status=CUR&lt;BR&gt;Customer RA Status=N-HOM&lt;BR&gt;Child Eligibility FTB(A)=Y&lt;BR&gt;Child Eligibility FTB(B)=Y</v>
      </c>
      <c r="F80" s="37" t="s">
        <v>13</v>
      </c>
      <c r="G80" s="37"/>
      <c r="H80" s="37"/>
      <c r="I80" s="41" t="str">
        <f ca="1">OFFSET(BuildTest!$D$202,MOD(ROW()-ROW($D$2),ROWS(BuildTest!$D$202:$D$202)),TRUNC((ROW()-ROW($D$2))/ROWS(BuildTest!$D$202:$D$202)),1,1)</f>
        <v>FTB.Regression.NCL.Single customer.Special Category Visa.Relation type circ.grandParent</v>
      </c>
      <c r="J80" s="41" t="s">
        <v>16</v>
      </c>
      <c r="K80" s="41" t="str">
        <f ca="1">FormatTest!F80</f>
        <v>Index a FTB/NCL with below circumstance description &lt;BR&gt;&lt;BR&gt;&lt;B&gt;Customer  circumstances&lt;/B&gt;&lt;BR&gt;Residential Qualification = Special Category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L80" s="41" t="str">
        <f ca="1">FormatTest!G80</f>
        <v>Verify Assessment and Eligibility outcome
&lt;BR&gt;&lt;BR&gt;Benefit Status=CUR&lt;BR&gt;Review created on FAL screen=No Review&lt;BR&gt;Customer FTB (A) Status=CUR&lt;BR&gt;Customer FTB (B) Status=CUR&lt;BR&gt;Customer RA Status=N-HOM&lt;BR&gt;Child Eligibility FTB(A)=Y&lt;BR&gt;Child Eligibility FTB(B)=Y</v>
      </c>
      <c r="M80" s="41" t="s">
        <v>322</v>
      </c>
      <c r="N80" s="41"/>
      <c r="O80" s="41" t="s">
        <v>410</v>
      </c>
      <c r="P80" s="41" t="s">
        <v>609</v>
      </c>
      <c r="Q80" s="41" t="s">
        <v>441</v>
      </c>
      <c r="R80" s="41" t="s">
        <v>14</v>
      </c>
      <c r="S80" s="41" t="s">
        <v>893</v>
      </c>
      <c r="T80" s="44" t="str">
        <f t="shared" ca="1" si="14"/>
        <v>079.FTB.Regression.NCL.Single customer.Special Category Visa.Relation type circ.grandParent</v>
      </c>
      <c r="U80" s="44" t="str">
        <f ca="1">CONCATENATE("&lt;HTML&gt;&lt;font color=#0000FF&gt;&lt;B&gt;PURPOSE:  &lt;/B&gt;&lt;/font&gt;&lt;BR&gt;",C80,"&lt;BR&gt;&lt;BR&gt;&lt;BR&gt;&lt;font color=#0000FF&gt;&lt;B&gt;Pre-requisites:  &lt;/B&gt;&lt;/font&gt;",D80,"&lt;BR&gt;&lt;BR&gt;&lt;font color=#0000FF&gt;&lt;B&gt;User Spec Name:  &lt;/B&gt;&lt;/font&gt;",Cover!$C$8,"&lt;BR&gt;",Cover!$F$8,"&lt;BR&gt;&lt;font color=#0000FF&gt;&lt;B&gt;User Spec Reference:  &lt;/B&gt;&lt;/font&gt;",B80,"&lt;/HTML&gt;")</f>
        <v>&lt;HTML&gt;&lt;font color=#0000FF&gt;&lt;B&gt;PURPOSE:  &lt;/B&gt;&lt;/font&gt;&lt;BR&gt;The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Special Category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care&lt;BR&gt;&lt;BR&gt;&lt;BR&gt;&lt;font color=#0000FF&gt;&lt;B&gt;Pre-requisites:  &lt;/B&gt;&lt;/font&gt;Nil&lt;BR&gt;&lt;BR&gt;&lt;font color=#0000FF&gt;&lt;B&gt;User Spec Name:  &lt;/B&gt;&lt;/font&gt;FTB Master Specification&lt;BR&gt;&lt;BR&gt;&lt;font color=#0000FF&gt;&lt;B&gt;User Spec Reference:  &lt;/B&gt;&lt;/font&gt;Section 46&lt;/HTML&gt;</v>
      </c>
      <c r="V80" s="44" t="str">
        <f t="shared" ca="1" si="15"/>
        <v>&lt;HTML&gt;Index a FTB/NCL with below circumstance description &lt;BR&gt;&lt;BR&gt;&lt;B&gt;Customer  circumstances&lt;/B&gt;&lt;BR&gt;Residential Qualification = Special Category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care&lt;/HTML&gt;</v>
      </c>
      <c r="W80" s="44" t="str">
        <f t="shared" ca="1" si="16"/>
        <v>&lt;HTML&gt;Verify Assessment and Eligibility outcome
&lt;BR&gt;&lt;BR&gt;Benefit Status=CUR&lt;BR&gt;Review created on FAL screen=No Review&lt;BR&gt;Customer FTB (A) Status=CUR&lt;BR&gt;Customer FTB (B) Status=CUR&lt;BR&gt;Customer RA Status=N-HOM&lt;BR&gt;Child Eligibility FTB(A)=Y&lt;BR&gt;Child Eligibility FTB(B)=Y&lt;/HTML&gt;</v>
      </c>
    </row>
  </sheetData>
  <customSheetViews>
    <customSheetView guid="{52AE7582-FD95-46D8-BA65-D10753F310CC}" scale="85">
      <selection activeCell="C5" sqref="C5"/>
      <pageMargins left="0.23622047244094491" right="0.23622047244094491" top="0.19685039370078741" bottom="0.19685039370078741" header="0" footer="0"/>
      <printOptions gridLines="1"/>
      <pageSetup paperSize="9" fitToHeight="0" orientation="landscape" r:id="rId1"/>
      <headerFooter>
        <oddFooter>&amp;L&amp;F&amp;C&amp;A&amp;R&amp;P of &amp;N</oddFooter>
      </headerFooter>
    </customSheetView>
    <customSheetView guid="{38D3F89A-32F8-4A57-A6F8-1BC1DD4CBDE7}" scale="85" showPageBreaks="1">
      <selection activeCell="E5" sqref="E5"/>
      <pageMargins left="0.23622047244094491" right="0.23622047244094491" top="0.19685039370078741" bottom="0.19685039370078741" header="0" footer="0"/>
      <printOptions gridLines="1"/>
      <pageSetup paperSize="9" fitToHeight="0" orientation="landscape" r:id="rId2"/>
      <headerFooter>
        <oddFooter>&amp;L&amp;F&amp;C&amp;A&amp;R&amp;P of &amp;N</oddFooter>
      </headerFooter>
    </customSheetView>
  </customSheetViews>
  <dataValidations count="5">
    <dataValidation type="list" allowBlank="1" showInputMessage="1" showErrorMessage="1" sqref="R2:R80">
      <formula1>Status</formula1>
    </dataValidation>
    <dataValidation type="list" allowBlank="1" showInputMessage="1" showErrorMessage="1" sqref="F2:F80">
      <formula1>Priority</formula1>
    </dataValidation>
    <dataValidation type="list" allowBlank="1" showInputMessage="1" showErrorMessage="1" sqref="M2:M80">
      <formula1>Reusable</formula1>
    </dataValidation>
    <dataValidation type="list" allowBlank="1" showInputMessage="1" showErrorMessage="1" sqref="Q2:Q80">
      <formula1>Designer</formula1>
    </dataValidation>
    <dataValidation type="list" allowBlank="1" showInputMessage="1" showErrorMessage="1" sqref="O2:O80">
      <formula1>TestVersionControl</formula1>
    </dataValidation>
  </dataValidations>
  <printOptions gridLines="1"/>
  <pageMargins left="0.23622047244094491" right="0.23622047244094491" top="0.19685039370078741" bottom="0.19685039370078741" header="0" footer="0"/>
  <pageSetup paperSize="9" fitToHeight="0" orientation="landscape" r:id="rId3"/>
  <headerFooter>
    <oddFooter>&amp;L&amp;F&amp;C&amp;A&amp;R&amp;P of &amp;N</oddFooter>
  </headerFooter>
  <legacyDrawing r:id="rId4"/>
  <extLst>
    <ext xmlns:x14="http://schemas.microsoft.com/office/spreadsheetml/2009/9/main" uri="{CCE6A557-97BC-4b89-ADB6-D9C93CAAB3DF}">
      <x14:dataValidations xmlns:xm="http://schemas.microsoft.com/office/excel/2006/main" count="1">
        <x14:dataValidation type="list" allowBlank="1" showInputMessage="1" showErrorMessage="1">
          <x14:formula1>
            <xm:f>[3]Sheet3!#REF!</xm:f>
          </x14:formula1>
          <xm:sqref>R1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5CB37C"/>
    <pageSetUpPr fitToPage="1"/>
  </sheetPr>
  <dimension ref="A1:G81"/>
  <sheetViews>
    <sheetView topLeftCell="A81" zoomScale="85" zoomScaleNormal="85" workbookViewId="0">
      <selection activeCell="A81" sqref="A81:G81"/>
    </sheetView>
  </sheetViews>
  <sheetFormatPr defaultRowHeight="15"/>
  <cols>
    <col min="1" max="5" width="31.5703125" style="23" customWidth="1"/>
    <col min="6" max="6" width="69.5703125" style="23" customWidth="1"/>
    <col min="7" max="7" width="118.85546875" style="23" customWidth="1"/>
    <col min="8" max="16384" width="9.140625" style="24"/>
  </cols>
  <sheetData>
    <row r="1" spans="1:7">
      <c r="A1" s="25" t="s">
        <v>460</v>
      </c>
      <c r="B1" s="26" t="s">
        <v>472</v>
      </c>
      <c r="C1" s="26" t="s">
        <v>311</v>
      </c>
      <c r="D1" s="26" t="s">
        <v>6</v>
      </c>
      <c r="E1" s="26" t="s">
        <v>461</v>
      </c>
      <c r="F1" s="27" t="s">
        <v>482</v>
      </c>
      <c r="G1" s="27" t="s">
        <v>483</v>
      </c>
    </row>
    <row r="2" spans="1:7" ht="409.6" thickBot="1">
      <c r="A2" s="30" t="str">
        <f ca="1">OFFSET(BuildTest!$D$169,MOD(ROW()-ROW($A$2),ROWS(BuildTest!$D$169:$D$169)),TRUNC((ROW()-ROW($A$2))/ROWS(BuildTest!$D$169:$D$169)),1,1)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B2" s="28" t="str">
        <f ca="1">OFFSET(BuildTest!$D$175,MOD(ROW()-ROW($B$2),ROWS(BuildTest!$D$175:$D$175)),TRUNC((ROW()-ROW($B$2))/ROWS(BuildTest!$D$175:$D$175)),1,1)</f>
        <v>Nil</v>
      </c>
      <c r="C2" s="28" t="str">
        <f ca="1">OFFSET(BuildTest!$D$190,MOD(ROW()-ROW($C$2),ROWS(BuildTest!$D$190:$D$190)),TRUNC((ROW()-ROW($C$2))/ROWS(BuildTest!$D$190:$D$190)),1,1)</f>
        <v>&lt;BR&gt;&lt;BR&gt;Benefit Status=CUR&lt;BR&gt;Review created on FAL screen=No Review&lt;BR&gt;Customer FTB (A) Status=CUR&lt;BR&gt;Customer FTB (B) Status=CUR&lt;BR&gt;Customer RA Status=N-HOM&lt;BR&gt;Child Eligibility FTB(A)=Y&lt;BR&gt;Child Eligibility FTB(B)=Y</v>
      </c>
      <c r="D2" s="28" t="str">
        <f ca="1">OFFSET(BuildTest!$D$202,MOD(ROW()-ROW($D$2),ROWS(BuildTest!$D$202:$D$202)),TRUNC((ROW()-ROW($D$2))/ROWS(BuildTest!$D$202:$D$202)),1,1)</f>
        <v>FTB.Regression.NCL.Partnered customer.All</v>
      </c>
      <c r="E2" s="28" t="s">
        <v>16</v>
      </c>
      <c r="F2" s="29" t="str">
        <f ca="1">OFFSET(BuildTest!$D$205,MOD(ROW()-ROW($F$2),ROWS(BuildTest!$C$205:$D$205)),TRUNC((ROW()-ROW($F$2))/ROWS(BuildTest!$C$205:$C$205)),1,1)</f>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G2" s="29" t="str">
        <f ca="1">OFFSET(BuildTest!$D$207,MOD(ROW()-ROW($G$2),ROWS(BuildTest!$D$207:$D$207)),TRUNC((ROW()-ROW($G$2))/ROWS(BuildTest!$D$207:$D$207)),1,1)</f>
        <v>Verify Assessment and Eligibility outcome
&lt;BR&gt;&lt;BR&gt;Benefit Status=CUR&lt;BR&gt;Review created on FAL screen=No Review&lt;BR&gt;Customer FTB (A) Status=CUR&lt;BR&gt;Customer FTB (B) Status=CUR&lt;BR&gt;Customer RA Status=N-HOM&lt;BR&gt;Child Eligibility FTB(A)=Y&lt;BR&gt;Child Eligibility FTB(B)=Y</v>
      </c>
    </row>
    <row r="3" spans="1:7" ht="409.6" thickBot="1">
      <c r="A3" s="30" t="str">
        <f ca="1">OFFSET(BuildTest!$D$169,MOD(ROW()-ROW($A$2),ROWS(BuildTest!$D$169:$D$169)),TRUNC((ROW()-ROW($A$2))/ROWS(BuildTest!$D$169:$D$169)),1,1)</f>
        <v>The purpose of the test is to verify &lt;BR&gt;&lt;BR&gt;&lt;BR&gt;&lt;BR&gt;Benefit Status=CUR&lt;BR&gt;Review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AU citizen&lt;BR&gt;Direct Credit details   = Coded Exemption - FNG&lt;BR&gt;TFN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B3" s="28" t="str">
        <f ca="1">OFFSET(BuildTest!$D$175,MOD(ROW()-ROW($B$2),ROWS(BuildTest!$D$175:$D$175)),TRUNC((ROW()-ROW($B$2))/ROWS(BuildTest!$D$175:$D$175)),1,1)</f>
        <v>Nil</v>
      </c>
      <c r="C3" s="28" t="str">
        <f ca="1">OFFSET(BuildTest!$D$190,MOD(ROW()-ROW($C$2),ROWS(BuildTest!$D$190:$D$190)),TRUNC((ROW()-ROW($C$2))/ROWS(BuildTest!$D$190:$D$190)),1,1)</f>
        <v>&lt;BR&gt;&lt;BR&gt;Benefit Status=CUR&lt;BR&gt;Review created on FAL screen=No Review&lt;BR&gt;Customer FTB (A) Status=NULL&lt;BR&gt;Customer FTB (B) Status=NULL&lt;BR&gt;Customer RA Status=N-NULL&lt;BR&gt;Child Eligibility FTB(A)=Y&lt;BR&gt;Child Eligibility FTB(B)=Y</v>
      </c>
      <c r="D3" s="28" t="str">
        <f ca="1">OFFSET(BuildTest!$D$202,MOD(ROW()-ROW($D$2),ROWS(BuildTest!$D$202:$D$202)),TRUNC((ROW()-ROW($D$2))/ROWS(BuildTest!$D$202:$D$202)),1,1)</f>
        <v>FTB.Regression.NCL.Partnered customer.Direct credit circ.Exempt FNG</v>
      </c>
      <c r="E3" s="28" t="s">
        <v>445</v>
      </c>
      <c r="F3" s="29" t="str">
        <f ca="1">OFFSET(BuildTest!$D$205,MOD(ROW()-ROW($F$2),ROWS(BuildTest!$C$205:$D$205)),TRUNC((ROW()-ROW($F$2))/ROWS(BuildTest!$C$205:$C$205)),1,1)</f>
        <v>Index a FTB/NCL with below circumstance description &lt;BR&gt;&lt;BR&gt;&lt;B&gt;Customer  circumstances&lt;/B&gt;&lt;BR&gt;Residential Qualification = AU citizen&lt;BR&gt;Direct Credit details   = Coded Exemption - FNG&lt;BR&gt;TFN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G3" s="29" t="str">
        <f ca="1">OFFSET(BuildTest!$D$207,MOD(ROW()-ROW($G$2),ROWS(BuildTest!$D$207:$D$207)),TRUNC((ROW()-ROW($G$2))/ROWS(BuildTest!$D$207:$D$207)),1,1)</f>
        <v>Verify Assessment and Eligibility outcome
&lt;BR&gt;&lt;BR&gt;Benefit Status=CUR&lt;BR&gt;Review created on FAL screen=No Review&lt;BR&gt;Customer FTB (A) Status=NULL&lt;BR&gt;Customer FTB (B) Status=NULL&lt;BR&gt;Customer RA Status=N-NULL&lt;BR&gt;Child Eligibility FTB(A)=Y&lt;BR&gt;Child Eligibility FTB(B)=Y</v>
      </c>
    </row>
    <row r="4" spans="1:7" ht="409.6" thickBot="1">
      <c r="A4" s="30" t="str">
        <f ca="1">OFFSET(BuildTest!$D$169,MOD(ROW()-ROW($A$2),ROWS(BuildTest!$D$169:$D$169)),TRUNC((ROW()-ROW($A$2))/ROWS(BuildTest!$D$169:$D$169)),1,1)</f>
        <v>The purpose of the test is to verify &lt;BR&gt;&lt;BR&gt;&lt;BR&gt;&lt;BR&gt;Benefit Status=NEF-BAN&lt;BR&gt;Review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AU citizen&lt;BR&gt;Direct Credit details   = Not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B4" s="28" t="str">
        <f ca="1">OFFSET(BuildTest!$D$175,MOD(ROW()-ROW($B$2),ROWS(BuildTest!$D$175:$D$175)),TRUNC((ROW()-ROW($B$2))/ROWS(BuildTest!$D$175:$D$175)),1,1)</f>
        <v>Nil</v>
      </c>
      <c r="C4" s="28" t="str">
        <f ca="1">OFFSET(BuildTest!$D$190,MOD(ROW()-ROW($C$2),ROWS(BuildTest!$D$190:$D$190)),TRUNC((ROW()-ROW($C$2))/ROWS(BuildTest!$D$190:$D$190)),1,1)</f>
        <v>&lt;BR&gt;&lt;BR&gt;Benefit Status=NEF-BAN&lt;BR&gt;Review created on FAL screen=No Review&lt;BR&gt;Customer FTB (A) Status=NULL&lt;BR&gt;Customer FTB (B) Status=NULL&lt;BR&gt;Customer RA Status=N-NULL&lt;BR&gt;Child Eligibility FTB(A)=Y&lt;BR&gt;Child Eligibility FTB(B)=Y</v>
      </c>
      <c r="D4" s="28" t="str">
        <f ca="1">OFFSET(BuildTest!$D$202,MOD(ROW()-ROW($D$2),ROWS(BuildTest!$D$202:$D$202)),TRUNC((ROW()-ROW($D$2))/ROWS(BuildTest!$D$202:$D$202)),1,1)</f>
        <v>FTB.Regression.NCL.Partnered customer.Direct credit circ.Not Coded</v>
      </c>
      <c r="E4" s="28" t="s">
        <v>446</v>
      </c>
      <c r="F4" s="29" t="str">
        <f ca="1">OFFSET(BuildTest!$D$205,MOD(ROW()-ROW($F$2),ROWS(BuildTest!$C$205:$D$205)),TRUNC((ROW()-ROW($F$2))/ROWS(BuildTest!$C$205:$C$205)),1,1)</f>
        <v>Index a FTB/NCL with below circumstance description &lt;BR&gt;&lt;BR&gt;&lt;B&gt;Customer  circumstances&lt;/B&gt;&lt;BR&gt;Residential Qualification = AU citizen&lt;BR&gt;Direct Credit details   = Not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G4" s="29" t="str">
        <f ca="1">OFFSET(BuildTest!$D$207,MOD(ROW()-ROW($G$2),ROWS(BuildTest!$D$207:$D$207)),TRUNC((ROW()-ROW($G$2))/ROWS(BuildTest!$D$207:$D$207)),1,1)</f>
        <v>Verify Assessment and Eligibility outcome
&lt;BR&gt;&lt;BR&gt;Benefit Status=NEF-BAN&lt;BR&gt;Review created on FAL screen=No Review&lt;BR&gt;Customer FTB (A) Status=NULL&lt;BR&gt;Customer FTB (B) Status=NULL&lt;BR&gt;Customer RA Status=N-NULL&lt;BR&gt;Child Eligibility FTB(A)=Y&lt;BR&gt;Child Eligibility FTB(B)=Y</v>
      </c>
    </row>
    <row r="5" spans="1:7" ht="409.6" thickBot="1">
      <c r="A5" s="30" t="str">
        <f ca="1">OFFSET(BuildTest!$D$169,MOD(ROW()-ROW($A$2),ROWS(BuildTest!$D$169:$D$169)),TRUNC((ROW()-ROW($A$2))/ROWS(BuildTest!$D$169:$D$169)),1,1)</f>
        <v>The purpose of the test is to verify &lt;BR&gt;&lt;BR&gt;&lt;BR&gt;&lt;BR&gt;Benefit Status=CUR&lt;BR&gt;Review created on FAL screen=TFN - EXEMPTION REVIEW (TEX)&lt;BR&gt;Customer FTB (A) Status=CUR&lt;BR&gt;Customer FTB (B) Status=NULL&lt;BR&gt;Customer RA Status=N-NULL&lt;BR&gt;Child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 Exemption - PVI&lt;BR&gt;Primary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B5" s="28" t="str">
        <f ca="1">OFFSET(BuildTest!$D$175,MOD(ROW()-ROW($B$2),ROWS(BuildTest!$D$175:$D$175)),TRUNC((ROW()-ROW($B$2))/ROWS(BuildTest!$D$175:$D$175)),1,1)</f>
        <v>Nil</v>
      </c>
      <c r="C5" s="28" t="str">
        <f ca="1">OFFSET(BuildTest!$D$190,MOD(ROW()-ROW($C$2),ROWS(BuildTest!$D$190:$D$190)),TRUNC((ROW()-ROW($C$2))/ROWS(BuildTest!$D$190:$D$190)),1,1)</f>
        <v>&lt;BR&gt;&lt;BR&gt;Benefit Status=CUR&lt;BR&gt;Review created on FAL screen=TFN - EXEMPTION REVIEW (TEX)&lt;BR&gt;Customer FTB (A) Status=CUR&lt;BR&gt;Customer FTB (B) Status=NULL&lt;BR&gt;Customer RA Status=N-NULL&lt;BR&gt;Child Eligibility FTB(A)=Y&lt;BR&gt;Child Eligibility FTB(B)=Y</v>
      </c>
      <c r="D5" s="28" t="str">
        <f ca="1">OFFSET(BuildTest!$D$202,MOD(ROW()-ROW($D$2),ROWS(BuildTest!$D$202:$D$202)),TRUNC((ROW()-ROW($D$2))/ROWS(BuildTest!$D$202:$D$202)),1,1)</f>
        <v>FTB.Regression.NCL.Partnered customer.TFN circ.PTR TFN exempt PVI</v>
      </c>
      <c r="E5" s="28" t="s">
        <v>610</v>
      </c>
      <c r="F5" s="29" t="str">
        <f ca="1">OFFSET(BuildTest!$D$205,MOD(ROW()-ROW($F$2),ROWS(BuildTest!$C$205:$D$205)),TRUNC((ROW()-ROW($F$2))/ROWS(BuildTest!$C$205:$C$205)),1,1)</f>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 Exemption - PVI&lt;BR&gt;Primary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G5" s="29" t="str">
        <f ca="1">OFFSET(BuildTest!$D$207,MOD(ROW()-ROW($G$2),ROWS(BuildTest!$D$207:$D$207)),TRUNC((ROW()-ROW($G$2))/ROWS(BuildTest!$D$207:$D$207)),1,1)</f>
        <v>Verify Assessment and Eligibility outcome
&lt;BR&gt;&lt;BR&gt;Benefit Status=CUR&lt;BR&gt;Review created on FAL screen=TFN - EXEMPTION REVIEW (TEX)&lt;BR&gt;Customer FTB (A) Status=CUR&lt;BR&gt;Customer FTB (B) Status=NULL&lt;BR&gt;Customer RA Status=N-NULL&lt;BR&gt;Child Eligibility FTB(A)=Y&lt;BR&gt;Child Eligibility FTB(B)=Y</v>
      </c>
    </row>
    <row r="6" spans="1:7" ht="409.6" thickBot="1">
      <c r="A6" s="30" t="str">
        <f ca="1">OFFSET(BuildTest!$D$169,MOD(ROW()-ROW($A$2),ROWS(BuildTest!$D$169:$D$169)),TRUNC((ROW()-ROW($A$2))/ROWS(BuildTest!$D$169:$D$169)),1,1)</f>
        <v>The purpose of the test is to verify &lt;BR&gt;&lt;BR&gt;&lt;BR&gt;&lt;BR&gt;Benefit Status=CUR&lt;BR&gt;Review created on FAL screen=TFN - EXEMPTION REVIEW (TEX)&lt;BR&gt;Customer FTB (A) Status=CUR&lt;BR&gt;Customer FTB (B) Status=NULL&lt;BR&gt;Customer RA Status=N-NULL&lt;BR&gt;Child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 Exemption - PUC&lt;BR&gt;Primary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B6" s="28" t="str">
        <f ca="1">OFFSET(BuildTest!$D$175,MOD(ROW()-ROW($B$2),ROWS(BuildTest!$D$175:$D$175)),TRUNC((ROW()-ROW($B$2))/ROWS(BuildTest!$D$175:$D$175)),1,1)</f>
        <v>Nil</v>
      </c>
      <c r="C6" s="28" t="str">
        <f ca="1">OFFSET(BuildTest!$D$190,MOD(ROW()-ROW($C$2),ROWS(BuildTest!$D$190:$D$190)),TRUNC((ROW()-ROW($C$2))/ROWS(BuildTest!$D$190:$D$190)),1,1)</f>
        <v>&lt;BR&gt;&lt;BR&gt;Benefit Status=CUR&lt;BR&gt;Review created on FAL screen=TFN - EXEMPTION REVIEW (TEX)&lt;BR&gt;Customer FTB (A) Status=CUR&lt;BR&gt;Customer FTB (B) Status=NULL&lt;BR&gt;Customer RA Status=N-NULL&lt;BR&gt;Child Eligibility FTB(A)=Y&lt;BR&gt;Child Eligibility FTB(B)=Y</v>
      </c>
      <c r="D6" s="28" t="str">
        <f ca="1">OFFSET(BuildTest!$D$202,MOD(ROW()-ROW($D$2),ROWS(BuildTest!$D$202:$D$202)),TRUNC((ROW()-ROW($D$2))/ROWS(BuildTest!$D$202:$D$202)),1,1)</f>
        <v>FTB.Regression.NCL.Partnered customer.TFN circ.PTR TFN exempt PUC</v>
      </c>
      <c r="E6" s="28" t="s">
        <v>611</v>
      </c>
      <c r="F6" s="29" t="str">
        <f ca="1">OFFSET(BuildTest!$D$205,MOD(ROW()-ROW($F$2),ROWS(BuildTest!$C$205:$D$205)),TRUNC((ROW()-ROW($F$2))/ROWS(BuildTest!$C$205:$C$205)),1,1)</f>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 Exemption - PUC&lt;BR&gt;Primary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G6" s="29" t="str">
        <f ca="1">OFFSET(BuildTest!$D$207,MOD(ROW()-ROW($G$2),ROWS(BuildTest!$D$207:$D$207)),TRUNC((ROW()-ROW($G$2))/ROWS(BuildTest!$D$207:$D$207)),1,1)</f>
        <v>Verify Assessment and Eligibility outcome
&lt;BR&gt;&lt;BR&gt;Benefit Status=CUR&lt;BR&gt;Review created on FAL screen=TFN - EXEMPTION REVIEW (TEX)&lt;BR&gt;Customer FTB (A) Status=CUR&lt;BR&gt;Customer FTB (B) Status=NULL&lt;BR&gt;Customer RA Status=N-NULL&lt;BR&gt;Child Eligibility FTB(A)=Y&lt;BR&gt;Child Eligibility FTB(B)=Y</v>
      </c>
    </row>
    <row r="7" spans="1:7" ht="409.6" thickBot="1">
      <c r="A7" s="30" t="str">
        <f ca="1">OFFSET(BuildTest!$D$169,MOD(ROW()-ROW($A$2),ROWS(BuildTest!$D$169:$D$169)),TRUNC((ROW()-ROW($A$2))/ROWS(BuildTest!$D$169:$D$169)),1,1)</f>
        <v>The purpose of the test is to verify &lt;BR&gt;&lt;BR&gt;&lt;BR&gt;&lt;BR&gt;Benefit Status=NEF-NTP&lt;BR&gt;Review created on FAL screen=No Review&lt;BR&gt;Customer FTB (A) Status=NEF-NTP&lt;BR&gt;Customer FTB (B) Status=NEF-NTP&lt;BR&gt;Customer RA Status=N-NULL&lt;BR&gt;Child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Not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B7" s="28" t="str">
        <f ca="1">OFFSET(BuildTest!$D$175,MOD(ROW()-ROW($B$2),ROWS(BuildTest!$D$175:$D$175)),TRUNC((ROW()-ROW($B$2))/ROWS(BuildTest!$D$175:$D$175)),1,1)</f>
        <v>Nil</v>
      </c>
      <c r="C7" s="28" t="str">
        <f ca="1">OFFSET(BuildTest!$D$190,MOD(ROW()-ROW($C$2),ROWS(BuildTest!$D$190:$D$190)),TRUNC((ROW()-ROW($C$2))/ROWS(BuildTest!$D$190:$D$190)),1,1)</f>
        <v>&lt;BR&gt;&lt;BR&gt;Benefit Status=NEF-NTP&lt;BR&gt;Review created on FAL screen=No Review&lt;BR&gt;Customer FTB (A) Status=NEF-NTP&lt;BR&gt;Customer FTB (B) Status=NEF-NTP&lt;BR&gt;Customer RA Status=N-NULL&lt;BR&gt;Child Eligibility FTB(A)=Y&lt;BR&gt;Child Eligibility FTB(B)=Y</v>
      </c>
      <c r="D7" s="28" t="str">
        <f ca="1">OFFSET(BuildTest!$D$202,MOD(ROW()-ROW($D$2),ROWS(BuildTest!$D$202:$D$202)),TRUNC((ROW()-ROW($D$2))/ROWS(BuildTest!$D$202:$D$202)),1,1)</f>
        <v>FTB.Regression.NCL.Partnered customer.TFN circ.PTR TFN not coded</v>
      </c>
      <c r="E7" s="28" t="s">
        <v>612</v>
      </c>
      <c r="F7" s="29" t="str">
        <f ca="1">OFFSET(BuildTest!$D$205,MOD(ROW()-ROW($F$2),ROWS(BuildTest!$C$205:$D$205)),TRUNC((ROW()-ROW($F$2))/ROWS(BuildTest!$C$205:$C$205)),1,1)</f>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Not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G7" s="29" t="str">
        <f ca="1">OFFSET(BuildTest!$D$207,MOD(ROW()-ROW($G$2),ROWS(BuildTest!$D$207:$D$207)),TRUNC((ROW()-ROW($G$2))/ROWS(BuildTest!$D$207:$D$207)),1,1)</f>
        <v>Verify Assessment and Eligibility outcome
&lt;BR&gt;&lt;BR&gt;Benefit Status=NEF-NTP&lt;BR&gt;Review created on FAL screen=No Review&lt;BR&gt;Customer FTB (A) Status=NEF-NTP&lt;BR&gt;Customer FTB (B) Status=NEF-NTP&lt;BR&gt;Customer RA Status=N-NULL&lt;BR&gt;Child Eligibility FTB(A)=Y&lt;BR&gt;Child Eligibility FTB(B)=Y</v>
      </c>
    </row>
    <row r="8" spans="1:7" ht="409.6" thickBot="1">
      <c r="A8" s="30" t="str">
        <f ca="1">OFFSET(BuildTest!$D$169,MOD(ROW()-ROW($A$2),ROWS(BuildTest!$D$169:$D$169)),TRUNC((ROW()-ROW($A$2))/ROWS(BuildTest!$D$169:$D$169)),1,1)</f>
        <v>The purpose of the test is to verify &lt;BR&gt;&lt;BR&gt;&lt;BR&gt;&lt;BR&gt;Benefit Status=NEF-NTC&lt;BR&gt;Review created on FAL screen=TFN - EXEMPTION REVIEW (TEX)&lt;BR&gt;Customer FTB (A) Status=NULL&lt;BR&gt;Customer FTB (B) Status=NULL&lt;BR&gt;Customer RA Status=N-NULL&lt;BR&gt;Child Eligibility FTB(A)=Y&lt;BR&gt;Child Eligibility FTB(B)=Y&lt;BR&gt;&lt;BR&gt; for below input circumstances&lt;BR&gt;&lt;BR&gt;&lt;B&gt;Customer  circumstances&lt;/B&gt;&lt;BR&gt;Residential Qualification = AU citizen&lt;BR&gt;Direct Credit details   = Coded&lt;BR&gt;TFN details = Not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B8" s="28" t="str">
        <f ca="1">OFFSET(BuildTest!$D$175,MOD(ROW()-ROW($B$2),ROWS(BuildTest!$D$175:$D$175)),TRUNC((ROW()-ROW($B$2))/ROWS(BuildTest!$D$175:$D$175)),1,1)</f>
        <v>Nil</v>
      </c>
      <c r="C8" s="28" t="str">
        <f ca="1">OFFSET(BuildTest!$D$190,MOD(ROW()-ROW($C$2),ROWS(BuildTest!$D$190:$D$190)),TRUNC((ROW()-ROW($C$2))/ROWS(BuildTest!$D$190:$D$190)),1,1)</f>
        <v>&lt;BR&gt;&lt;BR&gt;Benefit Status=NEF-NTC&lt;BR&gt;Review created on FAL screen=TFN - EXEMPTION REVIEW (TEX)&lt;BR&gt;Customer FTB (A) Status=NULL&lt;BR&gt;Customer FTB (B) Status=NULL&lt;BR&gt;Customer RA Status=N-NULL&lt;BR&gt;Child Eligibility FTB(A)=Y&lt;BR&gt;Child Eligibility FTB(B)=Y</v>
      </c>
      <c r="D8" s="28" t="str">
        <f ca="1">OFFSET(BuildTest!$D$202,MOD(ROW()-ROW($D$2),ROWS(BuildTest!$D$202:$D$202)),TRUNC((ROW()-ROW($D$2))/ROWS(BuildTest!$D$202:$D$202)),1,1)</f>
        <v>FTB.Regression.NCL.Partnered customer.TFN circ.not coded and PTR TFN coded</v>
      </c>
      <c r="E8" s="28" t="s">
        <v>613</v>
      </c>
      <c r="F8" s="29" t="str">
        <f ca="1">OFFSET(BuildTest!$D$205,MOD(ROW()-ROW($F$2),ROWS(BuildTest!$C$205:$D$205)),TRUNC((ROW()-ROW($F$2))/ROWS(BuildTest!$C$205:$C$205)),1,1)</f>
        <v>Index a FTB/NCL with below circumstance description &lt;BR&gt;&lt;BR&gt;&lt;B&gt;Customer  circumstances&lt;/B&gt;&lt;BR&gt;Residential Qualification = AU citizen&lt;BR&gt;Direct Credit details   = Coded&lt;BR&gt;TFN details = Not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G8" s="29" t="str">
        <f ca="1">OFFSET(BuildTest!$D$207,MOD(ROW()-ROW($G$2),ROWS(BuildTest!$D$207:$D$207)),TRUNC((ROW()-ROW($G$2))/ROWS(BuildTest!$D$207:$D$207)),1,1)</f>
        <v>Verify Assessment and Eligibility outcome
&lt;BR&gt;&lt;BR&gt;Benefit Status=NEF-NTC&lt;BR&gt;Review created on FAL screen=TFN - EXEMPTION REVIEW (TEX)&lt;BR&gt;Customer FTB (A) Status=NULL&lt;BR&gt;Customer FTB (B) Status=NULL&lt;BR&gt;Customer RA Status=N-NULL&lt;BR&gt;Child Eligibility FTB(A)=Y&lt;BR&gt;Child Eligibility FTB(B)=Y</v>
      </c>
    </row>
    <row r="9" spans="1:7" ht="409.6" thickBot="1">
      <c r="A9" s="30" t="str">
        <f ca="1">OFFSET(BuildTest!$D$169,MOD(ROW()-ROW($A$2),ROWS(BuildTest!$D$169:$D$169)),TRUNC((ROW()-ROW($A$2))/ROWS(BuildTest!$D$169:$D$169)),1,1)</f>
        <v>The purpose of the test is to verify &lt;BR&gt;&lt;BR&gt;&lt;BR&gt;&lt;BR&gt;Benefit Status=NEF-NTC&lt;BR&gt;Review created on FAL screen=TFN - EXEMPTION REVIEW (TEX)&lt;BR&gt;Customer FTB (A) Status=NULL&lt;BR&gt;Customer FTB (B) Status=NULL&lt;BR&gt;Customer RA Status=N-NULL&lt;BR&gt;Child Eligibility FTB(A)=Y&lt;BR&gt;Child Eligibility FTB(B)=Y&lt;BR&gt;&lt;BR&gt; for below input circumstances&lt;BR&gt;&lt;BR&gt;&lt;B&gt;Customer  circumstances&lt;/B&gt;&lt;BR&gt;Residential Qualification = AU citizen&lt;BR&gt;Direct Credit details   = Coded&lt;BR&gt;TFN details = Not Coded&lt;BR&gt;Secondary Earner income = Less than $21,499&lt;BR&gt;&lt;BR&gt;&lt;B&gt;Partner  circumstances&lt;/B&gt;&lt;BR&gt;Residential Qualification = AU citizen&lt;BR&gt;TFN details = Coded Exemption - PVI&lt;BR&gt;Primary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B9" s="28" t="str">
        <f ca="1">OFFSET(BuildTest!$D$175,MOD(ROW()-ROW($B$2),ROWS(BuildTest!$D$175:$D$175)),TRUNC((ROW()-ROW($B$2))/ROWS(BuildTest!$D$175:$D$175)),1,1)</f>
        <v>Nil</v>
      </c>
      <c r="C9" s="28" t="str">
        <f ca="1">OFFSET(BuildTest!$D$190,MOD(ROW()-ROW($C$2),ROWS(BuildTest!$D$190:$D$190)),TRUNC((ROW()-ROW($C$2))/ROWS(BuildTest!$D$190:$D$190)),1,1)</f>
        <v>&lt;BR&gt;&lt;BR&gt;Benefit Status=NEF-NTC&lt;BR&gt;Review created on FAL screen=TFN - EXEMPTION REVIEW (TEX)&lt;BR&gt;Customer FTB (A) Status=NULL&lt;BR&gt;Customer FTB (B) Status=NULL&lt;BR&gt;Customer RA Status=N-NULL&lt;BR&gt;Child Eligibility FTB(A)=Y&lt;BR&gt;Child Eligibility FTB(B)=Y</v>
      </c>
      <c r="D9" s="28" t="str">
        <f ca="1">OFFSET(BuildTest!$D$202,MOD(ROW()-ROW($D$2),ROWS(BuildTest!$D$202:$D$202)),TRUNC((ROW()-ROW($D$2))/ROWS(BuildTest!$D$202:$D$202)),1,1)</f>
        <v>FTB.Regression.NCL.Partnered customer.TFN circ.not coded and PTR TFN exempt PVI</v>
      </c>
      <c r="E9" s="28" t="s">
        <v>614</v>
      </c>
      <c r="F9" s="29" t="str">
        <f ca="1">OFFSET(BuildTest!$D$205,MOD(ROW()-ROW($F$2),ROWS(BuildTest!$C$205:$D$205)),TRUNC((ROW()-ROW($F$2))/ROWS(BuildTest!$C$205:$C$205)),1,1)</f>
        <v>Index a FTB/NCL with below circumstance description &lt;BR&gt;&lt;BR&gt;&lt;B&gt;Customer  circumstances&lt;/B&gt;&lt;BR&gt;Residential Qualification = AU citizen&lt;BR&gt;Direct Credit details   = Coded&lt;BR&gt;TFN details = Not Coded&lt;BR&gt;Secondary Earner income = Less than $21,499&lt;BR&gt;&lt;BR&gt;&lt;B&gt;Partner  circumstances&lt;/B&gt;&lt;BR&gt;Residential Qualification = AU citizen&lt;BR&gt;TFN details = Coded Exemption - PVI&lt;BR&gt;Primary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G9" s="29" t="str">
        <f ca="1">OFFSET(BuildTest!$D$207,MOD(ROW()-ROW($G$2),ROWS(BuildTest!$D$207:$D$207)),TRUNC((ROW()-ROW($G$2))/ROWS(BuildTest!$D$207:$D$207)),1,1)</f>
        <v>Verify Assessment and Eligibility outcome
&lt;BR&gt;&lt;BR&gt;Benefit Status=NEF-NTC&lt;BR&gt;Review created on FAL screen=TFN - EXEMPTION REVIEW (TEX)&lt;BR&gt;Customer FTB (A) Status=NULL&lt;BR&gt;Customer FTB (B) Status=NULL&lt;BR&gt;Customer RA Status=N-NULL&lt;BR&gt;Child Eligibility FTB(A)=Y&lt;BR&gt;Child Eligibility FTB(B)=Y</v>
      </c>
    </row>
    <row r="10" spans="1:7" ht="409.6" thickBot="1">
      <c r="A10" s="30" t="str">
        <f ca="1">OFFSET(BuildTest!$D$169,MOD(ROW()-ROW($A$2),ROWS(BuildTest!$D$169:$D$169)),TRUNC((ROW()-ROW($A$2))/ROWS(BuildTest!$D$169:$D$169)),1,1)</f>
        <v>The purpose of the test is to verify &lt;BR&gt;&lt;BR&gt;&lt;BR&gt;&lt;BR&gt;Benefit Status=NEF-NTC&lt;BR&gt;Review created on FAL screen=TFN - EXEMPTION REVIEW (TEX)&lt;BR&gt;Customer FTB (A) Status=NULL&lt;BR&gt;Customer FTB (B) Status=NULL&lt;BR&gt;Customer RA Status=N-NULL&lt;BR&gt;Child Eligibility FTB(A)=Y&lt;BR&gt;Child Eligibility FTB(B)=Y&lt;BR&gt;&lt;BR&gt; for below input circumstances&lt;BR&gt;&lt;BR&gt;&lt;B&gt;Customer  circumstances&lt;/B&gt;&lt;BR&gt;Residential Qualification = AU citizen&lt;BR&gt;Direct Credit details   = Coded&lt;BR&gt;TFN details = Not Coded&lt;BR&gt;Secondary Earner income = Less than $21,499&lt;BR&gt;&lt;BR&gt;&lt;B&gt;Partner  circumstances&lt;/B&gt;&lt;BR&gt;Residential Qualification = AU citizen&lt;BR&gt;TFN details = Coded Exemption - PUC&lt;BR&gt;Primary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B10" s="28" t="str">
        <f ca="1">OFFSET(BuildTest!$D$175,MOD(ROW()-ROW($B$2),ROWS(BuildTest!$D$175:$D$175)),TRUNC((ROW()-ROW($B$2))/ROWS(BuildTest!$D$175:$D$175)),1,1)</f>
        <v>Nil</v>
      </c>
      <c r="C10" s="28" t="str">
        <f ca="1">OFFSET(BuildTest!$D$190,MOD(ROW()-ROW($C$2),ROWS(BuildTest!$D$190:$D$190)),TRUNC((ROW()-ROW($C$2))/ROWS(BuildTest!$D$190:$D$190)),1,1)</f>
        <v>&lt;BR&gt;&lt;BR&gt;Benefit Status=NEF-NTC&lt;BR&gt;Review created on FAL screen=TFN - EXEMPTION REVIEW (TEX)&lt;BR&gt;Customer FTB (A) Status=NULL&lt;BR&gt;Customer FTB (B) Status=NULL&lt;BR&gt;Customer RA Status=N-NULL&lt;BR&gt;Child Eligibility FTB(A)=Y&lt;BR&gt;Child Eligibility FTB(B)=Y</v>
      </c>
      <c r="D10" s="28" t="str">
        <f ca="1">OFFSET(BuildTest!$D$202,MOD(ROW()-ROW($D$2),ROWS(BuildTest!$D$202:$D$202)),TRUNC((ROW()-ROW($D$2))/ROWS(BuildTest!$D$202:$D$202)),1,1)</f>
        <v>FTB.Regression.NCL.Partnered customer.TFN circ.not coded and PTR TFN exempt PUC</v>
      </c>
      <c r="E10" s="28" t="s">
        <v>615</v>
      </c>
      <c r="F10" s="29" t="str">
        <f ca="1">OFFSET(BuildTest!$D$205,MOD(ROW()-ROW($F$2),ROWS(BuildTest!$C$205:$D$205)),TRUNC((ROW()-ROW($F$2))/ROWS(BuildTest!$C$205:$C$205)),1,1)</f>
        <v>Index a FTB/NCL with below circumstance description &lt;BR&gt;&lt;BR&gt;&lt;B&gt;Customer  circumstances&lt;/B&gt;&lt;BR&gt;Residential Qualification = AU citizen&lt;BR&gt;Direct Credit details   = Coded&lt;BR&gt;TFN details = Not Coded&lt;BR&gt;Secondary Earner income = Less than $21,499&lt;BR&gt;&lt;BR&gt;&lt;B&gt;Partner  circumstances&lt;/B&gt;&lt;BR&gt;Residential Qualification = AU citizen&lt;BR&gt;TFN details = Coded Exemption - PUC&lt;BR&gt;Primary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G10" s="29" t="str">
        <f ca="1">OFFSET(BuildTest!$D$207,MOD(ROW()-ROW($G$2),ROWS(BuildTest!$D$207:$D$207)),TRUNC((ROW()-ROW($G$2))/ROWS(BuildTest!$D$207:$D$207)),1,1)</f>
        <v>Verify Assessment and Eligibility outcome
&lt;BR&gt;&lt;BR&gt;Benefit Status=NEF-NTC&lt;BR&gt;Review created on FAL screen=TFN - EXEMPTION REVIEW (TEX)&lt;BR&gt;Customer FTB (A) Status=NULL&lt;BR&gt;Customer FTB (B) Status=NULL&lt;BR&gt;Customer RA Status=N-NULL&lt;BR&gt;Child Eligibility FTB(A)=Y&lt;BR&gt;Child Eligibility FTB(B)=Y</v>
      </c>
    </row>
    <row r="11" spans="1:7" ht="409.6" thickBot="1">
      <c r="A11" s="30" t="str">
        <f ca="1">OFFSET(BuildTest!$D$169,MOD(ROW()-ROW($A$2),ROWS(BuildTest!$D$169:$D$169)),TRUNC((ROW()-ROW($A$2))/ROWS(BuildTest!$D$169:$D$169)),1,1)</f>
        <v>The purpose of the test is to verify &lt;BR&gt;&lt;BR&gt;&lt;BR&gt;&lt;BR&gt;Benefit Status=NEF-NTB&lt;BR&gt;Review created on FAL screen=TFN - EXEMPTION REVIEW (TEX)&lt;BR&gt;Customer FTB (A) Status=NULL&lt;BR&gt;Customer FTB (B) Status=NULL&lt;BR&gt;Customer RA Status=N-NULL&lt;BR&gt;Child Eligibility FTB(A)=Y&lt;BR&gt;Child Eligibility FTB(B)=Y&lt;BR&gt;&lt;BR&gt; for below input circumstances&lt;BR&gt;&lt;BR&gt;&lt;B&gt;Customer  circumstances&lt;/B&gt;&lt;BR&gt;Residential Qualification = AU citizen&lt;BR&gt;Direct Credit details   = Coded&lt;BR&gt;TFN details = Not Coded&lt;BR&gt;Secondary Earner income = Less than $21,499&lt;BR&gt;&lt;BR&gt;&lt;B&gt;Partner  circumstances&lt;/B&gt;&lt;BR&gt;Residential Qualification = AU citizen&lt;BR&gt;TFN details = Not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B11" s="28" t="str">
        <f ca="1">OFFSET(BuildTest!$D$175,MOD(ROW()-ROW($B$2),ROWS(BuildTest!$D$175:$D$175)),TRUNC((ROW()-ROW($B$2))/ROWS(BuildTest!$D$175:$D$175)),1,1)</f>
        <v>Nil</v>
      </c>
      <c r="C11" s="28" t="str">
        <f ca="1">OFFSET(BuildTest!$D$190,MOD(ROW()-ROW($C$2),ROWS(BuildTest!$D$190:$D$190)),TRUNC((ROW()-ROW($C$2))/ROWS(BuildTest!$D$190:$D$190)),1,1)</f>
        <v>&lt;BR&gt;&lt;BR&gt;Benefit Status=NEF-NTB&lt;BR&gt;Review created on FAL screen=TFN - EXEMPTION REVIEW (TEX)&lt;BR&gt;Customer FTB (A) Status=NULL&lt;BR&gt;Customer FTB (B) Status=NULL&lt;BR&gt;Customer RA Status=N-NULL&lt;BR&gt;Child Eligibility FTB(A)=Y&lt;BR&gt;Child Eligibility FTB(B)=Y</v>
      </c>
      <c r="D11" s="28" t="str">
        <f ca="1">OFFSET(BuildTest!$D$202,MOD(ROW()-ROW($D$2),ROWS(BuildTest!$D$202:$D$202)),TRUNC((ROW()-ROW($D$2))/ROWS(BuildTest!$D$202:$D$202)),1,1)</f>
        <v>FTB.Regression.NCL.Partnered customer.TFN circ.not coded and PTR TFN not coded</v>
      </c>
      <c r="E11" s="28" t="s">
        <v>616</v>
      </c>
      <c r="F11" s="29" t="str">
        <f ca="1">OFFSET(BuildTest!$D$205,MOD(ROW()-ROW($F$2),ROWS(BuildTest!$C$205:$D$205)),TRUNC((ROW()-ROW($F$2))/ROWS(BuildTest!$C$205:$C$205)),1,1)</f>
        <v>Index a FTB/NCL with below circumstance description &lt;BR&gt;&lt;BR&gt;&lt;B&gt;Customer  circumstances&lt;/B&gt;&lt;BR&gt;Residential Qualification = AU citizen&lt;BR&gt;Direct Credit details   = Coded&lt;BR&gt;TFN details = Not Coded&lt;BR&gt;Secondary Earner income = Less than $21,499&lt;BR&gt;&lt;BR&gt;&lt;B&gt;Partner  circumstances&lt;/B&gt;&lt;BR&gt;Residential Qualification = AU citizen&lt;BR&gt;TFN details = Not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G11" s="29" t="str">
        <f ca="1">OFFSET(BuildTest!$D$207,MOD(ROW()-ROW($G$2),ROWS(BuildTest!$D$207:$D$207)),TRUNC((ROW()-ROW($G$2))/ROWS(BuildTest!$D$207:$D$207)),1,1)</f>
        <v>Verify Assessment and Eligibility outcome
&lt;BR&gt;&lt;BR&gt;Benefit Status=NEF-NTB&lt;BR&gt;Review created on FAL screen=TFN - EXEMPTION REVIEW (TEX)&lt;BR&gt;Customer FTB (A) Status=NULL&lt;BR&gt;Customer FTB (B) Status=NULL&lt;BR&gt;Customer RA Status=N-NULL&lt;BR&gt;Child Eligibility FTB(A)=Y&lt;BR&gt;Child Eligibility FTB(B)=Y</v>
      </c>
    </row>
    <row r="12" spans="1:7" ht="409.6" thickBot="1">
      <c r="A12" s="30" t="str">
        <f ca="1">OFFSET(BuildTest!$D$169,MOD(ROW()-ROW($A$2),ROWS(BuildTest!$D$169:$D$169)),TRUNC((ROW()-ROW($A$2))/ROWS(BuildTest!$D$169:$D$169)),1,1)</f>
        <v>The purpose of the test is to verify &lt;BR&gt;&lt;BR&gt;&lt;BR&gt;&lt;BR&gt;Benefit Status=CUR&lt;BR&gt;Review created on FAL screen=No Review&lt;BR&gt;Customer FTB (A) Status=CAN-INC&lt;BR&gt;Customer FTB (B) Status=CUR&lt;BR&gt;Customer RA Status=N-NULL&lt;BR&gt;Child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More than $99,414 per yr&lt;BR&gt;&lt;BR&gt;&lt;B&gt;Child  circumstances&lt;/B&gt;&lt;BR&gt;Number of Child(ren) = 1&lt;BR&gt;Age of Child = &lt;= 5yr&lt;BR&gt;Principal Care Type = Natural Care&lt;BR&gt;Care Percentage = 100% of Customer's care</v>
      </c>
      <c r="B12" s="28" t="str">
        <f ca="1">OFFSET(BuildTest!$D$175,MOD(ROW()-ROW($B$2),ROWS(BuildTest!$D$175:$D$175)),TRUNC((ROW()-ROW($B$2))/ROWS(BuildTest!$D$175:$D$175)),1,1)</f>
        <v>Nil</v>
      </c>
      <c r="C12" s="28" t="str">
        <f ca="1">OFFSET(BuildTest!$D$190,MOD(ROW()-ROW($C$2),ROWS(BuildTest!$D$190:$D$190)),TRUNC((ROW()-ROW($C$2))/ROWS(BuildTest!$D$190:$D$190)),1,1)</f>
        <v>&lt;BR&gt;&lt;BR&gt;Benefit Status=CUR&lt;BR&gt;Review created on FAL screen=No Review&lt;BR&gt;Customer FTB (A) Status=CAN-INC&lt;BR&gt;Customer FTB (B) Status=CUR&lt;BR&gt;Customer RA Status=N-NULL&lt;BR&gt;Child Eligibility FTB(A)=Y&lt;BR&gt;Child Eligibility FTB(B)=Y</v>
      </c>
      <c r="D12" s="28" t="str">
        <f ca="1">OFFSET(BuildTest!$D$202,MOD(ROW()-ROW($D$2),ROWS(BuildTest!$D$202:$D$202)),TRUNC((ROW()-ROW($D$2))/ROWS(BuildTest!$D$202:$D$202)),1,1)</f>
        <v>FTB.Regression.NCL.Partnered customer.Income circ.Sec Inc LT Limit.Pri Inc LT Limit.Combined INC GT Limit</v>
      </c>
      <c r="E12" s="28" t="s">
        <v>622</v>
      </c>
      <c r="F12" s="29" t="str">
        <f ca="1">OFFSET(BuildTest!$D$205,MOD(ROW()-ROW($F$2),ROWS(BuildTest!$C$205:$D$205)),TRUNC((ROW()-ROW($F$2))/ROWS(BuildTest!$C$205:$C$205)),1,1)</f>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More than $99,414 per yr&lt;BR&gt;&lt;BR&gt;&lt;B&gt;Child  circumstances&lt;/B&gt;&lt;BR&gt;Number of Child(ren) = 1&lt;BR&gt;Age of Child = &lt;= 5yr&lt;BR&gt;Principal Care Type = Natural Care&lt;BR&gt;Care Percentage = 100% of Customer's care</v>
      </c>
      <c r="G12" s="29" t="str">
        <f ca="1">OFFSET(BuildTest!$D$207,MOD(ROW()-ROW($G$2),ROWS(BuildTest!$D$207:$D$207)),TRUNC((ROW()-ROW($G$2))/ROWS(BuildTest!$D$207:$D$207)),1,1)</f>
        <v>Verify Assessment and Eligibility outcome
&lt;BR&gt;&lt;BR&gt;Benefit Status=CUR&lt;BR&gt;Review created on FAL screen=No Review&lt;BR&gt;Customer FTB (A) Status=CAN-INC&lt;BR&gt;Customer FTB (B) Status=CUR&lt;BR&gt;Customer RA Status=N-NULL&lt;BR&gt;Child Eligibility FTB(A)=Y&lt;BR&gt;Child Eligibility FTB(B)=Y</v>
      </c>
    </row>
    <row r="13" spans="1:7" ht="409.6" thickBot="1">
      <c r="A13" s="30" t="str">
        <f ca="1">OFFSET(BuildTest!$D$169,MOD(ROW()-ROW($A$2),ROWS(BuildTest!$D$169:$D$169)),TRUNC((ROW()-ROW($A$2))/ROWS(BuildTest!$D$169:$D$169)),1,1)</f>
        <v>The purpose of the test is to verify &lt;BR&gt;&lt;BR&gt;&lt;BR&gt;&lt;BR&gt;Benefit Status=REJ-INC&lt;BR&gt;Review created on FAL screen=No Review&lt;BR&gt;Customer FTB (A) Status=CAN-INC&lt;BR&gt;Customer FTB (B) Status=REJ-IEU&lt;BR&gt;Customer RA Status=N-NULL&lt;BR&gt;Child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More than $100,000&lt;BR&gt;&lt;BR&gt;&lt;B&gt;Customer and Partner common circumstances&lt;/B&gt;&lt;BR&gt;Home ownership code = Home owner - HOM&lt;BR&gt;Relationship Qualifier = Blank&lt;BR&gt;Combined Income Limit = More than $99,414 per yr&lt;BR&gt;&lt;BR&gt;&lt;B&gt;Child  circumstances&lt;/B&gt;&lt;BR&gt;Number of Child(ren) = 1&lt;BR&gt;Age of Child = &lt;= 5yr&lt;BR&gt;Principal Care Type = Natural Care&lt;BR&gt;Care Percentage = 100% of Customer's care</v>
      </c>
      <c r="B13" s="28" t="str">
        <f ca="1">OFFSET(BuildTest!$D$175,MOD(ROW()-ROW($B$2),ROWS(BuildTest!$D$175:$D$175)),TRUNC((ROW()-ROW($B$2))/ROWS(BuildTest!$D$175:$D$175)),1,1)</f>
        <v>Nil</v>
      </c>
      <c r="C13" s="28" t="str">
        <f ca="1">OFFSET(BuildTest!$D$190,MOD(ROW()-ROW($C$2),ROWS(BuildTest!$D$190:$D$190)),TRUNC((ROW()-ROW($C$2))/ROWS(BuildTest!$D$190:$D$190)),1,1)</f>
        <v>&lt;BR&gt;&lt;BR&gt;Benefit Status=REJ-INC&lt;BR&gt;Review created on FAL screen=No Review&lt;BR&gt;Customer FTB (A) Status=CAN-INC&lt;BR&gt;Customer FTB (B) Status=REJ-IEU&lt;BR&gt;Customer RA Status=N-NULL&lt;BR&gt;Child Eligibility FTB(A)=Y&lt;BR&gt;Child Eligibility FTB(B)=Y</v>
      </c>
      <c r="D13" s="28" t="str">
        <f ca="1">OFFSET(BuildTest!$D$202,MOD(ROW()-ROW($D$2),ROWS(BuildTest!$D$202:$D$202)),TRUNC((ROW()-ROW($D$2))/ROWS(BuildTest!$D$202:$D$202)),1,1)</f>
        <v>FTB.Regression.NCL.Partnered customer.Income circ.Sec Inc LT Limit.Pri Inc GT Limit.Combined INC GT Limit</v>
      </c>
      <c r="E13" s="28" t="s">
        <v>623</v>
      </c>
      <c r="F13" s="29" t="str">
        <f ca="1">OFFSET(BuildTest!$D$205,MOD(ROW()-ROW($F$2),ROWS(BuildTest!$C$205:$D$205)),TRUNC((ROW()-ROW($F$2))/ROWS(BuildTest!$C$205:$C$205)),1,1)</f>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More than $100,000&lt;BR&gt;&lt;BR&gt;&lt;B&gt;Customer and Partner common circumstances&lt;/B&gt;&lt;BR&gt;Home ownership code = Home owner - HOM&lt;BR&gt;Relationship Qualifier = Blank&lt;BR&gt;Combined Income Limit = More than $99,414 per yr&lt;BR&gt;&lt;BR&gt;&lt;B&gt;Child  circumstances&lt;/B&gt;&lt;BR&gt;Number of Child(ren) = 1&lt;BR&gt;Age of Child = &lt;= 5yr&lt;BR&gt;Principal Care Type = Natural Care&lt;BR&gt;Care Percentage = 100% of Customer's care</v>
      </c>
      <c r="G13" s="29" t="str">
        <f ca="1">OFFSET(BuildTest!$D$207,MOD(ROW()-ROW($G$2),ROWS(BuildTest!$D$207:$D$207)),TRUNC((ROW()-ROW($G$2))/ROWS(BuildTest!$D$207:$D$207)),1,1)</f>
        <v>Verify Assessment and Eligibility outcome
&lt;BR&gt;&lt;BR&gt;Benefit Status=REJ-INC&lt;BR&gt;Review created on FAL screen=No Review&lt;BR&gt;Customer FTB (A) Status=CAN-INC&lt;BR&gt;Customer FTB (B) Status=REJ-IEU&lt;BR&gt;Customer RA Status=N-NULL&lt;BR&gt;Child Eligibility FTB(A)=Y&lt;BR&gt;Child Eligibility FTB(B)=Y</v>
      </c>
    </row>
    <row r="14" spans="1:7" ht="409.6" thickBot="1">
      <c r="A14" s="30" t="str">
        <f ca="1">OFFSET(BuildTest!$D$169,MOD(ROW()-ROW($A$2),ROWS(BuildTest!$D$169:$D$169)),TRUNC((ROW()-ROW($A$2))/ROWS(BuildTest!$D$169:$D$169)),1,1)</f>
        <v>The purpose of the test is to verify &lt;BR&gt;&lt;BR&gt;&lt;BR&gt;&lt;BR&gt;Benefit Status=CUR&lt;BR&gt;Review created on FAL screen=No Review&lt;BR&gt;Customer FTB (A) Status=CUR&lt;BR&gt;Customer FTB (B) Status=REJ-INC&lt;BR&gt;Customer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More than $ 27,613&lt;BR&gt;&lt;BR&gt;&lt;B&gt;Partner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B14" s="28" t="str">
        <f ca="1">OFFSET(BuildTest!$D$175,MOD(ROW()-ROW($B$2),ROWS(BuildTest!$D$175:$D$175)),TRUNC((ROW()-ROW($B$2))/ROWS(BuildTest!$D$175:$D$175)),1,1)</f>
        <v>Nil</v>
      </c>
      <c r="C14" s="28" t="str">
        <f ca="1">OFFSET(BuildTest!$D$190,MOD(ROW()-ROW($C$2),ROWS(BuildTest!$D$190:$D$190)),TRUNC((ROW()-ROW($C$2))/ROWS(BuildTest!$D$190:$D$190)),1,1)</f>
        <v>&lt;BR&gt;&lt;BR&gt;Benefit Status=CUR&lt;BR&gt;Review created on FAL screen=No Review&lt;BR&gt;Customer FTB (A) Status=CUR&lt;BR&gt;Customer FTB (B) Status=REJ-INC&lt;BR&gt;Customer RA Status=N-HOM&lt;BR&gt;Child Eligibility FTB(A)=Y&lt;BR&gt;Child Eligibility FTB(B)=Y</v>
      </c>
      <c r="D14" s="28" t="str">
        <f ca="1">OFFSET(BuildTest!$D$202,MOD(ROW()-ROW($D$2),ROWS(BuildTest!$D$202:$D$202)),TRUNC((ROW()-ROW($D$2))/ROWS(BuildTest!$D$202:$D$202)),1,1)</f>
        <v>FTB.Regression.NCL.Partnered customer.Income circ.Sec Inc GT Limit.Pri Inc LT Limit.Combined INC LT Limit</v>
      </c>
      <c r="E14" s="28" t="s">
        <v>624</v>
      </c>
      <c r="F14" s="29" t="str">
        <f ca="1">OFFSET(BuildTest!$D$205,MOD(ROW()-ROW($F$2),ROWS(BuildTest!$C$205:$D$205)),TRUNC((ROW()-ROW($F$2))/ROWS(BuildTest!$C$205:$C$205)),1,1)</f>
        <v>Index a FTB/NCL with below circumstance description &lt;BR&gt;&lt;BR&gt;&lt;B&gt;Customer  circumstances&lt;/B&gt;&lt;BR&gt;Residential Qualification = AU citizen&lt;BR&gt;Direct Credit details   = Coded&lt;BR&gt;TFN details = Coded&lt;BR&gt;Secondary Earner income = More than $ 27,613&lt;BR&gt;&lt;BR&gt;&lt;B&gt;Partner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G14" s="29" t="str">
        <f ca="1">OFFSET(BuildTest!$D$207,MOD(ROW()-ROW($G$2),ROWS(BuildTest!$D$207:$D$207)),TRUNC((ROW()-ROW($G$2))/ROWS(BuildTest!$D$207:$D$207)),1,1)</f>
        <v>Verify Assessment and Eligibility outcome
&lt;BR&gt;&lt;BR&gt;Benefit Status=CUR&lt;BR&gt;Review created on FAL screen=No Review&lt;BR&gt;Customer FTB (A) Status=CUR&lt;BR&gt;Customer FTB (B) Status=REJ-INC&lt;BR&gt;Customer RA Status=N-HOM&lt;BR&gt;Child Eligibility FTB(A)=Y&lt;BR&gt;Child Eligibility FTB(B)=Y</v>
      </c>
    </row>
    <row r="15" spans="1:7" ht="409.6" thickBot="1">
      <c r="A15" s="30" t="str">
        <f ca="1">OFFSET(BuildTest!$D$169,MOD(ROW()-ROW($A$2),ROWS(BuildTest!$D$169:$D$169)),TRUNC((ROW()-ROW($A$2))/ROWS(BuildTest!$D$169:$D$169)),1,1)</f>
        <v>The purpose of the test is to verify &lt;BR&gt;&lt;BR&gt;&lt;BR&gt;&lt;BR&gt;Benefit Status=REJ-INC&lt;BR&gt;Review created on FAL screen=No Review&lt;BR&gt;Customer FTB (A) Status=CAN-INC&lt;BR&gt;Customer FTB (B) Status=REJ-INC&lt;BR&gt;Customer RA Status=N-NULL&lt;BR&gt;Child Eligibility FTB(A)=Y&lt;BR&gt;Child Eligibility FTB(B)=Y&lt;BR&gt;&lt;BR&gt; for below input circumstances&lt;BR&gt;&lt;BR&gt;&lt;B&gt;Customer  circumstances&lt;/B&gt;&lt;BR&gt;Residential Qualification = AU citizen&lt;BR&gt;Direct Credit details   = Coded&lt;BR&gt;TFN details = Coded&lt;BR&gt;Secondary Earner income = More than $ 27,613&lt;BR&gt;&lt;BR&gt;&lt;B&gt;Partner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More than $99,414 per yr&lt;BR&gt;&lt;BR&gt;&lt;B&gt;Child  circumstances&lt;/B&gt;&lt;BR&gt;Number of Child(ren) = 1&lt;BR&gt;Age of Child = &lt;= 5yr&lt;BR&gt;Principal Care Type = Natural Care&lt;BR&gt;Care Percentage = 100% of Customer's care</v>
      </c>
      <c r="B15" s="28" t="str">
        <f ca="1">OFFSET(BuildTest!$D$175,MOD(ROW()-ROW($B$2),ROWS(BuildTest!$D$175:$D$175)),TRUNC((ROW()-ROW($B$2))/ROWS(BuildTest!$D$175:$D$175)),1,1)</f>
        <v>Nil</v>
      </c>
      <c r="C15" s="28" t="str">
        <f ca="1">OFFSET(BuildTest!$D$190,MOD(ROW()-ROW($C$2),ROWS(BuildTest!$D$190:$D$190)),TRUNC((ROW()-ROW($C$2))/ROWS(BuildTest!$D$190:$D$190)),1,1)</f>
        <v>&lt;BR&gt;&lt;BR&gt;Benefit Status=REJ-INC&lt;BR&gt;Review created on FAL screen=No Review&lt;BR&gt;Customer FTB (A) Status=CAN-INC&lt;BR&gt;Customer FTB (B) Status=REJ-INC&lt;BR&gt;Customer RA Status=N-NULL&lt;BR&gt;Child Eligibility FTB(A)=Y&lt;BR&gt;Child Eligibility FTB(B)=Y</v>
      </c>
      <c r="D15" s="28" t="str">
        <f ca="1">OFFSET(BuildTest!$D$202,MOD(ROW()-ROW($D$2),ROWS(BuildTest!$D$202:$D$202)),TRUNC((ROW()-ROW($D$2))/ROWS(BuildTest!$D$202:$D$202)),1,1)</f>
        <v>FTB.Regression.NCL.Partnered customer.Income circ.Sec Inc GT Limit.Pri Inc LT Limit.Combined INC GT Limit</v>
      </c>
      <c r="E15" s="28" t="s">
        <v>625</v>
      </c>
      <c r="F15" s="29" t="str">
        <f ca="1">OFFSET(BuildTest!$D$205,MOD(ROW()-ROW($F$2),ROWS(BuildTest!$C$205:$D$205)),TRUNC((ROW()-ROW($F$2))/ROWS(BuildTest!$C$205:$C$205)),1,1)</f>
        <v>Index a FTB/NCL with below circumstance description &lt;BR&gt;&lt;BR&gt;&lt;B&gt;Customer  circumstances&lt;/B&gt;&lt;BR&gt;Residential Qualification = AU citizen&lt;BR&gt;Direct Credit details   = Coded&lt;BR&gt;TFN details = Coded&lt;BR&gt;Secondary Earner income = More than $ 27,613&lt;BR&gt;&lt;BR&gt;&lt;B&gt;Partner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More than $99,414 per yr&lt;BR&gt;&lt;BR&gt;&lt;B&gt;Child  circumstances&lt;/B&gt;&lt;BR&gt;Number of Child(ren) = 1&lt;BR&gt;Age of Child = &lt;= 5yr&lt;BR&gt;Principal Care Type = Natural Care&lt;BR&gt;Care Percentage = 100% of Customer's care</v>
      </c>
      <c r="G15" s="29" t="str">
        <f ca="1">OFFSET(BuildTest!$D$207,MOD(ROW()-ROW($G$2),ROWS(BuildTest!$D$207:$D$207)),TRUNC((ROW()-ROW($G$2))/ROWS(BuildTest!$D$207:$D$207)),1,1)</f>
        <v>Verify Assessment and Eligibility outcome
&lt;BR&gt;&lt;BR&gt;Benefit Status=REJ-INC&lt;BR&gt;Review created on FAL screen=No Review&lt;BR&gt;Customer FTB (A) Status=CAN-INC&lt;BR&gt;Customer FTB (B) Status=REJ-INC&lt;BR&gt;Customer RA Status=N-NULL&lt;BR&gt;Child Eligibility FTB(A)=Y&lt;BR&gt;Child Eligibility FTB(B)=Y</v>
      </c>
    </row>
    <row r="16" spans="1:7" ht="409.6" thickBot="1">
      <c r="A16" s="30" t="str">
        <f ca="1">OFFSET(BuildTest!$D$169,MOD(ROW()-ROW($A$2),ROWS(BuildTest!$D$169:$D$169)),TRUNC((ROW()-ROW($A$2))/ROWS(BuildTest!$D$169:$D$169)),1,1)</f>
        <v>The purpose of the test is to verify &lt;BR&gt;&lt;BR&gt;&lt;BR&gt;&lt;BR&gt;Benefit Status=REJ-INC&lt;BR&gt;Review created on FAL screen=No Review&lt;BR&gt;Customer FTB (A) Status=CAN-INC&lt;BR&gt;Customer FTB (B) Status=REJ-INC&lt;BR&gt;Customer RA Status=N-NULL&lt;BR&gt;Child Eligibility FTB(A)=Y&lt;BR&gt;Child Eligibility FTB(B)=Y&lt;BR&gt;&lt;BR&gt; for below input circumstances&lt;BR&gt;&lt;BR&gt;&lt;B&gt;Customer  circumstances&lt;/B&gt;&lt;BR&gt;Residential Qualification = AU citizen&lt;BR&gt;Direct Credit details   = Coded&lt;BR&gt;TFN details = Coded&lt;BR&gt;Secondary Earner income = More than $ 27,613&lt;BR&gt;&lt;BR&gt;&lt;B&gt;Partner  circumstances&lt;/B&gt;&lt;BR&gt;Residential Qualification = AU citizen&lt;BR&gt;TFN details = Coded&lt;BR&gt;Primary Earner income = More than $100,000&lt;BR&gt;&lt;BR&gt;&lt;B&gt;Customer and Partner common circumstances&lt;/B&gt;&lt;BR&gt;Home ownership code = Home owner - HOM&lt;BR&gt;Relationship Qualifier = Blank&lt;BR&gt;Combined Income Limit = More than $99,414 per yr&lt;BR&gt;&lt;BR&gt;&lt;B&gt;Child  circumstances&lt;/B&gt;&lt;BR&gt;Number of Child(ren) = 1&lt;BR&gt;Age of Child = &lt;= 5yr&lt;BR&gt;Principal Care Type = Natural Care&lt;BR&gt;Care Percentage = 100% of Customer's care</v>
      </c>
      <c r="B16" s="28" t="str">
        <f ca="1">OFFSET(BuildTest!$D$175,MOD(ROW()-ROW($B$2),ROWS(BuildTest!$D$175:$D$175)),TRUNC((ROW()-ROW($B$2))/ROWS(BuildTest!$D$175:$D$175)),1,1)</f>
        <v>Nil</v>
      </c>
      <c r="C16" s="28" t="str">
        <f ca="1">OFFSET(BuildTest!$D$190,MOD(ROW()-ROW($C$2),ROWS(BuildTest!$D$190:$D$190)),TRUNC((ROW()-ROW($C$2))/ROWS(BuildTest!$D$190:$D$190)),1,1)</f>
        <v>&lt;BR&gt;&lt;BR&gt;Benefit Status=REJ-INC&lt;BR&gt;Review created on FAL screen=No Review&lt;BR&gt;Customer FTB (A) Status=CAN-INC&lt;BR&gt;Customer FTB (B) Status=REJ-INC&lt;BR&gt;Customer RA Status=N-NULL&lt;BR&gt;Child Eligibility FTB(A)=Y&lt;BR&gt;Child Eligibility FTB(B)=Y</v>
      </c>
      <c r="D16" s="28" t="str">
        <f ca="1">OFFSET(BuildTest!$D$202,MOD(ROW()-ROW($D$2),ROWS(BuildTest!$D$202:$D$202)),TRUNC((ROW()-ROW($D$2))/ROWS(BuildTest!$D$202:$D$202)),1,1)</f>
        <v>FTB.Regression.NCL.Partnered customer.Income circ.Sec Inc GT Limit.Pri Inc GT Limit.Combined INC GT Limit</v>
      </c>
      <c r="E16" s="28" t="s">
        <v>626</v>
      </c>
      <c r="F16" s="29" t="str">
        <f ca="1">OFFSET(BuildTest!$D$205,MOD(ROW()-ROW($F$2),ROWS(BuildTest!$C$205:$D$205)),TRUNC((ROW()-ROW($F$2))/ROWS(BuildTest!$C$205:$C$205)),1,1)</f>
        <v>Index a FTB/NCL with below circumstance description &lt;BR&gt;&lt;BR&gt;&lt;B&gt;Customer  circumstances&lt;/B&gt;&lt;BR&gt;Residential Qualification = AU citizen&lt;BR&gt;Direct Credit details   = Coded&lt;BR&gt;TFN details = Coded&lt;BR&gt;Secondary Earner income = More than $ 27,613&lt;BR&gt;&lt;BR&gt;&lt;B&gt;Partner  circumstances&lt;/B&gt;&lt;BR&gt;Residential Qualification = AU citizen&lt;BR&gt;TFN details = Coded&lt;BR&gt;Primary Earner income = More than $100,000&lt;BR&gt;&lt;BR&gt;&lt;B&gt;Customer and Partner common circumstances&lt;/B&gt;&lt;BR&gt;Home ownership code = Home owner - HOM&lt;BR&gt;Relationship Qualifier = Blank&lt;BR&gt;Combined Income Limit = More than $99,414 per yr&lt;BR&gt;&lt;BR&gt;&lt;B&gt;Child  circumstances&lt;/B&gt;&lt;BR&gt;Number of Child(ren) = 1&lt;BR&gt;Age of Child = &lt;= 5yr&lt;BR&gt;Principal Care Type = Natural Care&lt;BR&gt;Care Percentage = 100% of Customer's care</v>
      </c>
      <c r="G16" s="29" t="str">
        <f ca="1">OFFSET(BuildTest!$D$207,MOD(ROW()-ROW($G$2),ROWS(BuildTest!$D$207:$D$207)),TRUNC((ROW()-ROW($G$2))/ROWS(BuildTest!$D$207:$D$207)),1,1)</f>
        <v>Verify Assessment and Eligibility outcome
&lt;BR&gt;&lt;BR&gt;Benefit Status=REJ-INC&lt;BR&gt;Review created on FAL screen=No Review&lt;BR&gt;Customer FTB (A) Status=CAN-INC&lt;BR&gt;Customer FTB (B) Status=REJ-INC&lt;BR&gt;Customer RA Status=N-NULL&lt;BR&gt;Child Eligibility FTB(A)=Y&lt;BR&gt;Child Eligibility FTB(B)=Y</v>
      </c>
    </row>
    <row r="17" spans="1:7" ht="409.6" thickBot="1">
      <c r="A17" s="30" t="str">
        <f ca="1">OFFSET(BuildTest!$D$169,MOD(ROW()-ROW($A$2),ROWS(BuildTest!$D$169:$D$169)),TRUNC((ROW()-ROW($A$2))/ROWS(BuildTest!$D$169:$D$169)),1,1)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ILB&lt;BR&gt;Combined Income Limit = Less than $99,414 per yr&lt;BR&gt;&lt;BR&gt;&lt;B&gt;Child  circumstances&lt;/B&gt;&lt;BR&gt;Number of Child(ren) = 1&lt;BR&gt;Age of Child = &lt;= 5yr&lt;BR&gt;Principal Care Type = Natural Care&lt;BR&gt;Care Percentage = 100% of Customer's care</v>
      </c>
      <c r="B17" s="28" t="str">
        <f ca="1">OFFSET(BuildTest!$D$175,MOD(ROW()-ROW($B$2),ROWS(BuildTest!$D$175:$D$175)),TRUNC((ROW()-ROW($B$2))/ROWS(BuildTest!$D$175:$D$175)),1,1)</f>
        <v>Nil</v>
      </c>
      <c r="C17" s="28" t="str">
        <f ca="1">OFFSET(BuildTest!$D$190,MOD(ROW()-ROW($C$2),ROWS(BuildTest!$D$190:$D$190)),TRUNC((ROW()-ROW($C$2))/ROWS(BuildTest!$D$190:$D$190)),1,1)</f>
        <v>&lt;BR&gt;&lt;BR&gt;Benefit Status=CUR&lt;BR&gt;Review created on FAL screen=No Review&lt;BR&gt;Customer FTB (A) Status=CUR&lt;BR&gt;Customer FTB (B) Status=CUR&lt;BR&gt;Customer RA Status=N-HOM&lt;BR&gt;Child Eligibility FTB(A)=Y&lt;BR&gt;Child Eligibility FTB(B)=Y</v>
      </c>
      <c r="D17" s="28" t="str">
        <f ca="1">OFFSET(BuildTest!$D$202,MOD(ROW()-ROW($D$2),ROWS(BuildTest!$D$202:$D$202)),TRUNC((ROW()-ROW($D$2))/ROWS(BuildTest!$D$202:$D$202)),1,1)</f>
        <v>FTB.Regression.NCL.Partnered customer.Relationship qualifier circ.ILB</v>
      </c>
      <c r="E17" s="28" t="s">
        <v>652</v>
      </c>
      <c r="F17" s="29" t="str">
        <f ca="1">OFFSET(BuildTest!$D$205,MOD(ROW()-ROW($F$2),ROWS(BuildTest!$C$205:$D$205)),TRUNC((ROW()-ROW($F$2))/ROWS(BuildTest!$C$205:$C$205)),1,1)</f>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ILB&lt;BR&gt;Combined Income Limit = Less than $99,414 per yr&lt;BR&gt;&lt;BR&gt;&lt;B&gt;Child  circumstances&lt;/B&gt;&lt;BR&gt;Number of Child(ren) = 1&lt;BR&gt;Age of Child = &lt;= 5yr&lt;BR&gt;Principal Care Type = Natural Care&lt;BR&gt;Care Percentage = 100% of Customer's care</v>
      </c>
      <c r="G17" s="29" t="str">
        <f ca="1">OFFSET(BuildTest!$D$207,MOD(ROW()-ROW($G$2),ROWS(BuildTest!$D$207:$D$207)),TRUNC((ROW()-ROW($G$2))/ROWS(BuildTest!$D$207:$D$207)),1,1)</f>
        <v>Verify Assessment and Eligibility outcome
&lt;BR&gt;&lt;BR&gt;Benefit Status=CUR&lt;BR&gt;Review created on FAL screen=No Review&lt;BR&gt;Customer FTB (A) Status=CUR&lt;BR&gt;Customer FTB (B) Status=CUR&lt;BR&gt;Customer RA Status=N-HOM&lt;BR&gt;Child Eligibility FTB(A)=Y&lt;BR&gt;Child Eligibility FTB(B)=Y</v>
      </c>
    </row>
    <row r="18" spans="1:7" ht="409.6" thickBot="1">
      <c r="A18" s="30" t="str">
        <f ca="1">OFFSET(BuildTest!$D$169,MOD(ROW()-ROW($A$2),ROWS(BuildTest!$D$169:$D$169)),TRUNC((ROW()-ROW($A$2))/ROWS(BuildTest!$D$169:$D$169)),1,1)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ILC&lt;BR&gt;Combined Income Limit = Less than $99,414 per yr&lt;BR&gt;&lt;BR&gt;&lt;B&gt;Child  circumstances&lt;/B&gt;&lt;BR&gt;Number of Child(ren) = 1&lt;BR&gt;Age of Child = &lt;= 5yr&lt;BR&gt;Principal Care Type = Natural Care&lt;BR&gt;Care Percentage = 100% of Customer's care</v>
      </c>
      <c r="B18" s="28" t="str">
        <f ca="1">OFFSET(BuildTest!$D$175,MOD(ROW()-ROW($B$2),ROWS(BuildTest!$D$175:$D$175)),TRUNC((ROW()-ROW($B$2))/ROWS(BuildTest!$D$175:$D$175)),1,1)</f>
        <v>Nil</v>
      </c>
      <c r="C18" s="28" t="str">
        <f ca="1">OFFSET(BuildTest!$D$190,MOD(ROW()-ROW($C$2),ROWS(BuildTest!$D$190:$D$190)),TRUNC((ROW()-ROW($C$2))/ROWS(BuildTest!$D$190:$D$190)),1,1)</f>
        <v>&lt;BR&gt;&lt;BR&gt;Benefit Status=CUR&lt;BR&gt;Review created on FAL screen=No Review&lt;BR&gt;Customer FTB (A) Status=CUR&lt;BR&gt;Customer FTB (B) Status=CUR&lt;BR&gt;Customer RA Status=N-HOM&lt;BR&gt;Child Eligibility FTB(A)=Y&lt;BR&gt;Child Eligibility FTB(B)=Y</v>
      </c>
      <c r="D18" s="28" t="str">
        <f ca="1">OFFSET(BuildTest!$D$202,MOD(ROW()-ROW($D$2),ROWS(BuildTest!$D$202:$D$202)),TRUNC((ROW()-ROW($D$2))/ROWS(BuildTest!$D$202:$D$202)),1,1)</f>
        <v>FTB.Regression.NCL.Partnered customer.Relationship qualifier circ.ILC</v>
      </c>
      <c r="E18" s="28" t="s">
        <v>653</v>
      </c>
      <c r="F18" s="29" t="str">
        <f ca="1">OFFSET(BuildTest!$D$205,MOD(ROW()-ROW($F$2),ROWS(BuildTest!$C$205:$D$205)),TRUNC((ROW()-ROW($F$2))/ROWS(BuildTest!$C$205:$C$205)),1,1)</f>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ILC&lt;BR&gt;Combined Income Limit = Less than $99,414 per yr&lt;BR&gt;&lt;BR&gt;&lt;B&gt;Child  circumstances&lt;/B&gt;&lt;BR&gt;Number of Child(ren) = 1&lt;BR&gt;Age of Child = &lt;= 5yr&lt;BR&gt;Principal Care Type = Natural Care&lt;BR&gt;Care Percentage = 100% of Customer's care</v>
      </c>
      <c r="G18" s="29" t="str">
        <f ca="1">OFFSET(BuildTest!$D$207,MOD(ROW()-ROW($G$2),ROWS(BuildTest!$D$207:$D$207)),TRUNC((ROW()-ROW($G$2))/ROWS(BuildTest!$D$207:$D$207)),1,1)</f>
        <v>Verify Assessment and Eligibility outcome
&lt;BR&gt;&lt;BR&gt;Benefit Status=CUR&lt;BR&gt;Review created on FAL screen=No Review&lt;BR&gt;Customer FTB (A) Status=CUR&lt;BR&gt;Customer FTB (B) Status=CUR&lt;BR&gt;Customer RA Status=N-HOM&lt;BR&gt;Child Eligibility FTB(A)=Y&lt;BR&gt;Child Eligibility FTB(B)=Y</v>
      </c>
    </row>
    <row r="19" spans="1:7" ht="409.6" thickBot="1">
      <c r="A19" s="30" t="str">
        <f ca="1">OFFSET(BuildTest!$D$169,MOD(ROW()-ROW($A$2),ROWS(BuildTest!$D$169:$D$169)),TRUNC((ROW()-ROW($A$2))/ROWS(BuildTest!$D$169:$D$169)),1,1)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ILP&lt;BR&gt;Combined Income Limit = Less than $99,414 per yr&lt;BR&gt;&lt;BR&gt;&lt;B&gt;Child  circumstances&lt;/B&gt;&lt;BR&gt;Number of Child(ren) = 1&lt;BR&gt;Age of Child = &lt;= 5yr&lt;BR&gt;Principal Care Type = Natural Care&lt;BR&gt;Care Percentage = 100% of Customer's care</v>
      </c>
      <c r="B19" s="28" t="str">
        <f ca="1">OFFSET(BuildTest!$D$175,MOD(ROW()-ROW($B$2),ROWS(BuildTest!$D$175:$D$175)),TRUNC((ROW()-ROW($B$2))/ROWS(BuildTest!$D$175:$D$175)),1,1)</f>
        <v>Nil</v>
      </c>
      <c r="C19" s="28" t="str">
        <f ca="1">OFFSET(BuildTest!$D$190,MOD(ROW()-ROW($C$2),ROWS(BuildTest!$D$190:$D$190)),TRUNC((ROW()-ROW($C$2))/ROWS(BuildTest!$D$190:$D$190)),1,1)</f>
        <v>&lt;BR&gt;&lt;BR&gt;Benefit Status=CUR&lt;BR&gt;Review created on FAL screen=No Review&lt;BR&gt;Customer FTB (A) Status=CUR&lt;BR&gt;Customer FTB (B) Status=CUR&lt;BR&gt;Customer RA Status=N-HOM&lt;BR&gt;Child Eligibility FTB(A)=Y&lt;BR&gt;Child Eligibility FTB(B)=Y</v>
      </c>
      <c r="D19" s="28" t="str">
        <f ca="1">OFFSET(BuildTest!$D$202,MOD(ROW()-ROW($D$2),ROWS(BuildTest!$D$202:$D$202)),TRUNC((ROW()-ROW($D$2))/ROWS(BuildTest!$D$202:$D$202)),1,1)</f>
        <v>FTB.Regression.NCL.Partnered customer.Relationship qualifier circ.ILP</v>
      </c>
      <c r="E19" s="28" t="s">
        <v>654</v>
      </c>
      <c r="F19" s="29" t="str">
        <f ca="1">OFFSET(BuildTest!$D$205,MOD(ROW()-ROW($F$2),ROWS(BuildTest!$C$205:$D$205)),TRUNC((ROW()-ROW($F$2))/ROWS(BuildTest!$C$205:$C$205)),1,1)</f>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ILP&lt;BR&gt;Combined Income Limit = Less than $99,414 per yr&lt;BR&gt;&lt;BR&gt;&lt;B&gt;Child  circumstances&lt;/B&gt;&lt;BR&gt;Number of Child(ren) = 1&lt;BR&gt;Age of Child = &lt;= 5yr&lt;BR&gt;Principal Care Type = Natural Care&lt;BR&gt;Care Percentage = 100% of Customer's care</v>
      </c>
      <c r="G19" s="29" t="str">
        <f ca="1">OFFSET(BuildTest!$D$207,MOD(ROW()-ROW($G$2),ROWS(BuildTest!$D$207:$D$207)),TRUNC((ROW()-ROW($G$2))/ROWS(BuildTest!$D$207:$D$207)),1,1)</f>
        <v>Verify Assessment and Eligibility outcome
&lt;BR&gt;&lt;BR&gt;Benefit Status=CUR&lt;BR&gt;Review created on FAL screen=No Review&lt;BR&gt;Customer FTB (A) Status=CUR&lt;BR&gt;Customer FTB (B) Status=CUR&lt;BR&gt;Customer RA Status=N-HOM&lt;BR&gt;Child Eligibility FTB(A)=Y&lt;BR&gt;Child Eligibility FTB(B)=Y</v>
      </c>
    </row>
    <row r="20" spans="1:7" ht="409.6" thickBot="1">
      <c r="A20" s="30" t="str">
        <f ca="1">OFFSET(BuildTest!$D$169,MOD(ROW()-ROW($A$2),ROWS(BuildTest!$D$169:$D$169)),TRUNC((ROW()-ROW($A$2))/ROWS(BuildTest!$D$169:$D$169)),1,1)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0&lt;BR&gt;Combined Income Limit = Less than $99,414 per yr&lt;BR&gt;&lt;BR&gt;&lt;B&gt;Child  circumstances&lt;/B&gt;&lt;BR&gt;Number of Child(ren) = 1&lt;BR&gt;Age of Child = &lt;= 5yr&lt;BR&gt;Principal Care Type = Natural Care&lt;BR&gt;Care Percentage = 100% of Customer's care</v>
      </c>
      <c r="B20" s="28" t="str">
        <f ca="1">OFFSET(BuildTest!$D$175,MOD(ROW()-ROW($B$2),ROWS(BuildTest!$D$175:$D$175)),TRUNC((ROW()-ROW($B$2))/ROWS(BuildTest!$D$175:$D$175)),1,1)</f>
        <v>Nil</v>
      </c>
      <c r="C20" s="28" t="str">
        <f ca="1">OFFSET(BuildTest!$D$190,MOD(ROW()-ROW($C$2),ROWS(BuildTest!$D$190:$D$190)),TRUNC((ROW()-ROW($C$2))/ROWS(BuildTest!$D$190:$D$190)),1,1)</f>
        <v>&lt;BR&gt;&lt;BR&gt;Benefit Status=CUR&lt;BR&gt;Review created on FAL screen=No Review&lt;BR&gt;Customer FTB (A) Status=CUR&lt;BR&gt;Customer FTB (B) Status=CUR&lt;BR&gt;Customer RA Status=N-HOM&lt;BR&gt;Child Eligibility FTB(A)=Y&lt;BR&gt;Child Eligibility FTB(B)=Y</v>
      </c>
      <c r="D20" s="28" t="str">
        <f ca="1">OFFSET(BuildTest!$D$202,MOD(ROW()-ROW($D$2),ROWS(BuildTest!$D$202:$D$202)),TRUNC((ROW()-ROW($D$2))/ROWS(BuildTest!$D$202:$D$202)),1,1)</f>
        <v>FTB.Regression.NCL.Partnered customer.Relationship qualifier circ.TEB</v>
      </c>
      <c r="E20" s="28" t="s">
        <v>655</v>
      </c>
      <c r="F20" s="29" t="str">
        <f ca="1">OFFSET(BuildTest!$D$205,MOD(ROW()-ROW($F$2),ROWS(BuildTest!$C$205:$D$205)),TRUNC((ROW()-ROW($F$2))/ROWS(BuildTest!$C$205:$C$205)),1,1)</f>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0&lt;BR&gt;Combined Income Limit = Less than $99,414 per yr&lt;BR&gt;&lt;BR&gt;&lt;B&gt;Child  circumstances&lt;/B&gt;&lt;BR&gt;Number of Child(ren) = 1&lt;BR&gt;Age of Child = &lt;= 5yr&lt;BR&gt;Principal Care Type = Natural Care&lt;BR&gt;Care Percentage = 100% of Customer's care</v>
      </c>
      <c r="G20" s="29" t="str">
        <f ca="1">OFFSET(BuildTest!$D$207,MOD(ROW()-ROW($G$2),ROWS(BuildTest!$D$207:$D$207)),TRUNC((ROW()-ROW($G$2))/ROWS(BuildTest!$D$207:$D$207)),1,1)</f>
        <v>Verify Assessment and Eligibility outcome
&lt;BR&gt;&lt;BR&gt;Benefit Status=CUR&lt;BR&gt;Review created on FAL screen=No Review&lt;BR&gt;Customer FTB (A) Status=CUR&lt;BR&gt;Customer FTB (B) Status=CUR&lt;BR&gt;Customer RA Status=N-HOM&lt;BR&gt;Child Eligibility FTB(A)=Y&lt;BR&gt;Child Eligibility FTB(B)=Y</v>
      </c>
    </row>
    <row r="21" spans="1:7" ht="409.6" thickBot="1">
      <c r="A21" s="30" t="str">
        <f ca="1">OFFSET(BuildTest!$D$169,MOD(ROW()-ROW($A$2),ROWS(BuildTest!$D$169:$D$169)),TRUNC((ROW()-ROW($A$2))/ROWS(BuildTest!$D$169:$D$169)),1,1)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TEC&lt;BR&gt;Combined Income Limit = Less than $99,414 per yr&lt;BR&gt;&lt;BR&gt;&lt;B&gt;Child  circumstances&lt;/B&gt;&lt;BR&gt;Number of Child(ren) = 1&lt;BR&gt;Age of Child = &lt;= 5yr&lt;BR&gt;Principal Care Type = Natural Care&lt;BR&gt;Care Percentage = 100% of Customer's care</v>
      </c>
      <c r="B21" s="28" t="str">
        <f ca="1">OFFSET(BuildTest!$D$175,MOD(ROW()-ROW($B$2),ROWS(BuildTest!$D$175:$D$175)),TRUNC((ROW()-ROW($B$2))/ROWS(BuildTest!$D$175:$D$175)),1,1)</f>
        <v>Nil</v>
      </c>
      <c r="C21" s="28" t="str">
        <f ca="1">OFFSET(BuildTest!$D$190,MOD(ROW()-ROW($C$2),ROWS(BuildTest!$D$190:$D$190)),TRUNC((ROW()-ROW($C$2))/ROWS(BuildTest!$D$190:$D$190)),1,1)</f>
        <v>&lt;BR&gt;&lt;BR&gt;Benefit Status=CUR&lt;BR&gt;Review created on FAL screen=No Review&lt;BR&gt;Customer FTB (A) Status=CUR&lt;BR&gt;Customer FTB (B) Status=CUR&lt;BR&gt;Customer RA Status=N-HOM&lt;BR&gt;Child Eligibility FTB(A)=Y&lt;BR&gt;Child Eligibility FTB(B)=Y</v>
      </c>
      <c r="D21" s="28" t="str">
        <f ca="1">OFFSET(BuildTest!$D$202,MOD(ROW()-ROW($D$2),ROWS(BuildTest!$D$202:$D$202)),TRUNC((ROW()-ROW($D$2))/ROWS(BuildTest!$D$202:$D$202)),1,1)</f>
        <v>FTB.Regression.NCL.Partnered customer.Relationship qualifier circ.TEC</v>
      </c>
      <c r="E21" s="28" t="s">
        <v>656</v>
      </c>
      <c r="F21" s="29" t="str">
        <f ca="1">OFFSET(BuildTest!$D$205,MOD(ROW()-ROW($F$2),ROWS(BuildTest!$C$205:$D$205)),TRUNC((ROW()-ROW($F$2))/ROWS(BuildTest!$C$205:$C$205)),1,1)</f>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TEC&lt;BR&gt;Combined Income Limit = Less than $99,414 per yr&lt;BR&gt;&lt;BR&gt;&lt;B&gt;Child  circumstances&lt;/B&gt;&lt;BR&gt;Number of Child(ren) = 1&lt;BR&gt;Age of Child = &lt;= 5yr&lt;BR&gt;Principal Care Type = Natural Care&lt;BR&gt;Care Percentage = 100% of Customer's care</v>
      </c>
      <c r="G21" s="29" t="str">
        <f ca="1">OFFSET(BuildTest!$D$207,MOD(ROW()-ROW($G$2),ROWS(BuildTest!$D$207:$D$207)),TRUNC((ROW()-ROW($G$2))/ROWS(BuildTest!$D$207:$D$207)),1,1)</f>
        <v>Verify Assessment and Eligibility outcome
&lt;BR&gt;&lt;BR&gt;Benefit Status=CUR&lt;BR&gt;Review created on FAL screen=No Review&lt;BR&gt;Customer FTB (A) Status=CUR&lt;BR&gt;Customer FTB (B) Status=CUR&lt;BR&gt;Customer RA Status=N-HOM&lt;BR&gt;Child Eligibility FTB(A)=Y&lt;BR&gt;Child Eligibility FTB(B)=Y</v>
      </c>
    </row>
    <row r="22" spans="1:7" ht="409.6" thickBot="1">
      <c r="A22" s="30" t="str">
        <f ca="1">OFFSET(BuildTest!$D$169,MOD(ROW()-ROW($A$2),ROWS(BuildTest!$D$169:$D$169)),TRUNC((ROW()-ROW($A$2))/ROWS(BuildTest!$D$169:$D$169)),1,1)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TEP&lt;BR&gt;Combined Income Limit = Less than $99,414 per yr&lt;BR&gt;&lt;BR&gt;&lt;B&gt;Child  circumstances&lt;/B&gt;&lt;BR&gt;Number of Child(ren) = 1&lt;BR&gt;Age of Child = &lt;= 5yr&lt;BR&gt;Principal Care Type = Natural Care&lt;BR&gt;Care Percentage = 100% of Customer's care</v>
      </c>
      <c r="B22" s="28" t="str">
        <f ca="1">OFFSET(BuildTest!$D$175,MOD(ROW()-ROW($B$2),ROWS(BuildTest!$D$175:$D$175)),TRUNC((ROW()-ROW($B$2))/ROWS(BuildTest!$D$175:$D$175)),1,1)</f>
        <v>Nil</v>
      </c>
      <c r="C22" s="28" t="str">
        <f ca="1">OFFSET(BuildTest!$D$190,MOD(ROW()-ROW($C$2),ROWS(BuildTest!$D$190:$D$190)),TRUNC((ROW()-ROW($C$2))/ROWS(BuildTest!$D$190:$D$190)),1,1)</f>
        <v>&lt;BR&gt;&lt;BR&gt;Benefit Status=CUR&lt;BR&gt;Review created on FAL screen=No Review&lt;BR&gt;Customer FTB (A) Status=CUR&lt;BR&gt;Customer FTB (B) Status=CUR&lt;BR&gt;Customer RA Status=N-HOM&lt;BR&gt;Child Eligibility FTB(A)=Y&lt;BR&gt;Child Eligibility FTB(B)=Y</v>
      </c>
      <c r="D22" s="28" t="str">
        <f ca="1">OFFSET(BuildTest!$D$202,MOD(ROW()-ROW($D$2),ROWS(BuildTest!$D$202:$D$202)),TRUNC((ROW()-ROW($D$2))/ROWS(BuildTest!$D$202:$D$202)),1,1)</f>
        <v>FTB.Regression.NCL.Partnered customer.Relationship qualifier circ.TEP</v>
      </c>
      <c r="E22" s="28" t="s">
        <v>657</v>
      </c>
      <c r="F22" s="29" t="str">
        <f ca="1">OFFSET(BuildTest!$D$205,MOD(ROW()-ROW($F$2),ROWS(BuildTest!$C$205:$D$205)),TRUNC((ROW()-ROW($F$2))/ROWS(BuildTest!$C$205:$C$205)),1,1)</f>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TEP&lt;BR&gt;Combined Income Limit = Less than $99,414 per yr&lt;BR&gt;&lt;BR&gt;&lt;B&gt;Child  circumstances&lt;/B&gt;&lt;BR&gt;Number of Child(ren) = 1&lt;BR&gt;Age of Child = &lt;= 5yr&lt;BR&gt;Principal Care Type = Natural Care&lt;BR&gt;Care Percentage = 100% of Customer's care</v>
      </c>
      <c r="G22" s="29" t="str">
        <f ca="1">OFFSET(BuildTest!$D$207,MOD(ROW()-ROW($G$2),ROWS(BuildTest!$D$207:$D$207)),TRUNC((ROW()-ROW($G$2))/ROWS(BuildTest!$D$207:$D$207)),1,1)</f>
        <v>Verify Assessment and Eligibility outcome
&lt;BR&gt;&lt;BR&gt;Benefit Status=CUR&lt;BR&gt;Review created on FAL screen=No Review&lt;BR&gt;Customer FTB (A) Status=CUR&lt;BR&gt;Customer FTB (B) Status=CUR&lt;BR&gt;Customer RA Status=N-HOM&lt;BR&gt;Child Eligibility FTB(A)=Y&lt;BR&gt;Child Eligibility FTB(B)=Y</v>
      </c>
    </row>
    <row r="23" spans="1:7" ht="409.6" thickBot="1">
      <c r="A23" s="30" t="str">
        <f ca="1">OFFSET(BuildTest!$D$169,MOD(ROW()-ROW($A$2),ROWS(BuildTest!$D$169:$D$169)),TRUNC((ROW()-ROW($A$2))/ROWS(BuildTest!$D$169:$D$169)),1,1)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GAC&lt;BR&gt;Combined Income Limit = Less than $99,414 per yr&lt;BR&gt;&lt;BR&gt;&lt;B&gt;Child  circumstances&lt;/B&gt;&lt;BR&gt;Number of Child(ren) = 1&lt;BR&gt;Age of Child = &lt;= 5yr&lt;BR&gt;Principal Care Type = Natural Care&lt;BR&gt;Care Percentage = 100% of Customer's care</v>
      </c>
      <c r="B23" s="28" t="str">
        <f ca="1">OFFSET(BuildTest!$D$175,MOD(ROW()-ROW($B$2),ROWS(BuildTest!$D$175:$D$175)),TRUNC((ROW()-ROW($B$2))/ROWS(BuildTest!$D$175:$D$175)),1,1)</f>
        <v>Nil</v>
      </c>
      <c r="C23" s="28" t="str">
        <f ca="1">OFFSET(BuildTest!$D$190,MOD(ROW()-ROW($C$2),ROWS(BuildTest!$D$190:$D$190)),TRUNC((ROW()-ROW($C$2))/ROWS(BuildTest!$D$190:$D$190)),1,1)</f>
        <v>&lt;BR&gt;&lt;BR&gt;Benefit Status=CUR&lt;BR&gt;Review created on FAL screen=No Review&lt;BR&gt;Customer FTB (A) Status=CUR&lt;BR&gt;Customer FTB (B) Status=CUR&lt;BR&gt;Customer RA Status=N-HOM&lt;BR&gt;Child Eligibility FTB(A)=Y&lt;BR&gt;Child Eligibility FTB(B)=Y</v>
      </c>
      <c r="D23" s="28" t="str">
        <f ca="1">OFFSET(BuildTest!$D$202,MOD(ROW()-ROW($D$2),ROWS(BuildTest!$D$202:$D$202)),TRUNC((ROW()-ROW($D$2))/ROWS(BuildTest!$D$202:$D$202)),1,1)</f>
        <v>FTB.Regression.NCL.Partnered customer.Relationship qualifier circ.GAC</v>
      </c>
      <c r="E23" s="28" t="s">
        <v>658</v>
      </c>
      <c r="F23" s="29" t="str">
        <f ca="1">OFFSET(BuildTest!$D$205,MOD(ROW()-ROW($F$2),ROWS(BuildTest!$C$205:$D$205)),TRUNC((ROW()-ROW($F$2))/ROWS(BuildTest!$C$205:$C$205)),1,1)</f>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GAC&lt;BR&gt;Combined Income Limit = Less than $99,414 per yr&lt;BR&gt;&lt;BR&gt;&lt;B&gt;Child  circumstances&lt;/B&gt;&lt;BR&gt;Number of Child(ren) = 1&lt;BR&gt;Age of Child = &lt;= 5yr&lt;BR&gt;Principal Care Type = Natural Care&lt;BR&gt;Care Percentage = 100% of Customer's care</v>
      </c>
      <c r="G23" s="29" t="str">
        <f ca="1">OFFSET(BuildTest!$D$207,MOD(ROW()-ROW($G$2),ROWS(BuildTest!$D$207:$D$207)),TRUNC((ROW()-ROW($G$2))/ROWS(BuildTest!$D$207:$D$207)),1,1)</f>
        <v>Verify Assessment and Eligibility outcome
&lt;BR&gt;&lt;BR&gt;Benefit Status=CUR&lt;BR&gt;Review created on FAL screen=No Review&lt;BR&gt;Customer FTB (A) Status=CUR&lt;BR&gt;Customer FTB (B) Status=CUR&lt;BR&gt;Customer RA Status=N-HOM&lt;BR&gt;Child Eligibility FTB(A)=Y&lt;BR&gt;Child Eligibility FTB(B)=Y</v>
      </c>
    </row>
    <row r="24" spans="1:7" ht="409.6" thickBot="1">
      <c r="A24" s="30" t="str">
        <f ca="1">OFFSET(BuildTest!$D$169,MOD(ROW()-ROW($A$2),ROWS(BuildTest!$D$169:$D$169)),TRUNC((ROW()-ROW($A$2))/ROWS(BuildTest!$D$169:$D$169)),1,1)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GAP&lt;BR&gt;Combined Income Limit = Less than $99,414 per yr&lt;BR&gt;&lt;BR&gt;&lt;B&gt;Child  circumstances&lt;/B&gt;&lt;BR&gt;Number of Child(ren) = 1&lt;BR&gt;Age of Child = &lt;= 5yr&lt;BR&gt;Principal Care Type = Natural Care&lt;BR&gt;Care Percentage = 100% of Customer's care</v>
      </c>
      <c r="B24" s="28" t="str">
        <f ca="1">OFFSET(BuildTest!$D$175,MOD(ROW()-ROW($B$2),ROWS(BuildTest!$D$175:$D$175)),TRUNC((ROW()-ROW($B$2))/ROWS(BuildTest!$D$175:$D$175)),1,1)</f>
        <v>Nil</v>
      </c>
      <c r="C24" s="28" t="str">
        <f ca="1">OFFSET(BuildTest!$D$190,MOD(ROW()-ROW($C$2),ROWS(BuildTest!$D$190:$D$190)),TRUNC((ROW()-ROW($C$2))/ROWS(BuildTest!$D$190:$D$190)),1,1)</f>
        <v>&lt;BR&gt;&lt;BR&gt;Benefit Status=CUR&lt;BR&gt;Review created on FAL screen=No Review&lt;BR&gt;Customer FTB (A) Status=CUR&lt;BR&gt;Customer FTB (B) Status=CUR&lt;BR&gt;Customer RA Status=N-HOM&lt;BR&gt;Child Eligibility FTB(A)=Y&lt;BR&gt;Child Eligibility FTB(B)=Y</v>
      </c>
      <c r="D24" s="28" t="str">
        <f ca="1">OFFSET(BuildTest!$D$202,MOD(ROW()-ROW($D$2),ROWS(BuildTest!$D$202:$D$202)),TRUNC((ROW()-ROW($D$2))/ROWS(BuildTest!$D$202:$D$202)),1,1)</f>
        <v>FTB.Regression.NCL.Partnered customer.Relationship qualifier circ.GAP</v>
      </c>
      <c r="E24" s="28" t="s">
        <v>659</v>
      </c>
      <c r="F24" s="29" t="str">
        <f ca="1">OFFSET(BuildTest!$D$205,MOD(ROW()-ROW($F$2),ROWS(BuildTest!$C$205:$D$205)),TRUNC((ROW()-ROW($F$2))/ROWS(BuildTest!$C$205:$C$205)),1,1)</f>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GAP&lt;BR&gt;Combined Income Limit = Less than $99,414 per yr&lt;BR&gt;&lt;BR&gt;&lt;B&gt;Child  circumstances&lt;/B&gt;&lt;BR&gt;Number of Child(ren) = 1&lt;BR&gt;Age of Child = &lt;= 5yr&lt;BR&gt;Principal Care Type = Natural Care&lt;BR&gt;Care Percentage = 100% of Customer's care</v>
      </c>
      <c r="G24" s="29" t="str">
        <f ca="1">OFFSET(BuildTest!$D$207,MOD(ROW()-ROW($G$2),ROWS(BuildTest!$D$207:$D$207)),TRUNC((ROW()-ROW($G$2))/ROWS(BuildTest!$D$207:$D$207)),1,1)</f>
        <v>Verify Assessment and Eligibility outcome
&lt;BR&gt;&lt;BR&gt;Benefit Status=CUR&lt;BR&gt;Review created on FAL screen=No Review&lt;BR&gt;Customer FTB (A) Status=CUR&lt;BR&gt;Customer FTB (B) Status=CUR&lt;BR&gt;Customer RA Status=N-HOM&lt;BR&gt;Child Eligibility FTB(A)=Y&lt;BR&gt;Child Eligibility FTB(B)=Y</v>
      </c>
    </row>
    <row r="25" spans="1:7" ht="409.6" thickBot="1">
      <c r="A25" s="30" t="str">
        <f ca="1">OFFSET(BuildTest!$D$169,MOD(ROW()-ROW($A$2),ROWS(BuildTest!$D$169:$D$169)),TRUNC((ROW()-ROW($A$2))/ROWS(BuildTest!$D$169:$D$169)),1,1)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PSB&lt;BR&gt;Combined Income Limit = Less than $99,414 per yr&lt;BR&gt;&lt;BR&gt;&lt;B&gt;Child  circumstances&lt;/B&gt;&lt;BR&gt;Number of Child(ren) = 1&lt;BR&gt;Age of Child = &lt;= 5yr&lt;BR&gt;Principal Care Type = Natural Care&lt;BR&gt;Care Percentage = 100% of Customer's care</v>
      </c>
      <c r="B25" s="28" t="str">
        <f ca="1">OFFSET(BuildTest!$D$175,MOD(ROW()-ROW($B$2),ROWS(BuildTest!$D$175:$D$175)),TRUNC((ROW()-ROW($B$2))/ROWS(BuildTest!$D$175:$D$175)),1,1)</f>
        <v>Nil</v>
      </c>
      <c r="C25" s="28" t="str">
        <f ca="1">OFFSET(BuildTest!$D$190,MOD(ROW()-ROW($C$2),ROWS(BuildTest!$D$190:$D$190)),TRUNC((ROW()-ROW($C$2))/ROWS(BuildTest!$D$190:$D$190)),1,1)</f>
        <v>&lt;BR&gt;&lt;BR&gt;Benefit Status=CUR&lt;BR&gt;Review created on FAL screen=No Review&lt;BR&gt;Customer FTB (A) Status=CUR&lt;BR&gt;Customer FTB (B) Status=CUR&lt;BR&gt;Customer RA Status=N-HOM&lt;BR&gt;Child Eligibility FTB(A)=Y&lt;BR&gt;Child Eligibility FTB(B)=Y</v>
      </c>
      <c r="D25" s="28" t="str">
        <f ca="1">OFFSET(BuildTest!$D$202,MOD(ROW()-ROW($D$2),ROWS(BuildTest!$D$202:$D$202)),TRUNC((ROW()-ROW($D$2))/ROWS(BuildTest!$D$202:$D$202)),1,1)</f>
        <v>FTB.Regression.NCL.Partnered customer.Relationship qualifier circ.PSB</v>
      </c>
      <c r="E25" s="28" t="s">
        <v>660</v>
      </c>
      <c r="F25" s="29" t="str">
        <f ca="1">OFFSET(BuildTest!$D$205,MOD(ROW()-ROW($F$2),ROWS(BuildTest!$C$205:$D$205)),TRUNC((ROW()-ROW($F$2))/ROWS(BuildTest!$C$205:$C$205)),1,1)</f>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PSB&lt;BR&gt;Combined Income Limit = Less than $99,414 per yr&lt;BR&gt;&lt;BR&gt;&lt;B&gt;Child  circumstances&lt;/B&gt;&lt;BR&gt;Number of Child(ren) = 1&lt;BR&gt;Age of Child = &lt;= 5yr&lt;BR&gt;Principal Care Type = Natural Care&lt;BR&gt;Care Percentage = 100% of Customer's care</v>
      </c>
      <c r="G25" s="29" t="str">
        <f ca="1">OFFSET(BuildTest!$D$207,MOD(ROW()-ROW($G$2),ROWS(BuildTest!$D$207:$D$207)),TRUNC((ROW()-ROW($G$2))/ROWS(BuildTest!$D$207:$D$207)),1,1)</f>
        <v>Verify Assessment and Eligibility outcome
&lt;BR&gt;&lt;BR&gt;Benefit Status=CUR&lt;BR&gt;Review created on FAL screen=No Review&lt;BR&gt;Customer FTB (A) Status=CUR&lt;BR&gt;Customer FTB (B) Status=CUR&lt;BR&gt;Customer RA Status=N-HOM&lt;BR&gt;Child Eligibility FTB(A)=Y&lt;BR&gt;Child Eligibility FTB(B)=Y</v>
      </c>
    </row>
    <row r="26" spans="1:7" ht="409.6" thickBot="1">
      <c r="A26" s="30" t="str">
        <f ca="1">OFFSET(BuildTest!$D$169,MOD(ROW()-ROW($A$2),ROWS(BuildTest!$D$169:$D$169)),TRUNC((ROW()-ROW($A$2))/ROWS(BuildTest!$D$169:$D$169)),1,1)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PSC&lt;BR&gt;Combined Income Limit = Less than $99,414 per yr&lt;BR&gt;&lt;BR&gt;&lt;B&gt;Child  circumstances&lt;/B&gt;&lt;BR&gt;Number of Child(ren) = 1&lt;BR&gt;Age of Child = &lt;= 5yr&lt;BR&gt;Principal Care Type = Natural Care&lt;BR&gt;Care Percentage = 100% of Customer's care</v>
      </c>
      <c r="B26" s="28" t="str">
        <f ca="1">OFFSET(BuildTest!$D$175,MOD(ROW()-ROW($B$2),ROWS(BuildTest!$D$175:$D$175)),TRUNC((ROW()-ROW($B$2))/ROWS(BuildTest!$D$175:$D$175)),1,1)</f>
        <v>Nil</v>
      </c>
      <c r="C26" s="28" t="str">
        <f ca="1">OFFSET(BuildTest!$D$190,MOD(ROW()-ROW($C$2),ROWS(BuildTest!$D$190:$D$190)),TRUNC((ROW()-ROW($C$2))/ROWS(BuildTest!$D$190:$D$190)),1,1)</f>
        <v>&lt;BR&gt;&lt;BR&gt;Benefit Status=CUR&lt;BR&gt;Review created on FAL screen=No Review&lt;BR&gt;Customer FTB (A) Status=CUR&lt;BR&gt;Customer FTB (B) Status=CUR&lt;BR&gt;Customer RA Status=N-HOM&lt;BR&gt;Child Eligibility FTB(A)=Y&lt;BR&gt;Child Eligibility FTB(B)=Y</v>
      </c>
      <c r="D26" s="28" t="str">
        <f ca="1">OFFSET(BuildTest!$D$202,MOD(ROW()-ROW($D$2),ROWS(BuildTest!$D$202:$D$202)),TRUNC((ROW()-ROW($D$2))/ROWS(BuildTest!$D$202:$D$202)),1,1)</f>
        <v>FTB.Regression.NCL.Partnered customer.Relationship qualifier circ.PSC</v>
      </c>
      <c r="E26" s="28" t="s">
        <v>661</v>
      </c>
      <c r="F26" s="29" t="str">
        <f ca="1">OFFSET(BuildTest!$D$205,MOD(ROW()-ROW($F$2),ROWS(BuildTest!$C$205:$D$205)),TRUNC((ROW()-ROW($F$2))/ROWS(BuildTest!$C$205:$C$205)),1,1)</f>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PSC&lt;BR&gt;Combined Income Limit = Less than $99,414 per yr&lt;BR&gt;&lt;BR&gt;&lt;B&gt;Child  circumstances&lt;/B&gt;&lt;BR&gt;Number of Child(ren) = 1&lt;BR&gt;Age of Child = &lt;= 5yr&lt;BR&gt;Principal Care Type = Natural Care&lt;BR&gt;Care Percentage = 100% of Customer's care</v>
      </c>
      <c r="G26" s="29" t="str">
        <f ca="1">OFFSET(BuildTest!$D$207,MOD(ROW()-ROW($G$2),ROWS(BuildTest!$D$207:$D$207)),TRUNC((ROW()-ROW($G$2))/ROWS(BuildTest!$D$207:$D$207)),1,1)</f>
        <v>Verify Assessment and Eligibility outcome
&lt;BR&gt;&lt;BR&gt;Benefit Status=CUR&lt;BR&gt;Review created on FAL screen=No Review&lt;BR&gt;Customer FTB (A) Status=CUR&lt;BR&gt;Customer FTB (B) Status=CUR&lt;BR&gt;Customer RA Status=N-HOM&lt;BR&gt;Child Eligibility FTB(A)=Y&lt;BR&gt;Child Eligibility FTB(B)=Y</v>
      </c>
    </row>
    <row r="27" spans="1:7" ht="409.6" thickBot="1">
      <c r="A27" s="30" t="str">
        <f ca="1">OFFSET(BuildTest!$D$169,MOD(ROW()-ROW($A$2),ROWS(BuildTest!$D$169:$D$169)),TRUNC((ROW()-ROW($A$2))/ROWS(BuildTest!$D$169:$D$169)),1,1)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PSP&lt;BR&gt;Combined Income Limit = Less than $99,414 per yr&lt;BR&gt;&lt;BR&gt;&lt;B&gt;Child  circumstances&lt;/B&gt;&lt;BR&gt;Number of Child(ren) = 1&lt;BR&gt;Age of Child = &lt;= 5yr&lt;BR&gt;Principal Care Type = Natural Care&lt;BR&gt;Care Percentage = 100% of Customer's care</v>
      </c>
      <c r="B27" s="28" t="str">
        <f ca="1">OFFSET(BuildTest!$D$175,MOD(ROW()-ROW($B$2),ROWS(BuildTest!$D$175:$D$175)),TRUNC((ROW()-ROW($B$2))/ROWS(BuildTest!$D$175:$D$175)),1,1)</f>
        <v>Nil</v>
      </c>
      <c r="C27" s="28" t="str">
        <f ca="1">OFFSET(BuildTest!$D$190,MOD(ROW()-ROW($C$2),ROWS(BuildTest!$D$190:$D$190)),TRUNC((ROW()-ROW($C$2))/ROWS(BuildTest!$D$190:$D$190)),1,1)</f>
        <v>&lt;BR&gt;&lt;BR&gt;Benefit Status=CUR&lt;BR&gt;Review created on FAL screen=No Review&lt;BR&gt;Customer FTB (A) Status=CUR&lt;BR&gt;Customer FTB (B) Status=CUR&lt;BR&gt;Customer RA Status=N-HOM&lt;BR&gt;Child Eligibility FTB(A)=Y&lt;BR&gt;Child Eligibility FTB(B)=Y</v>
      </c>
      <c r="D27" s="28" t="str">
        <f ca="1">OFFSET(BuildTest!$D$202,MOD(ROW()-ROW($D$2),ROWS(BuildTest!$D$202:$D$202)),TRUNC((ROW()-ROW($D$2))/ROWS(BuildTest!$D$202:$D$202)),1,1)</f>
        <v>FTB.Regression.NCL.Partnered customer.Relationship qualifier circ.PSP</v>
      </c>
      <c r="E27" s="28" t="s">
        <v>662</v>
      </c>
      <c r="F27" s="29" t="str">
        <f ca="1">OFFSET(BuildTest!$D$205,MOD(ROW()-ROW($F$2),ROWS(BuildTest!$C$205:$D$205)),TRUNC((ROW()-ROW($F$2))/ROWS(BuildTest!$C$205:$C$205)),1,1)</f>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PSP&lt;BR&gt;Combined Income Limit = Less than $99,414 per yr&lt;BR&gt;&lt;BR&gt;&lt;B&gt;Child  circumstances&lt;/B&gt;&lt;BR&gt;Number of Child(ren) = 1&lt;BR&gt;Age of Child = &lt;= 5yr&lt;BR&gt;Principal Care Type = Natural Care&lt;BR&gt;Care Percentage = 100% of Customer's care</v>
      </c>
      <c r="G27" s="29" t="str">
        <f ca="1">OFFSET(BuildTest!$D$207,MOD(ROW()-ROW($G$2),ROWS(BuildTest!$D$207:$D$207)),TRUNC((ROW()-ROW($G$2))/ROWS(BuildTest!$D$207:$D$207)),1,1)</f>
        <v>Verify Assessment and Eligibility outcome
&lt;BR&gt;&lt;BR&gt;Benefit Status=CUR&lt;BR&gt;Review created on FAL screen=No Review&lt;BR&gt;Customer FTB (A) Status=CUR&lt;BR&gt;Customer FTB (B) Status=CUR&lt;BR&gt;Customer RA Status=N-HOM&lt;BR&gt;Child Eligibility FTB(A)=Y&lt;BR&gt;Child Eligibility FTB(B)=Y</v>
      </c>
    </row>
    <row r="28" spans="1:7" ht="409.6" thickBot="1">
      <c r="A28" s="30" t="str">
        <f ca="1">OFFSET(BuildTest!$D$169,MOD(ROW()-ROW($A$2),ROWS(BuildTest!$D$169:$D$169)),TRUNC((ROW()-ROW($A$2))/ROWS(BuildTest!$D$169:$D$169)),1,1)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REC&lt;BR&gt;Combined Income Limit = Less than $99,414 per yr&lt;BR&gt;&lt;BR&gt;&lt;B&gt;Child  circumstances&lt;/B&gt;&lt;BR&gt;Number of Child(ren) = 1&lt;BR&gt;Age of Child = &lt;= 5yr&lt;BR&gt;Principal Care Type = Natural Care&lt;BR&gt;Care Percentage = 100% of Customer's care</v>
      </c>
      <c r="B28" s="28" t="str">
        <f ca="1">OFFSET(BuildTest!$D$175,MOD(ROW()-ROW($B$2),ROWS(BuildTest!$D$175:$D$175)),TRUNC((ROW()-ROW($B$2))/ROWS(BuildTest!$D$175:$D$175)),1,1)</f>
        <v>Nil</v>
      </c>
      <c r="C28" s="28" t="str">
        <f ca="1">OFFSET(BuildTest!$D$190,MOD(ROW()-ROW($C$2),ROWS(BuildTest!$D$190:$D$190)),TRUNC((ROW()-ROW($C$2))/ROWS(BuildTest!$D$190:$D$190)),1,1)</f>
        <v>&lt;BR&gt;&lt;BR&gt;Benefit Status=CUR&lt;BR&gt;Review created on FAL screen=No Review&lt;BR&gt;Customer FTB (A) Status=CUR&lt;BR&gt;Customer FTB (B) Status=CUR&lt;BR&gt;Customer RA Status=N-HOM&lt;BR&gt;Child Eligibility FTB(A)=Y&lt;BR&gt;Child Eligibility FTB(B)=Y</v>
      </c>
      <c r="D28" s="28" t="str">
        <f ca="1">OFFSET(BuildTest!$D$202,MOD(ROW()-ROW($D$2),ROWS(BuildTest!$D$202:$D$202)),TRUNC((ROW()-ROW($D$2))/ROWS(BuildTest!$D$202:$D$202)),1,1)</f>
        <v>FTB.Regression.NCL.Partnered customer.Relationship qualifier circ.REC</v>
      </c>
      <c r="E28" s="28" t="s">
        <v>663</v>
      </c>
      <c r="F28" s="29" t="str">
        <f ca="1">OFFSET(BuildTest!$D$205,MOD(ROW()-ROW($F$2),ROWS(BuildTest!$C$205:$D$205)),TRUNC((ROW()-ROW($F$2))/ROWS(BuildTest!$C$205:$C$205)),1,1)</f>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REC&lt;BR&gt;Combined Income Limit = Less than $99,414 per yr&lt;BR&gt;&lt;BR&gt;&lt;B&gt;Child  circumstances&lt;/B&gt;&lt;BR&gt;Number of Child(ren) = 1&lt;BR&gt;Age of Child = &lt;= 5yr&lt;BR&gt;Principal Care Type = Natural Care&lt;BR&gt;Care Percentage = 100% of Customer's care</v>
      </c>
      <c r="G28" s="29" t="str">
        <f ca="1">OFFSET(BuildTest!$D$207,MOD(ROW()-ROW($G$2),ROWS(BuildTest!$D$207:$D$207)),TRUNC((ROW()-ROW($G$2))/ROWS(BuildTest!$D$207:$D$207)),1,1)</f>
        <v>Verify Assessment and Eligibility outcome
&lt;BR&gt;&lt;BR&gt;Benefit Status=CUR&lt;BR&gt;Review created on FAL screen=No Review&lt;BR&gt;Customer FTB (A) Status=CUR&lt;BR&gt;Customer FTB (B) Status=CUR&lt;BR&gt;Customer RA Status=N-HOM&lt;BR&gt;Child Eligibility FTB(A)=Y&lt;BR&gt;Child Eligibility FTB(B)=Y</v>
      </c>
    </row>
    <row r="29" spans="1:7" ht="409.6" thickBot="1">
      <c r="A29" s="30" t="str">
        <f ca="1">OFFSET(BuildTest!$D$169,MOD(ROW()-ROW($A$2),ROWS(BuildTest!$D$169:$D$169)),TRUNC((ROW()-ROW($A$2))/ROWS(BuildTest!$D$169:$D$169)),1,1)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REP&lt;BR&gt;Combined Income Limit = Less than $99,414 per yr&lt;BR&gt;&lt;BR&gt;&lt;B&gt;Child  circumstances&lt;/B&gt;&lt;BR&gt;Number of Child(ren) = 1&lt;BR&gt;Age of Child = &lt;= 5yr&lt;BR&gt;Principal Care Type = Natural Care&lt;BR&gt;Care Percentage = 100% of Customer's care</v>
      </c>
      <c r="B29" s="28" t="str">
        <f ca="1">OFFSET(BuildTest!$D$175,MOD(ROW()-ROW($B$2),ROWS(BuildTest!$D$175:$D$175)),TRUNC((ROW()-ROW($B$2))/ROWS(BuildTest!$D$175:$D$175)),1,1)</f>
        <v>Nil</v>
      </c>
      <c r="C29" s="28" t="str">
        <f ca="1">OFFSET(BuildTest!$D$190,MOD(ROW()-ROW($C$2),ROWS(BuildTest!$D$190:$D$190)),TRUNC((ROW()-ROW($C$2))/ROWS(BuildTest!$D$190:$D$190)),1,1)</f>
        <v>&lt;BR&gt;&lt;BR&gt;Benefit Status=CUR&lt;BR&gt;Review created on FAL screen=No Review&lt;BR&gt;Customer FTB (A) Status=CUR&lt;BR&gt;Customer FTB (B) Status=CUR&lt;BR&gt;Customer RA Status=N-HOM&lt;BR&gt;Child Eligibility FTB(A)=Y&lt;BR&gt;Child Eligibility FTB(B)=Y</v>
      </c>
      <c r="D29" s="28" t="str">
        <f ca="1">OFFSET(BuildTest!$D$202,MOD(ROW()-ROW($D$2),ROWS(BuildTest!$D$202:$D$202)),TRUNC((ROW()-ROW($D$2))/ROWS(BuildTest!$D$202:$D$202)),1,1)</f>
        <v>FTB.Regression.NCL.Partnered customer.Relationship qualifier circ.REP</v>
      </c>
      <c r="E29" s="28" t="s">
        <v>664</v>
      </c>
      <c r="F29" s="29" t="str">
        <f ca="1">OFFSET(BuildTest!$D$205,MOD(ROW()-ROW($F$2),ROWS(BuildTest!$C$205:$D$205)),TRUNC((ROW()-ROW($F$2))/ROWS(BuildTest!$C$205:$C$205)),1,1)</f>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REP&lt;BR&gt;Combined Income Limit = Less than $99,414 per yr&lt;BR&gt;&lt;BR&gt;&lt;B&gt;Child  circumstances&lt;/B&gt;&lt;BR&gt;Number of Child(ren) = 1&lt;BR&gt;Age of Child = &lt;= 5yr&lt;BR&gt;Principal Care Type = Natural Care&lt;BR&gt;Care Percentage = 100% of Customer's care</v>
      </c>
      <c r="G29" s="29" t="str">
        <f ca="1">OFFSET(BuildTest!$D$207,MOD(ROW()-ROW($G$2),ROWS(BuildTest!$D$207:$D$207)),TRUNC((ROW()-ROW($G$2))/ROWS(BuildTest!$D$207:$D$207)),1,1)</f>
        <v>Verify Assessment and Eligibility outcome
&lt;BR&gt;&lt;BR&gt;Benefit Status=CUR&lt;BR&gt;Review created on FAL screen=No Review&lt;BR&gt;Customer FTB (A) Status=CUR&lt;BR&gt;Customer FTB (B) Status=CUR&lt;BR&gt;Customer RA Status=N-HOM&lt;BR&gt;Child Eligibility FTB(A)=Y&lt;BR&gt;Child Eligibility FTB(B)=Y</v>
      </c>
    </row>
    <row r="30" spans="1:7" ht="409.6" thickBot="1">
      <c r="A30" s="30" t="str">
        <f ca="1">OFFSET(BuildTest!$D$169,MOD(ROW()-ROW($A$2),ROWS(BuildTest!$D$169:$D$169)),TRUNC((ROW()-ROW($A$2))/ROWS(BuildTest!$D$169:$D$169)),1,1)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Spouse/Partner Visa Class&lt;BR&gt;TFN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B30" s="28" t="str">
        <f ca="1">OFFSET(BuildTest!$D$175,MOD(ROW()-ROW($B$2),ROWS(BuildTest!$D$175:$D$175)),TRUNC((ROW()-ROW($B$2))/ROWS(BuildTest!$D$175:$D$175)),1,1)</f>
        <v>Nil</v>
      </c>
      <c r="C30" s="28" t="str">
        <f ca="1">OFFSET(BuildTest!$D$190,MOD(ROW()-ROW($C$2),ROWS(BuildTest!$D$190:$D$190)),TRUNC((ROW()-ROW($C$2))/ROWS(BuildTest!$D$190:$D$190)),1,1)</f>
        <v>&lt;BR&gt;&lt;BR&gt;Benefit Status=CUR&lt;BR&gt;Review created on FAL screen=No Review&lt;BR&gt;Customer FTB (A) Status=CUR&lt;BR&gt;Customer FTB (B) Status=CUR&lt;BR&gt;Customer RA Status=N-HOM&lt;BR&gt;Child Eligibility FTB(A)=Y&lt;BR&gt;Child Eligibility FTB(B)=Y</v>
      </c>
      <c r="D30" s="28" t="str">
        <f ca="1">OFFSET(BuildTest!$D$202,MOD(ROW()-ROW($D$2),ROWS(BuildTest!$D$202:$D$202)),TRUNC((ROW()-ROW($D$2))/ROWS(BuildTest!$D$202:$D$202)),1,1)</f>
        <v>FTB.Regression.NCL.Partnered customer.Residency Circ.Citizen.SPV</v>
      </c>
      <c r="E30" s="28" t="s">
        <v>671</v>
      </c>
      <c r="F30" s="29" t="str">
        <f ca="1">OFFSET(BuildTest!$D$205,MOD(ROW()-ROW($F$2),ROWS(BuildTest!$C$205:$D$205)),TRUNC((ROW()-ROW($F$2))/ROWS(BuildTest!$C$205:$C$205)),1,1)</f>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Spouse/Partner Visa Class&lt;BR&gt;TFN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G30" s="29" t="str">
        <f ca="1">OFFSET(BuildTest!$D$207,MOD(ROW()-ROW($G$2),ROWS(BuildTest!$D$207:$D$207)),TRUNC((ROW()-ROW($G$2))/ROWS(BuildTest!$D$207:$D$207)),1,1)</f>
        <v>Verify Assessment and Eligibility outcome
&lt;BR&gt;&lt;BR&gt;Benefit Status=CUR&lt;BR&gt;Review created on FAL screen=No Review&lt;BR&gt;Customer FTB (A) Status=CUR&lt;BR&gt;Customer FTB (B) Status=CUR&lt;BR&gt;Customer RA Status=N-HOM&lt;BR&gt;Child Eligibility FTB(A)=Y&lt;BR&gt;Child Eligibility FTB(B)=Y</v>
      </c>
    </row>
    <row r="31" spans="1:7" ht="409.6" thickBot="1">
      <c r="A31" s="30" t="str">
        <f ca="1">OFFSET(BuildTest!$D$169,MOD(ROW()-ROW($A$2),ROWS(BuildTest!$D$169:$D$169)),TRUNC((ROW()-ROW($A$2))/ROWS(BuildTest!$D$169:$D$169)),1,1)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Temporary Visa Class&lt;BR&gt;TFN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B31" s="28" t="str">
        <f ca="1">OFFSET(BuildTest!$D$175,MOD(ROW()-ROW($B$2),ROWS(BuildTest!$D$175:$D$175)),TRUNC((ROW()-ROW($B$2))/ROWS(BuildTest!$D$175:$D$175)),1,1)</f>
        <v>Nil</v>
      </c>
      <c r="C31" s="28" t="str">
        <f ca="1">OFFSET(BuildTest!$D$190,MOD(ROW()-ROW($C$2),ROWS(BuildTest!$D$190:$D$190)),TRUNC((ROW()-ROW($C$2))/ROWS(BuildTest!$D$190:$D$190)),1,1)</f>
        <v>&lt;BR&gt;&lt;BR&gt;Benefit Status=CUR&lt;BR&gt;Review created on FAL screen=No Review&lt;BR&gt;Customer FTB (A) Status=CUR&lt;BR&gt;Customer FTB (B) Status=CUR&lt;BR&gt;Customer RA Status=N-HOM&lt;BR&gt;Child Eligibility FTB(A)=Y&lt;BR&gt;Child Eligibility FTB(B)=Y</v>
      </c>
      <c r="D31" s="28" t="str">
        <f ca="1">OFFSET(BuildTest!$D$202,MOD(ROW()-ROW($D$2),ROWS(BuildTest!$D$202:$D$202)),TRUNC((ROW()-ROW($D$2))/ROWS(BuildTest!$D$202:$D$202)),1,1)</f>
        <v>FTB.Regression.NCL.Partnered customer.Residency Circ.Citizen.TPV</v>
      </c>
      <c r="E31" s="28" t="s">
        <v>672</v>
      </c>
      <c r="F31" s="29" t="str">
        <f ca="1">OFFSET(BuildTest!$D$205,MOD(ROW()-ROW($F$2),ROWS(BuildTest!$C$205:$D$205)),TRUNC((ROW()-ROW($F$2))/ROWS(BuildTest!$C$205:$C$205)),1,1)</f>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Temporary Visa Class&lt;BR&gt;TFN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G31" s="29" t="str">
        <f ca="1">OFFSET(BuildTest!$D$207,MOD(ROW()-ROW($G$2),ROWS(BuildTest!$D$207:$D$207)),TRUNC((ROW()-ROW($G$2))/ROWS(BuildTest!$D$207:$D$207)),1,1)</f>
        <v>Verify Assessment and Eligibility outcome
&lt;BR&gt;&lt;BR&gt;Benefit Status=CUR&lt;BR&gt;Review created on FAL screen=No Review&lt;BR&gt;Customer FTB (A) Status=CUR&lt;BR&gt;Customer FTB (B) Status=CUR&lt;BR&gt;Customer RA Status=N-HOM&lt;BR&gt;Child Eligibility FTB(A)=Y&lt;BR&gt;Child Eligibility FTB(B)=Y</v>
      </c>
    </row>
    <row r="32" spans="1:7" ht="409.6" thickBot="1">
      <c r="A32" s="30" t="str">
        <f ca="1">OFFSET(BuildTest!$D$169,MOD(ROW()-ROW($A$2),ROWS(BuildTest!$D$169:$D$169)),TRUNC((ROW()-ROW($A$2))/ROWS(BuildTest!$D$169:$D$169)),1,1)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Spouse/Partner Visa Class&lt;BR&gt;Direct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B32" s="28" t="str">
        <f ca="1">OFFSET(BuildTest!$D$175,MOD(ROW()-ROW($B$2),ROWS(BuildTest!$D$175:$D$175)),TRUNC((ROW()-ROW($B$2))/ROWS(BuildTest!$D$175:$D$175)),1,1)</f>
        <v>Nil</v>
      </c>
      <c r="C32" s="28" t="str">
        <f ca="1">OFFSET(BuildTest!$D$190,MOD(ROW()-ROW($C$2),ROWS(BuildTest!$D$190:$D$190)),TRUNC((ROW()-ROW($C$2))/ROWS(BuildTest!$D$190:$D$190)),1,1)</f>
        <v>&lt;BR&gt;&lt;BR&gt;Benefit Status=CUR&lt;BR&gt;Review created on FAL screen=No Review&lt;BR&gt;Customer FTB (A) Status=CUR&lt;BR&gt;Customer FTB (B) Status=CUR&lt;BR&gt;Customer RA Status=N-HOM&lt;BR&gt;Child Eligibility FTB(A)=Y&lt;BR&gt;Child Eligibility FTB(B)=Y</v>
      </c>
      <c r="D32" s="28" t="str">
        <f ca="1">OFFSET(BuildTest!$D$202,MOD(ROW()-ROW($D$2),ROWS(BuildTest!$D$202:$D$202)),TRUNC((ROW()-ROW($D$2))/ROWS(BuildTest!$D$202:$D$202)),1,1)</f>
        <v>FTB.Regression.NCL.Partnered customer.Residency Circ.SPV.Citizen</v>
      </c>
      <c r="E32" s="28" t="s">
        <v>673</v>
      </c>
      <c r="F32" s="29" t="str">
        <f ca="1">OFFSET(BuildTest!$D$205,MOD(ROW()-ROW($F$2),ROWS(BuildTest!$C$205:$D$205)),TRUNC((ROW()-ROW($F$2))/ROWS(BuildTest!$C$205:$C$205)),1,1)</f>
        <v>Index a FTB/NCL with below circumstance description &lt;BR&gt;&lt;BR&gt;&lt;B&gt;Customer  circumstances&lt;/B&gt;&lt;BR&gt;Residential Qualification = Spouse/Partner Visa Class&lt;BR&gt;Direct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G32" s="29" t="str">
        <f ca="1">OFFSET(BuildTest!$D$207,MOD(ROW()-ROW($G$2),ROWS(BuildTest!$D$207:$D$207)),TRUNC((ROW()-ROW($G$2))/ROWS(BuildTest!$D$207:$D$207)),1,1)</f>
        <v>Verify Assessment and Eligibility outcome
&lt;BR&gt;&lt;BR&gt;Benefit Status=CUR&lt;BR&gt;Review created on FAL screen=No Review&lt;BR&gt;Customer FTB (A) Status=CUR&lt;BR&gt;Customer FTB (B) Status=CUR&lt;BR&gt;Customer RA Status=N-HOM&lt;BR&gt;Child Eligibility FTB(A)=Y&lt;BR&gt;Child Eligibility FTB(B)=Y</v>
      </c>
    </row>
    <row r="33" spans="1:7" ht="409.6" thickBot="1">
      <c r="A33" s="30" t="str">
        <f ca="1">OFFSET(BuildTest!$D$169,MOD(ROW()-ROW($A$2),ROWS(BuildTest!$D$169:$D$169)),TRUNC((ROW()-ROW($A$2))/ROWS(BuildTest!$D$169:$D$169)),1,1)</f>
        <v>The purpose of the test is to verify &lt;BR&gt;&lt;BR&gt;&lt;BR&gt;&lt;BR&gt;Benefit Status=CUR&lt;BR&gt;Review created on FAL screen=No Review&lt;BR&gt;Customer FTB (A) Status=REJ-NRQ&lt;BR&gt;Customer FTB (B) Status=REJ-NRQ&lt;BR&gt;Customer RA Status=N-NULL&lt;BR&gt;Child Eligibility FTB(A)=Y&lt;BR&gt;Child Eligibility FTB(B)=Y&lt;BR&gt;&lt;BR&gt; for below input circumstances&lt;BR&gt;&lt;BR&gt;&lt;B&gt;Customer  circumstances&lt;/B&gt;&lt;BR&gt;Residential Qualification = Temporary Visa Class&lt;BR&gt;Direct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B33" s="28" t="str">
        <f ca="1">OFFSET(BuildTest!$D$175,MOD(ROW()-ROW($B$2),ROWS(BuildTest!$D$175:$D$175)),TRUNC((ROW()-ROW($B$2))/ROWS(BuildTest!$D$175:$D$175)),1,1)</f>
        <v>Nil</v>
      </c>
      <c r="C33" s="28" t="str">
        <f ca="1">OFFSET(BuildTest!$D$190,MOD(ROW()-ROW($C$2),ROWS(BuildTest!$D$190:$D$190)),TRUNC((ROW()-ROW($C$2))/ROWS(BuildTest!$D$190:$D$190)),1,1)</f>
        <v>&lt;BR&gt;&lt;BR&gt;Benefit Status=CUR&lt;BR&gt;Review created on FAL screen=No Review&lt;BR&gt;Customer FTB (A) Status=REJ-NRQ&lt;BR&gt;Customer FTB (B) Status=REJ-NRQ&lt;BR&gt;Customer RA Status=N-NULL&lt;BR&gt;Child Eligibility FTB(A)=Y&lt;BR&gt;Child Eligibility FTB(B)=Y</v>
      </c>
      <c r="D33" s="28" t="str">
        <f ca="1">OFFSET(BuildTest!$D$202,MOD(ROW()-ROW($D$2),ROWS(BuildTest!$D$202:$D$202)),TRUNC((ROW()-ROW($D$2))/ROWS(BuildTest!$D$202:$D$202)),1,1)</f>
        <v>FTB.Regression.NCL.Partnered customer.Residency Circ.TPV.Citizen</v>
      </c>
      <c r="E33" s="28" t="s">
        <v>674</v>
      </c>
      <c r="F33" s="29" t="str">
        <f ca="1">OFFSET(BuildTest!$D$205,MOD(ROW()-ROW($F$2),ROWS(BuildTest!$C$205:$D$205)),TRUNC((ROW()-ROW($F$2))/ROWS(BuildTest!$C$205:$C$205)),1,1)</f>
        <v>Index a FTB/NCL with below circumstance description &lt;BR&gt;&lt;BR&gt;&lt;B&gt;Customer  circumstances&lt;/B&gt;&lt;BR&gt;Residential Qualification = Temporary Visa Class&lt;BR&gt;Direct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G33" s="29" t="str">
        <f ca="1">OFFSET(BuildTest!$D$207,MOD(ROW()-ROW($G$2),ROWS(BuildTest!$D$207:$D$207)),TRUNC((ROW()-ROW($G$2))/ROWS(BuildTest!$D$207:$D$207)),1,1)</f>
        <v>Verify Assessment and Eligibility outcome
&lt;BR&gt;&lt;BR&gt;Benefit Status=CUR&lt;BR&gt;Review created on FAL screen=No Review&lt;BR&gt;Customer FTB (A) Status=REJ-NRQ&lt;BR&gt;Customer FTB (B) Status=REJ-NRQ&lt;BR&gt;Customer RA Status=N-NULL&lt;BR&gt;Child Eligibility FTB(A)=Y&lt;BR&gt;Child Eligibility FTB(B)=Y</v>
      </c>
    </row>
    <row r="34" spans="1:7" ht="409.6" thickBot="1">
      <c r="A34" s="30" t="str">
        <f ca="1">OFFSET(BuildTest!$D$169,MOD(ROW()-ROW($A$2),ROWS(BuildTest!$D$169:$D$169)),TRUNC((ROW()-ROW($A$2))/ROWS(BuildTest!$D$169:$D$169)),1,1)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Spouse/Partner Visa Class&lt;BR&gt;Direct Credit details   = Coded&lt;BR&gt;TFN details = Coded&lt;BR&gt;Secondary Earner income = Less than $21,499&lt;BR&gt;&lt;BR&gt;&lt;B&gt;Partner  circumstances&lt;/B&gt;&lt;BR&gt;Residential Qualification = Temporary Visa Class&lt;BR&gt;TFN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B34" s="28" t="str">
        <f ca="1">OFFSET(BuildTest!$D$175,MOD(ROW()-ROW($B$2),ROWS(BuildTest!$D$175:$D$175)),TRUNC((ROW()-ROW($B$2))/ROWS(BuildTest!$D$175:$D$175)),1,1)</f>
        <v>Nil</v>
      </c>
      <c r="C34" s="28" t="str">
        <f ca="1">OFFSET(BuildTest!$D$190,MOD(ROW()-ROW($C$2),ROWS(BuildTest!$D$190:$D$190)),TRUNC((ROW()-ROW($C$2))/ROWS(BuildTest!$D$190:$D$190)),1,1)</f>
        <v>&lt;BR&gt;&lt;BR&gt;Benefit Status=CUR&lt;BR&gt;Review created on FAL screen=No Review&lt;BR&gt;Customer FTB (A) Status=CUR&lt;BR&gt;Customer FTB (B) Status=CUR&lt;BR&gt;Customer RA Status=N-HOM&lt;BR&gt;Child Eligibility FTB(A)=Y&lt;BR&gt;Child Eligibility FTB(B)=Y</v>
      </c>
      <c r="D34" s="28" t="str">
        <f ca="1">OFFSET(BuildTest!$D$202,MOD(ROW()-ROW($D$2),ROWS(BuildTest!$D$202:$D$202)),TRUNC((ROW()-ROW($D$2))/ROWS(BuildTest!$D$202:$D$202)),1,1)</f>
        <v>FTB.Regression.NCL.Partnered customer.Residency Circ.SPV.TPV</v>
      </c>
      <c r="E34" s="28" t="s">
        <v>675</v>
      </c>
      <c r="F34" s="29" t="str">
        <f ca="1">OFFSET(BuildTest!$D$205,MOD(ROW()-ROW($F$2),ROWS(BuildTest!$C$205:$D$205)),TRUNC((ROW()-ROW($F$2))/ROWS(BuildTest!$C$205:$C$205)),1,1)</f>
        <v>Index a FTB/NCL with below circumstance description &lt;BR&gt;&lt;BR&gt;&lt;B&gt;Customer  circumstances&lt;/B&gt;&lt;BR&gt;Residential Qualification = Spouse/Partner Visa Class&lt;BR&gt;Direct Credit details   = Coded&lt;BR&gt;TFN details = Coded&lt;BR&gt;Secondary Earner income = Less than $21,499&lt;BR&gt;&lt;BR&gt;&lt;B&gt;Partner  circumstances&lt;/B&gt;&lt;BR&gt;Residential Qualification = Temporary Visa Class&lt;BR&gt;TFN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G34" s="29" t="str">
        <f ca="1">OFFSET(BuildTest!$D$207,MOD(ROW()-ROW($G$2),ROWS(BuildTest!$D$207:$D$207)),TRUNC((ROW()-ROW($G$2))/ROWS(BuildTest!$D$207:$D$207)),1,1)</f>
        <v>Verify Assessment and Eligibility outcome
&lt;BR&gt;&lt;BR&gt;Benefit Status=CUR&lt;BR&gt;Review created on FAL screen=No Review&lt;BR&gt;Customer FTB (A) Status=CUR&lt;BR&gt;Customer FTB (B) Status=CUR&lt;BR&gt;Customer RA Status=N-HOM&lt;BR&gt;Child Eligibility FTB(A)=Y&lt;BR&gt;Child Eligibility FTB(B)=Y</v>
      </c>
    </row>
    <row r="35" spans="1:7" ht="409.6" thickBot="1">
      <c r="A35" s="30" t="str">
        <f ca="1">OFFSET(BuildTest!$D$169,MOD(ROW()-ROW($A$2),ROWS(BuildTest!$D$169:$D$169)),TRUNC((ROW()-ROW($A$2))/ROWS(BuildTest!$D$169:$D$169)),1,1)</f>
        <v>The purpose of the test is to verify &lt;BR&gt;&lt;BR&gt;&lt;BR&gt;&lt;BR&gt;Benefit Status=CUR&lt;BR&gt;Review created on FAL screen=No Review&lt;BR&gt;Customer FTB (A) Status=REJ-NRQ&lt;BR&gt;Customer FTB (B) Status=REJ-NRQ&lt;BR&gt;Customer RA Status=N-NULL&lt;BR&gt;Child Eligibility FTB(A)=Y&lt;BR&gt;Child Eligibility FTB(B)=Y&lt;BR&gt;&lt;BR&gt; for below input circumstances&lt;BR&gt;&lt;BR&gt;&lt;B&gt;Customer  circumstances&lt;/B&gt;&lt;BR&gt;Residential Qualification = Temporary Visa Class&lt;BR&gt;Direct Credit details   = Coded&lt;BR&gt;TFN details = Coded&lt;BR&gt;Secondary Earner income = Less than $21,499&lt;BR&gt;&lt;BR&gt;&lt;B&gt;Partner  circumstances&lt;/B&gt;&lt;BR&gt;Residential Qualification = Spouse/Partner Visa Class&lt;BR&gt;TFN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B35" s="28" t="str">
        <f ca="1">OFFSET(BuildTest!$D$175,MOD(ROW()-ROW($B$2),ROWS(BuildTest!$D$175:$D$175)),TRUNC((ROW()-ROW($B$2))/ROWS(BuildTest!$D$175:$D$175)),1,1)</f>
        <v>Nil</v>
      </c>
      <c r="C35" s="28" t="str">
        <f ca="1">OFFSET(BuildTest!$D$190,MOD(ROW()-ROW($C$2),ROWS(BuildTest!$D$190:$D$190)),TRUNC((ROW()-ROW($C$2))/ROWS(BuildTest!$D$190:$D$190)),1,1)</f>
        <v>&lt;BR&gt;&lt;BR&gt;Benefit Status=CUR&lt;BR&gt;Review created on FAL screen=No Review&lt;BR&gt;Customer FTB (A) Status=REJ-NRQ&lt;BR&gt;Customer FTB (B) Status=REJ-NRQ&lt;BR&gt;Customer RA Status=N-NULL&lt;BR&gt;Child Eligibility FTB(A)=Y&lt;BR&gt;Child Eligibility FTB(B)=Y</v>
      </c>
      <c r="D35" s="28" t="str">
        <f ca="1">OFFSET(BuildTest!$D$202,MOD(ROW()-ROW($D$2),ROWS(BuildTest!$D$202:$D$202)),TRUNC((ROW()-ROW($D$2))/ROWS(BuildTest!$D$202:$D$202)),1,1)</f>
        <v>FTB.Regression.NCL.Partnered customer.Residency Circ.TPV.SPV</v>
      </c>
      <c r="E35" s="28" t="s">
        <v>676</v>
      </c>
      <c r="F35" s="29" t="str">
        <f ca="1">OFFSET(BuildTest!$D$205,MOD(ROW()-ROW($F$2),ROWS(BuildTest!$C$205:$D$205)),TRUNC((ROW()-ROW($F$2))/ROWS(BuildTest!$C$205:$C$205)),1,1)</f>
        <v>Index a FTB/NCL with below circumstance description &lt;BR&gt;&lt;BR&gt;&lt;B&gt;Customer  circumstances&lt;/B&gt;&lt;BR&gt;Residential Qualification = Temporary Visa Class&lt;BR&gt;Direct Credit details   = Coded&lt;BR&gt;TFN details = Coded&lt;BR&gt;Secondary Earner income = Less than $21,499&lt;BR&gt;&lt;BR&gt;&lt;B&gt;Partner  circumstances&lt;/B&gt;&lt;BR&gt;Residential Qualification = Spouse/Partner Visa Class&lt;BR&gt;TFN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G35" s="29" t="str">
        <f ca="1">OFFSET(BuildTest!$D$207,MOD(ROW()-ROW($G$2),ROWS(BuildTest!$D$207:$D$207)),TRUNC((ROW()-ROW($G$2))/ROWS(BuildTest!$D$207:$D$207)),1,1)</f>
        <v>Verify Assessment and Eligibility outcome
&lt;BR&gt;&lt;BR&gt;Benefit Status=CUR&lt;BR&gt;Review created on FAL screen=No Review&lt;BR&gt;Customer FTB (A) Status=REJ-NRQ&lt;BR&gt;Customer FTB (B) Status=REJ-NRQ&lt;BR&gt;Customer RA Status=N-NULL&lt;BR&gt;Child Eligibility FTB(A)=Y&lt;BR&gt;Child Eligibility FTB(B)=Y</v>
      </c>
    </row>
    <row r="36" spans="1:7" ht="405.75" thickBot="1">
      <c r="A36" s="30" t="str">
        <f ca="1">OFFSET(BuildTest!$D$169,MOD(ROW()-ROW($A$2),ROWS(BuildTest!$D$169:$D$169)),TRUNC((ROW()-ROW($A$2))/ROWS(BuildTest!$D$169:$D$169)),1,1)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B36" s="28" t="str">
        <f ca="1">OFFSET(BuildTest!$D$175,MOD(ROW()-ROW($B$2),ROWS(BuildTest!$D$175:$D$175)),TRUNC((ROW()-ROW($B$2))/ROWS(BuildTest!$D$175:$D$175)),1,1)</f>
        <v>Nil</v>
      </c>
      <c r="C36" s="28" t="str">
        <f ca="1">OFFSET(BuildTest!$D$190,MOD(ROW()-ROW($C$2),ROWS(BuildTest!$D$190:$D$190)),TRUNC((ROW()-ROW($C$2))/ROWS(BuildTest!$D$190:$D$190)),1,1)</f>
        <v>&lt;BR&gt;&lt;BR&gt;Benefit Status=CUR&lt;BR&gt;Review created on FAL screen=No Review&lt;BR&gt;Customer FTB (A) Status=CUR&lt;BR&gt;Customer FTB (B) Status=CUR&lt;BR&gt;Customer RA Status=N-HOM&lt;BR&gt;Child Eligibility FTB(A)=Y&lt;BR&gt;Child Eligibility FTB(B)=Y</v>
      </c>
      <c r="D36" s="28" t="str">
        <f ca="1">OFFSET(BuildTest!$D$202,MOD(ROW()-ROW($D$2),ROWS(BuildTest!$D$202:$D$202)),TRUNC((ROW()-ROW($D$2))/ROWS(BuildTest!$D$202:$D$202)),1,1)</f>
        <v>FTB.Regression.NCL.Single customer.AU citzen.ALL</v>
      </c>
      <c r="E36" s="28" t="s">
        <v>837</v>
      </c>
      <c r="F36" s="29" t="str">
        <f ca="1">OFFSET(BuildTest!$D$205,MOD(ROW()-ROW($F$2),ROWS(BuildTest!$C$205:$D$205)),TRUNC((ROW()-ROW($F$2))/ROWS(BuildTest!$C$205:$C$205)),1,1)</f>
        <v>Index a FTB/NCL with below circumstance description &lt;BR&gt;&lt;BR&gt;&lt;B&gt;Customer  circumstances&lt;/B&gt;&lt;BR&gt;Residential Qualification = AU citizen&lt;BR&gt;Direct Credit details   =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G36" s="29" t="str">
        <f ca="1">OFFSET(BuildTest!$D$207,MOD(ROW()-ROW($G$2),ROWS(BuildTest!$D$207:$D$207)),TRUNC((ROW()-ROW($G$2))/ROWS(BuildTest!$D$207:$D$207)),1,1)</f>
        <v>Verify Assessment and Eligibility outcome
&lt;BR&gt;&lt;BR&gt;Benefit Status=CUR&lt;BR&gt;Review created on FAL screen=No Review&lt;BR&gt;Customer FTB (A) Status=CUR&lt;BR&gt;Customer FTB (B) Status=CUR&lt;BR&gt;Customer RA Status=N-HOM&lt;BR&gt;Child Eligibility FTB(A)=Y&lt;BR&gt;Child Eligibility FTB(B)=Y</v>
      </c>
    </row>
    <row r="37" spans="1:7" ht="409.6" thickBot="1">
      <c r="A37" s="30" t="str">
        <f ca="1">OFFSET(BuildTest!$D$169,MOD(ROW()-ROW($A$2),ROWS(BuildTest!$D$169:$D$169)),TRUNC((ROW()-ROW($A$2))/ROWS(BuildTest!$D$169:$D$169)),1,1)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 Exemption - FNG&lt;BR&gt;TFN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B37" s="28" t="str">
        <f ca="1">OFFSET(BuildTest!$D$175,MOD(ROW()-ROW($B$2),ROWS(BuildTest!$D$175:$D$175)),TRUNC((ROW()-ROW($B$2))/ROWS(BuildTest!$D$175:$D$175)),1,1)</f>
        <v>Nil</v>
      </c>
      <c r="C37" s="28" t="str">
        <f ca="1">OFFSET(BuildTest!$D$190,MOD(ROW()-ROW($C$2),ROWS(BuildTest!$D$190:$D$190)),TRUNC((ROW()-ROW($C$2))/ROWS(BuildTest!$D$190:$D$190)),1,1)</f>
        <v>&lt;BR&gt;&lt;BR&gt;Benefit Status=CUR&lt;BR&gt;Review created on FAL screen=No Review&lt;BR&gt;Customer FTB (A) Status=CUR&lt;BR&gt;Customer FTB (B) Status=CUR&lt;BR&gt;Customer RA Status=N-HOM&lt;BR&gt;Child Eligibility FTB(A)=Y&lt;BR&gt;Child Eligibility FTB(B)=Y</v>
      </c>
      <c r="D37" s="28" t="str">
        <f ca="1">OFFSET(BuildTest!$D$202,MOD(ROW()-ROW($D$2),ROWS(BuildTest!$D$202:$D$202)),TRUNC((ROW()-ROW($D$2))/ROWS(BuildTest!$D$202:$D$202)),1,1)</f>
        <v>FTB.Regression.NCL.Single customer.AU citzen.Direct credit circ.Exempt FNG</v>
      </c>
      <c r="E37" s="28" t="s">
        <v>839</v>
      </c>
      <c r="F37" s="29" t="str">
        <f ca="1">OFFSET(BuildTest!$D$205,MOD(ROW()-ROW($F$2),ROWS(BuildTest!$C$205:$D$205)),TRUNC((ROW()-ROW($F$2))/ROWS(BuildTest!$C$205:$C$205)),1,1)</f>
        <v>Index a FTB/NCL with below circumstance description &lt;BR&gt;&lt;BR&gt;&lt;B&gt;Customer  circumstances&lt;/B&gt;&lt;BR&gt;Residential Qualification = AU citizen&lt;BR&gt;Direct Credit details   = Coded Exemption - FNG&lt;BR&gt;TFN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G37" s="29" t="str">
        <f ca="1">OFFSET(BuildTest!$D$207,MOD(ROW()-ROW($G$2),ROWS(BuildTest!$D$207:$D$207)),TRUNC((ROW()-ROW($G$2))/ROWS(BuildTest!$D$207:$D$207)),1,1)</f>
        <v>Verify Assessment and Eligibility outcome
&lt;BR&gt;&lt;BR&gt;Benefit Status=CUR&lt;BR&gt;Review created on FAL screen=No Review&lt;BR&gt;Customer FTB (A) Status=CUR&lt;BR&gt;Customer FTB (B) Status=CUR&lt;BR&gt;Customer RA Status=N-HOM&lt;BR&gt;Child Eligibility FTB(A)=Y&lt;BR&gt;Child Eligibility FTB(B)=Y</v>
      </c>
    </row>
    <row r="38" spans="1:7" ht="405.75" thickBot="1">
      <c r="A38" s="30" t="str">
        <f ca="1">OFFSET(BuildTest!$D$169,MOD(ROW()-ROW($A$2),ROWS(BuildTest!$D$169:$D$169)),TRUNC((ROW()-ROW($A$2))/ROWS(BuildTest!$D$169:$D$169)),1,1)</f>
        <v>The purpose of the test is to verify &lt;BR&gt;&lt;BR&gt;&lt;BR&gt;&lt;BR&gt;Benefit Status=NEF-BAN&lt;BR&gt;Review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AU citizen&lt;BR&gt;Direct Credit details   = Not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B38" s="28" t="str">
        <f ca="1">OFFSET(BuildTest!$D$175,MOD(ROW()-ROW($B$2),ROWS(BuildTest!$D$175:$D$175)),TRUNC((ROW()-ROW($B$2))/ROWS(BuildTest!$D$175:$D$175)),1,1)</f>
        <v>Nil</v>
      </c>
      <c r="C38" s="28" t="str">
        <f ca="1">OFFSET(BuildTest!$D$190,MOD(ROW()-ROW($C$2),ROWS(BuildTest!$D$190:$D$190)),TRUNC((ROW()-ROW($C$2))/ROWS(BuildTest!$D$190:$D$190)),1,1)</f>
        <v>&lt;BR&gt;&lt;BR&gt;Benefit Status=NEF-BAN&lt;BR&gt;Review created on FAL screen=No Review&lt;BR&gt;Customer FTB (A) Status=NULL&lt;BR&gt;Customer FTB (B) Status=NULL&lt;BR&gt;Customer RA Status=N-NULL&lt;BR&gt;Child Eligibility FTB(A)=Y&lt;BR&gt;Child Eligibility FTB(B)=Y</v>
      </c>
      <c r="D38" s="28" t="str">
        <f ca="1">OFFSET(BuildTest!$D$202,MOD(ROW()-ROW($D$2),ROWS(BuildTest!$D$202:$D$202)),TRUNC((ROW()-ROW($D$2))/ROWS(BuildTest!$D$202:$D$202)),1,1)</f>
        <v>FTB.Regression.NCL.Single customer.AU citzen.Direct credit circ.Not Coded</v>
      </c>
      <c r="E38" s="28" t="s">
        <v>841</v>
      </c>
      <c r="F38" s="29" t="str">
        <f ca="1">OFFSET(BuildTest!$D$205,MOD(ROW()-ROW($F$2),ROWS(BuildTest!$C$205:$D$205)),TRUNC((ROW()-ROW($F$2))/ROWS(BuildTest!$C$205:$C$205)),1,1)</f>
        <v>Index a FTB/NCL with below circumstance description &lt;BR&gt;&lt;BR&gt;&lt;B&gt;Customer  circumstances&lt;/B&gt;&lt;BR&gt;Residential Qualification = AU citizen&lt;BR&gt;Direct Credit details   = Not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G38" s="29" t="str">
        <f ca="1">OFFSET(BuildTest!$D$207,MOD(ROW()-ROW($G$2),ROWS(BuildTest!$D$207:$D$207)),TRUNC((ROW()-ROW($G$2))/ROWS(BuildTest!$D$207:$D$207)),1,1)</f>
        <v>Verify Assessment and Eligibility outcome
&lt;BR&gt;&lt;BR&gt;Benefit Status=NEF-BAN&lt;BR&gt;Review created on FAL screen=No Review&lt;BR&gt;Customer FTB (A) Status=NULL&lt;BR&gt;Customer FTB (B) Status=NULL&lt;BR&gt;Customer RA Status=N-NULL&lt;BR&gt;Child Eligibility FTB(A)=Y&lt;BR&gt;Child Eligibility FTB(B)=Y</v>
      </c>
    </row>
    <row r="39" spans="1:7" ht="405.75" thickBot="1">
      <c r="A39" s="30" t="str">
        <f ca="1">OFFSET(BuildTest!$D$169,MOD(ROW()-ROW($A$2),ROWS(BuildTest!$D$169:$D$169)),TRUNC((ROW()-ROW($A$2))/ROWS(BuildTest!$D$169:$D$169)),1,1)</f>
        <v>The purpose of the test is to verify &lt;BR&gt;&lt;BR&gt;&lt;BR&gt;&lt;BR&gt;Benefit Status=NEF-NTC&lt;BR&gt;Review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AU citizen&lt;BR&gt;Direct Credit details   = Coded&lt;BR&gt;TFN details = Not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B39" s="28" t="str">
        <f ca="1">OFFSET(BuildTest!$D$175,MOD(ROW()-ROW($B$2),ROWS(BuildTest!$D$175:$D$175)),TRUNC((ROW()-ROW($B$2))/ROWS(BuildTest!$D$175:$D$175)),1,1)</f>
        <v>Nil</v>
      </c>
      <c r="C39" s="28" t="str">
        <f ca="1">OFFSET(BuildTest!$D$190,MOD(ROW()-ROW($C$2),ROWS(BuildTest!$D$190:$D$190)),TRUNC((ROW()-ROW($C$2))/ROWS(BuildTest!$D$190:$D$190)),1,1)</f>
        <v>&lt;BR&gt;&lt;BR&gt;Benefit Status=NEF-NTC&lt;BR&gt;Review created on FAL screen=No Review&lt;BR&gt;Customer FTB (A) Status=NULL&lt;BR&gt;Customer FTB (B) Status=NULL&lt;BR&gt;Customer RA Status=N-NULL&lt;BR&gt;Child Eligibility FTB(A)=Y&lt;BR&gt;Child Eligibility FTB(B)=Y</v>
      </c>
      <c r="D39" s="28" t="str">
        <f ca="1">OFFSET(BuildTest!$D$202,MOD(ROW()-ROW($D$2),ROWS(BuildTest!$D$202:$D$202)),TRUNC((ROW()-ROW($D$2))/ROWS(BuildTest!$D$202:$D$202)),1,1)</f>
        <v>FTB.Regression.NCL.Single customer.AU citzen.TFN circ.Not coded</v>
      </c>
      <c r="E39" s="28" t="s">
        <v>843</v>
      </c>
      <c r="F39" s="29" t="str">
        <f ca="1">OFFSET(BuildTest!$D$205,MOD(ROW()-ROW($F$2),ROWS(BuildTest!$C$205:$D$205)),TRUNC((ROW()-ROW($F$2))/ROWS(BuildTest!$C$205:$C$205)),1,1)</f>
        <v>Index a FTB/NCL with below circumstance description &lt;BR&gt;&lt;BR&gt;&lt;B&gt;Customer  circumstances&lt;/B&gt;&lt;BR&gt;Residential Qualification = AU citizen&lt;BR&gt;Direct Credit details   = Coded&lt;BR&gt;TFN details = Not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G39" s="29" t="str">
        <f ca="1">OFFSET(BuildTest!$D$207,MOD(ROW()-ROW($G$2),ROWS(BuildTest!$D$207:$D$207)),TRUNC((ROW()-ROW($G$2))/ROWS(BuildTest!$D$207:$D$207)),1,1)</f>
        <v>Verify Assessment and Eligibility outcome
&lt;BR&gt;&lt;BR&gt;Benefit Status=NEF-NTC&lt;BR&gt;Review created on FAL screen=No Review&lt;BR&gt;Customer FTB (A) Status=NULL&lt;BR&gt;Customer FTB (B) Status=NULL&lt;BR&gt;Customer RA Status=N-NULL&lt;BR&gt;Child Eligibility FTB(A)=Y&lt;BR&gt;Child Eligibility FTB(B)=Y</v>
      </c>
    </row>
    <row r="40" spans="1:7" ht="405.75" thickBot="1">
      <c r="A40" s="30" t="str">
        <f ca="1">OFFSET(BuildTest!$D$169,MOD(ROW()-ROW($A$2),ROWS(BuildTest!$D$169:$D$169)),TRUNC((ROW()-ROW($A$2))/ROWS(BuildTest!$D$169:$D$169)),1,1)</f>
        <v>The purpose of the test is to verify &lt;BR&gt;&lt;BR&gt;&lt;BR&gt;&lt;BR&gt;Benefit Status=REJ-INC&lt;BR&gt;Review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AU citizen&lt;BR&gt;Direct Credit details   = Coded&lt;BR&gt;TFN details = Coded&lt;BR&gt;Secondary Earner income = More than $ 27,613&lt;BR&gt;Home ownership code = Home owner - HOM&lt;BR&gt;&lt;BR&gt;&lt;BR&gt;&lt;B&gt;Child  circumstances&lt;/B&gt;&lt;BR&gt;Number of Child(ren) = 1&lt;BR&gt;Age of Child = &lt;= 5yr&lt;BR&gt;Principal Care Type = Step Parent&lt;BR&gt;Care Percentage = 100% of Customer's care</v>
      </c>
      <c r="B40" s="28" t="str">
        <f ca="1">OFFSET(BuildTest!$D$175,MOD(ROW()-ROW($B$2),ROWS(BuildTest!$D$175:$D$175)),TRUNC((ROW()-ROW($B$2))/ROWS(BuildTest!$D$175:$D$175)),1,1)</f>
        <v>Nil</v>
      </c>
      <c r="C40" s="28" t="str">
        <f ca="1">OFFSET(BuildTest!$D$190,MOD(ROW()-ROW($C$2),ROWS(BuildTest!$D$190:$D$190)),TRUNC((ROW()-ROW($C$2))/ROWS(BuildTest!$D$190:$D$190)),1,1)</f>
        <v>&lt;BR&gt;&lt;BR&gt;Benefit Status=REJ-INC&lt;BR&gt;Review created on FAL screen=No Review&lt;BR&gt;Customer FTB (A) Status=NULL&lt;BR&gt;Customer FTB (B) Status=NULL&lt;BR&gt;Customer RA Status=N-NULL&lt;BR&gt;Child Eligibility FTB(A)=Y&lt;BR&gt;Child Eligibility FTB(B)=Y</v>
      </c>
      <c r="D40" s="28" t="str">
        <f ca="1">OFFSET(BuildTest!$D$202,MOD(ROW()-ROW($D$2),ROWS(BuildTest!$D$202:$D$202)),TRUNC((ROW()-ROW($D$2))/ROWS(BuildTest!$D$202:$D$202)),1,1)</f>
        <v>FTB.Regression.NCL.Single customer.AU citzen.Income circ. Income above threshold</v>
      </c>
      <c r="E40" s="28" t="s">
        <v>845</v>
      </c>
      <c r="F40" s="29" t="str">
        <f ca="1">OFFSET(BuildTest!$D$205,MOD(ROW()-ROW($F$2),ROWS(BuildTest!$C$205:$D$205)),TRUNC((ROW()-ROW($F$2))/ROWS(BuildTest!$C$205:$C$205)),1,1)</f>
        <v>Index a FTB/NCL with below circumstance description &lt;BR&gt;&lt;BR&gt;&lt;B&gt;Customer  circumstances&lt;/B&gt;&lt;BR&gt;Residential Qualification = AU citizen&lt;BR&gt;Direct Credit details   = Coded&lt;BR&gt;TFN details = Coded&lt;BR&gt;Secondary Earner income = More than $ 27,613&lt;BR&gt;Home ownership code = Home owner - HOM&lt;BR&gt;&lt;BR&gt;&lt;BR&gt;&lt;B&gt;Child  circumstances&lt;/B&gt;&lt;BR&gt;Number of Child(ren) = 1&lt;BR&gt;Age of Child = &lt;= 5yr&lt;BR&gt;Principal Care Type = Step Parent&lt;BR&gt;Care Percentage = 100% of Customer's care</v>
      </c>
      <c r="G40" s="29" t="str">
        <f ca="1">OFFSET(BuildTest!$D$207,MOD(ROW()-ROW($G$2),ROWS(BuildTest!$D$207:$D$207)),TRUNC((ROW()-ROW($G$2))/ROWS(BuildTest!$D$207:$D$207)),1,1)</f>
        <v>Verify Assessment and Eligibility outcome
&lt;BR&gt;&lt;BR&gt;Benefit Status=REJ-INC&lt;BR&gt;Review created on FAL screen=No Review&lt;BR&gt;Customer FTB (A) Status=NULL&lt;BR&gt;Customer FTB (B) Status=NULL&lt;BR&gt;Customer RA Status=N-NULL&lt;BR&gt;Child Eligibility FTB(A)=Y&lt;BR&gt;Child Eligibility FTB(B)=Y</v>
      </c>
    </row>
    <row r="41" spans="1:7" ht="409.6" thickBot="1">
      <c r="A41" s="30" t="str">
        <f ca="1">OFFSET(BuildTest!$D$169,MOD(ROW()-ROW($A$2),ROWS(BuildTest!$D$169:$D$169)),TRUNC((ROW()-ROW($A$2))/ROWS(BuildTest!$D$169:$D$169)),1,1)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B41" s="28" t="str">
        <f ca="1">OFFSET(BuildTest!$D$175,MOD(ROW()-ROW($B$2),ROWS(BuildTest!$D$175:$D$175)),TRUNC((ROW()-ROW($B$2))/ROWS(BuildTest!$D$175:$D$175)),1,1)</f>
        <v>Nil</v>
      </c>
      <c r="C41" s="28" t="str">
        <f ca="1">OFFSET(BuildTest!$D$190,MOD(ROW()-ROW($C$2),ROWS(BuildTest!$D$190:$D$190)),TRUNC((ROW()-ROW($C$2))/ROWS(BuildTest!$D$190:$D$190)),1,1)</f>
        <v>&lt;BR&gt;&lt;BR&gt;Benefit Status=CUR&lt;BR&gt;Review created on FAL screen=No Review&lt;BR&gt;Customer FTB (A) Status=CUR&lt;BR&gt;Customer FTB (B) Status=CUR&lt;BR&gt;Customer RA Status=N-HOM&lt;BR&gt;Child Eligibility FTB(A)=Y&lt;BR&gt;Child Eligibility FTB(B)=Y</v>
      </c>
      <c r="D41" s="28" t="str">
        <f ca="1">OFFSET(BuildTest!$D$202,MOD(ROW()-ROW($D$2),ROWS(BuildTest!$D$202:$D$202)),TRUNC((ROW()-ROW($D$2))/ROWS(BuildTest!$D$202:$D$202)),1,1)</f>
        <v>FTB.Regression.NCL.Single customer.AU citzen.Relation type circ. adoptive parent</v>
      </c>
      <c r="E41" s="28" t="s">
        <v>847</v>
      </c>
      <c r="F41" s="29" t="str">
        <f ca="1">OFFSET(BuildTest!$D$205,MOD(ROW()-ROW($F$2),ROWS(BuildTest!$C$205:$D$205)),TRUNC((ROW()-ROW($F$2))/ROWS(BuildTest!$C$205:$C$205)),1,1)</f>
        <v>Index a FTB/NCL with below circumstance description &lt;BR&gt;&lt;BR&gt;&lt;B&gt;Customer  circumstances&lt;/B&gt;&lt;BR&gt;Residential Qualification = AU citizen&lt;BR&gt;Direct Credit details   =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G41" s="29" t="str">
        <f ca="1">OFFSET(BuildTest!$D$207,MOD(ROW()-ROW($G$2),ROWS(BuildTest!$D$207:$D$207)),TRUNC((ROW()-ROW($G$2))/ROWS(BuildTest!$D$207:$D$207)),1,1)</f>
        <v>Verify Assessment and Eligibility outcome
&lt;BR&gt;&lt;BR&gt;Benefit Status=CUR&lt;BR&gt;Review created on FAL screen=No Review&lt;BR&gt;Customer FTB (A) Status=CUR&lt;BR&gt;Customer FTB (B) Status=CUR&lt;BR&gt;Customer RA Status=N-HOM&lt;BR&gt;Child Eligibility FTB(A)=Y&lt;BR&gt;Child Eligibility FTB(B)=Y</v>
      </c>
    </row>
    <row r="42" spans="1:7" ht="405.75" thickBot="1">
      <c r="A42" s="30" t="str">
        <f ca="1">OFFSET(BuildTest!$D$169,MOD(ROW()-ROW($A$2),ROWS(BuildTest!$D$169:$D$169)),TRUNC((ROW()-ROW($A$2))/ROWS(BuildTest!$D$169:$D$169)),1,1)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B42" s="28" t="str">
        <f ca="1">OFFSET(BuildTest!$D$175,MOD(ROW()-ROW($B$2),ROWS(BuildTest!$D$175:$D$175)),TRUNC((ROW()-ROW($B$2))/ROWS(BuildTest!$D$175:$D$175)),1,1)</f>
        <v>Nil</v>
      </c>
      <c r="C42" s="28" t="str">
        <f ca="1">OFFSET(BuildTest!$D$190,MOD(ROW()-ROW($C$2),ROWS(BuildTest!$D$190:$D$190)),TRUNC((ROW()-ROW($C$2))/ROWS(BuildTest!$D$190:$D$190)),1,1)</f>
        <v>&lt;BR&gt;&lt;BR&gt;Benefit Status=CUR&lt;BR&gt;Review created on FAL screen=No Review&lt;BR&gt;Customer FTB (A) Status=CUR&lt;BR&gt;Customer FTB (B) Status=CUR&lt;BR&gt;Customer RA Status=N-HOM&lt;BR&gt;Child Eligibility FTB(A)=Y&lt;BR&gt;Child Eligibility FTB(B)=Y</v>
      </c>
      <c r="D42" s="28" t="str">
        <f ca="1">OFFSET(BuildTest!$D$202,MOD(ROW()-ROW($D$2),ROWS(BuildTest!$D$202:$D$202)),TRUNC((ROW()-ROW($D$2))/ROWS(BuildTest!$D$202:$D$202)),1,1)</f>
        <v>FTB.Regression.NCL.Single customer.AU citzen.Relation type circ.foster carer</v>
      </c>
      <c r="E42" s="28" t="s">
        <v>849</v>
      </c>
      <c r="F42" s="29" t="str">
        <f ca="1">OFFSET(BuildTest!$D$205,MOD(ROW()-ROW($F$2),ROWS(BuildTest!$C$205:$D$205)),TRUNC((ROW()-ROW($F$2))/ROWS(BuildTest!$C$205:$C$205)),1,1)</f>
        <v>Index a FTB/NCL with below circumstance description &lt;BR&gt;&lt;BR&gt;&lt;B&gt;Customer  circumstances&lt;/B&gt;&lt;BR&gt;Residential Qualification = AU citizen&lt;BR&gt;Direct Credit details   =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G42" s="29" t="str">
        <f ca="1">OFFSET(BuildTest!$D$207,MOD(ROW()-ROW($G$2),ROWS(BuildTest!$D$207:$D$207)),TRUNC((ROW()-ROW($G$2))/ROWS(BuildTest!$D$207:$D$207)),1,1)</f>
        <v>Verify Assessment and Eligibility outcome
&lt;BR&gt;&lt;BR&gt;Benefit Status=CUR&lt;BR&gt;Review created on FAL screen=No Review&lt;BR&gt;Customer FTB (A) Status=CUR&lt;BR&gt;Customer FTB (B) Status=CUR&lt;BR&gt;Customer RA Status=N-HOM&lt;BR&gt;Child Eligibility FTB(A)=Y&lt;BR&gt;Child Eligibility FTB(B)=Y</v>
      </c>
    </row>
    <row r="43" spans="1:7" ht="405.75" thickBot="1">
      <c r="A43" s="30" t="str">
        <f ca="1">OFFSET(BuildTest!$D$169,MOD(ROW()-ROW($A$2),ROWS(BuildTest!$D$169:$D$169)),TRUNC((ROW()-ROW($A$2))/ROWS(BuildTest!$D$169:$D$169)),1,1)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v>
      </c>
      <c r="B43" s="28" t="str">
        <f ca="1">OFFSET(BuildTest!$D$175,MOD(ROW()-ROW($B$2),ROWS(BuildTest!$D$175:$D$175)),TRUNC((ROW()-ROW($B$2))/ROWS(BuildTest!$D$175:$D$175)),1,1)</f>
        <v>Nil</v>
      </c>
      <c r="C43" s="28" t="str">
        <f ca="1">OFFSET(BuildTest!$D$190,MOD(ROW()-ROW($C$2),ROWS(BuildTest!$D$190:$D$190)),TRUNC((ROW()-ROW($C$2))/ROWS(BuildTest!$D$190:$D$190)),1,1)</f>
        <v>&lt;BR&gt;&lt;BR&gt;Benefit Status=CUR&lt;BR&gt;Review created on FAL screen=No Review&lt;BR&gt;Customer FTB (A) Status=CUR&lt;BR&gt;Customer FTB (B) Status=CUR&lt;BR&gt;Customer RA Status=N-HOM&lt;BR&gt;Child Eligibility FTB(A)=Y&lt;BR&gt;Child Eligibility FTB(B)=Y</v>
      </c>
      <c r="D43" s="28" t="str">
        <f ca="1">OFFSET(BuildTest!$D$202,MOD(ROW()-ROW($D$2),ROWS(BuildTest!$D$202:$D$202)),TRUNC((ROW()-ROW($D$2))/ROWS(BuildTest!$D$202:$D$202)),1,1)</f>
        <v>FTB.Regression.NCL.Single customer.AU citzenRelation type circ.Other</v>
      </c>
      <c r="E43" s="28" t="s">
        <v>851</v>
      </c>
      <c r="F43" s="29" t="str">
        <f ca="1">OFFSET(BuildTest!$D$205,MOD(ROW()-ROW($F$2),ROWS(BuildTest!$C$205:$D$205)),TRUNC((ROW()-ROW($F$2))/ROWS(BuildTest!$C$205:$C$205)),1,1)</f>
        <v>Index a FTB/NCL with below circumstance description &lt;BR&gt;&lt;BR&gt;&lt;B&gt;Customer  circumstances&lt;/B&gt;&lt;BR&gt;Residential Qualification = AU citizen&lt;BR&gt;Direct Credit details   =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v>
      </c>
      <c r="G43" s="29" t="str">
        <f ca="1">OFFSET(BuildTest!$D$207,MOD(ROW()-ROW($G$2),ROWS(BuildTest!$D$207:$D$207)),TRUNC((ROW()-ROW($G$2))/ROWS(BuildTest!$D$207:$D$207)),1,1)</f>
        <v>Verify Assessment and Eligibility outcome
&lt;BR&gt;&lt;BR&gt;Benefit Status=CUR&lt;BR&gt;Review created on FAL screen=No Review&lt;BR&gt;Customer FTB (A) Status=CUR&lt;BR&gt;Customer FTB (B) Status=CUR&lt;BR&gt;Customer RA Status=N-HOM&lt;BR&gt;Child Eligibility FTB(A)=Y&lt;BR&gt;Child Eligibility FTB(B)=Y</v>
      </c>
    </row>
    <row r="44" spans="1:7" ht="405.75" thickBot="1">
      <c r="A44" s="30" t="str">
        <f ca="1">OFFSET(BuildTest!$D$169,MOD(ROW()-ROW($A$2),ROWS(BuildTest!$D$169:$D$169)),TRUNC((ROW()-ROW($A$2))/ROWS(BuildTest!$D$169:$D$169)),1,1)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B44" s="28" t="str">
        <f ca="1">OFFSET(BuildTest!$D$175,MOD(ROW()-ROW($B$2),ROWS(BuildTest!$D$175:$D$175)),TRUNC((ROW()-ROW($B$2))/ROWS(BuildTest!$D$175:$D$175)),1,1)</f>
        <v>Nil</v>
      </c>
      <c r="C44" s="28" t="str">
        <f ca="1">OFFSET(BuildTest!$D$190,MOD(ROW()-ROW($C$2),ROWS(BuildTest!$D$190:$D$190)),TRUNC((ROW()-ROW($C$2))/ROWS(BuildTest!$D$190:$D$190)),1,1)</f>
        <v>&lt;BR&gt;&lt;BR&gt;Benefit Status=CUR&lt;BR&gt;Review created on FAL screen=No Review&lt;BR&gt;Customer FTB (A) Status=CUR&lt;BR&gt;Customer FTB (B) Status=CUR&lt;BR&gt;Customer RA Status=N-HOM&lt;BR&gt;Child Eligibility FTB(A)=Y&lt;BR&gt;Child Eligibility FTB(B)=Y</v>
      </c>
      <c r="D44" s="28" t="str">
        <f ca="1">OFFSET(BuildTest!$D$202,MOD(ROW()-ROW($D$2),ROWS(BuildTest!$D$202:$D$202)),TRUNC((ROW()-ROW($D$2))/ROWS(BuildTest!$D$202:$D$202)),1,1)</f>
        <v xml:space="preserve">FTB.Regression.NCL.Single customer.AU citzenRelation type circ.grandParent </v>
      </c>
      <c r="E44" s="28" t="s">
        <v>853</v>
      </c>
      <c r="F44" s="29" t="str">
        <f ca="1">OFFSET(BuildTest!$D$205,MOD(ROW()-ROW($F$2),ROWS(BuildTest!$C$205:$D$205)),TRUNC((ROW()-ROW($F$2))/ROWS(BuildTest!$C$205:$C$205)),1,1)</f>
        <v>Index a FTB/NCL with below circumstance description &lt;BR&gt;&lt;BR&gt;&lt;B&gt;Customer  circumstances&lt;/B&gt;&lt;BR&gt;Residential Qualification = AU citizen&lt;BR&gt;Direct Credit details   =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G44" s="29" t="str">
        <f ca="1">OFFSET(BuildTest!$D$207,MOD(ROW()-ROW($G$2),ROWS(BuildTest!$D$207:$D$207)),TRUNC((ROW()-ROW($G$2))/ROWS(BuildTest!$D$207:$D$207)),1,1)</f>
        <v>Verify Assessment and Eligibility outcome
&lt;BR&gt;&lt;BR&gt;Benefit Status=CUR&lt;BR&gt;Review created on FAL screen=No Review&lt;BR&gt;Customer FTB (A) Status=CUR&lt;BR&gt;Customer FTB (B) Status=CUR&lt;BR&gt;Customer RA Status=N-HOM&lt;BR&gt;Child Eligibility FTB(A)=Y&lt;BR&gt;Child Eligibility FTB(B)=Y</v>
      </c>
    </row>
    <row r="45" spans="1:7" ht="409.6" thickBot="1">
      <c r="A45" s="30" t="str">
        <f ca="1">OFFSET(BuildTest!$D$169,MOD(ROW()-ROW($A$2),ROWS(BuildTest!$D$169:$D$169)),TRUNC((ROW()-ROW($A$2))/ROWS(BuildTest!$D$169:$D$169)),1,1)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Permanent Resident Visa Class&lt;BR&gt;Direct Credit details   = Coded Exemption - FNG&lt;BR&gt;TFN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B45" s="28" t="str">
        <f ca="1">OFFSET(BuildTest!$D$175,MOD(ROW()-ROW($B$2),ROWS(BuildTest!$D$175:$D$175)),TRUNC((ROW()-ROW($B$2))/ROWS(BuildTest!$D$175:$D$175)),1,1)</f>
        <v>Nil</v>
      </c>
      <c r="C45" s="28" t="str">
        <f ca="1">OFFSET(BuildTest!$D$190,MOD(ROW()-ROW($C$2),ROWS(BuildTest!$D$190:$D$190)),TRUNC((ROW()-ROW($C$2))/ROWS(BuildTest!$D$190:$D$190)),1,1)</f>
        <v>&lt;BR&gt;&lt;BR&gt;Benefit Status=CUR&lt;BR&gt;Review created on FAL screen=No Review&lt;BR&gt;Customer FTB (A) Status=CUR&lt;BR&gt;Customer FTB (B) Status=CUR&lt;BR&gt;Customer RA Status=N-HOM&lt;BR&gt;Child Eligibility FTB(A)=Y&lt;BR&gt;Child Eligibility FTB(B)=Y</v>
      </c>
      <c r="D45" s="28" t="str">
        <f ca="1">OFFSET(BuildTest!$D$202,MOD(ROW()-ROW($D$2),ROWS(BuildTest!$D$202:$D$202)),TRUNC((ROW()-ROW($D$2))/ROWS(BuildTest!$D$202:$D$202)),1,1)</f>
        <v>FTB.Regression.NCL.Single customer.Permanent Resident Visa.Direct credit circ.Exempt FNG</v>
      </c>
      <c r="E45" s="28" t="s">
        <v>855</v>
      </c>
      <c r="F45" s="29" t="str">
        <f ca="1">OFFSET(BuildTest!$D$205,MOD(ROW()-ROW($F$2),ROWS(BuildTest!$C$205:$D$205)),TRUNC((ROW()-ROW($F$2))/ROWS(BuildTest!$C$205:$C$205)),1,1)</f>
        <v>Index a FTB/NCL with below circumstance description &lt;BR&gt;&lt;BR&gt;&lt;B&gt;Customer  circumstances&lt;/B&gt;&lt;BR&gt;Residential Qualification = Permanent Resident Visa Class&lt;BR&gt;Direct Credit details   = Coded Exemption - FNG&lt;BR&gt;TFN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G45" s="29" t="str">
        <f ca="1">OFFSET(BuildTest!$D$207,MOD(ROW()-ROW($G$2),ROWS(BuildTest!$D$207:$D$207)),TRUNC((ROW()-ROW($G$2))/ROWS(BuildTest!$D$207:$D$207)),1,1)</f>
        <v>Verify Assessment and Eligibility outcome
&lt;BR&gt;&lt;BR&gt;Benefit Status=CUR&lt;BR&gt;Review created on FAL screen=No Review&lt;BR&gt;Customer FTB (A) Status=CUR&lt;BR&gt;Customer FTB (B) Status=CUR&lt;BR&gt;Customer RA Status=N-HOM&lt;BR&gt;Child Eligibility FTB(A)=Y&lt;BR&gt;Child Eligibility FTB(B)=Y</v>
      </c>
    </row>
    <row r="46" spans="1:7" ht="409.6" thickBot="1">
      <c r="A46" s="30" t="str">
        <f ca="1">OFFSET(BuildTest!$D$169,MOD(ROW()-ROW($A$2),ROWS(BuildTest!$D$169:$D$169)),TRUNC((ROW()-ROW($A$2))/ROWS(BuildTest!$D$169:$D$169)),1,1)</f>
        <v>The purpose of the test is to verify &lt;BR&gt;&lt;BR&gt;&lt;BR&gt;&lt;BR&gt;Benefit Status=NEF-BAN&lt;BR&gt;Review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Permanent Resident Visa Class&lt;BR&gt;Direct Credit details   = Not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B46" s="28" t="str">
        <f ca="1">OFFSET(BuildTest!$D$175,MOD(ROW()-ROW($B$2),ROWS(BuildTest!$D$175:$D$175)),TRUNC((ROW()-ROW($B$2))/ROWS(BuildTest!$D$175:$D$175)),1,1)</f>
        <v>Nil</v>
      </c>
      <c r="C46" s="28" t="str">
        <f ca="1">OFFSET(BuildTest!$D$190,MOD(ROW()-ROW($C$2),ROWS(BuildTest!$D$190:$D$190)),TRUNC((ROW()-ROW($C$2))/ROWS(BuildTest!$D$190:$D$190)),1,1)</f>
        <v>&lt;BR&gt;&lt;BR&gt;Benefit Status=NEF-BAN&lt;BR&gt;Review created on FAL screen=No Review&lt;BR&gt;Customer FTB (A) Status=NULL&lt;BR&gt;Customer FTB (B) Status=NULL&lt;BR&gt;Customer RA Status=N-NULL&lt;BR&gt;Child Eligibility FTB(A)=Y&lt;BR&gt;Child Eligibility FTB(B)=Y</v>
      </c>
      <c r="D46" s="28" t="str">
        <f ca="1">OFFSET(BuildTest!$D$202,MOD(ROW()-ROW($D$2),ROWS(BuildTest!$D$202:$D$202)),TRUNC((ROW()-ROW($D$2))/ROWS(BuildTest!$D$202:$D$202)),1,1)</f>
        <v>FTB.Regression.NCL.Single customer.Permanent Resident Visa.Direct credit circ.Not Coded</v>
      </c>
      <c r="E46" s="28" t="s">
        <v>857</v>
      </c>
      <c r="F46" s="29" t="str">
        <f ca="1">OFFSET(BuildTest!$D$205,MOD(ROW()-ROW($F$2),ROWS(BuildTest!$C$205:$D$205)),TRUNC((ROW()-ROW($F$2))/ROWS(BuildTest!$C$205:$C$205)),1,1)</f>
        <v>Index a FTB/NCL with below circumstance description &lt;BR&gt;&lt;BR&gt;&lt;B&gt;Customer  circumstances&lt;/B&gt;&lt;BR&gt;Residential Qualification = Permanent Resident Visa Class&lt;BR&gt;Direct Credit details   = Not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G46" s="29" t="str">
        <f ca="1">OFFSET(BuildTest!$D$207,MOD(ROW()-ROW($G$2),ROWS(BuildTest!$D$207:$D$207)),TRUNC((ROW()-ROW($G$2))/ROWS(BuildTest!$D$207:$D$207)),1,1)</f>
        <v>Verify Assessment and Eligibility outcome
&lt;BR&gt;&lt;BR&gt;Benefit Status=NEF-BAN&lt;BR&gt;Review created on FAL screen=No Review&lt;BR&gt;Customer FTB (A) Status=NULL&lt;BR&gt;Customer FTB (B) Status=NULL&lt;BR&gt;Customer RA Status=N-NULL&lt;BR&gt;Child Eligibility FTB(A)=Y&lt;BR&gt;Child Eligibility FTB(B)=Y</v>
      </c>
    </row>
    <row r="47" spans="1:7" ht="409.6" thickBot="1">
      <c r="A47" s="30" t="str">
        <f ca="1">OFFSET(BuildTest!$D$169,MOD(ROW()-ROW($A$2),ROWS(BuildTest!$D$169:$D$169)),TRUNC((ROW()-ROW($A$2))/ROWS(BuildTest!$D$169:$D$169)),1,1)</f>
        <v>The purpose of the test is to verify &lt;BR&gt;&lt;BR&gt;&lt;BR&gt;&lt;BR&gt;Benefit Status=NEF-NTC&lt;BR&gt;Review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Permanent Resident Visa Class&lt;BR&gt;Direct Credit details   = Coded&lt;BR&gt;TFN details = Not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B47" s="28" t="str">
        <f ca="1">OFFSET(BuildTest!$D$175,MOD(ROW()-ROW($B$2),ROWS(BuildTest!$D$175:$D$175)),TRUNC((ROW()-ROW($B$2))/ROWS(BuildTest!$D$175:$D$175)),1,1)</f>
        <v>Nil</v>
      </c>
      <c r="C47" s="28" t="str">
        <f ca="1">OFFSET(BuildTest!$D$190,MOD(ROW()-ROW($C$2),ROWS(BuildTest!$D$190:$D$190)),TRUNC((ROW()-ROW($C$2))/ROWS(BuildTest!$D$190:$D$190)),1,1)</f>
        <v>&lt;BR&gt;&lt;BR&gt;Benefit Status=NEF-NTC&lt;BR&gt;Review created on FAL screen=No Review&lt;BR&gt;Customer FTB (A) Status=NULL&lt;BR&gt;Customer FTB (B) Status=NULL&lt;BR&gt;Customer RA Status=N-NULL&lt;BR&gt;Child Eligibility FTB(A)=Y&lt;BR&gt;Child Eligibility FTB(B)=Y</v>
      </c>
      <c r="D47" s="28" t="str">
        <f ca="1">OFFSET(BuildTest!$D$202,MOD(ROW()-ROW($D$2),ROWS(BuildTest!$D$202:$D$202)),TRUNC((ROW()-ROW($D$2))/ROWS(BuildTest!$D$202:$D$202)),1,1)</f>
        <v>FTB.Regression.NCL.Single customer.Permanent Resident Visa.TFN circ.Not coded</v>
      </c>
      <c r="E47" s="28" t="s">
        <v>859</v>
      </c>
      <c r="F47" s="29" t="str">
        <f ca="1">OFFSET(BuildTest!$D$205,MOD(ROW()-ROW($F$2),ROWS(BuildTest!$C$205:$D$205)),TRUNC((ROW()-ROW($F$2))/ROWS(BuildTest!$C$205:$C$205)),1,1)</f>
        <v>Index a FTB/NCL with below circumstance description &lt;BR&gt;&lt;BR&gt;&lt;B&gt;Customer  circumstances&lt;/B&gt;&lt;BR&gt;Residential Qualification = Permanent Resident Visa Class&lt;BR&gt;Direct Credit details   = Coded&lt;BR&gt;TFN details = Not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G47" s="29" t="str">
        <f ca="1">OFFSET(BuildTest!$D$207,MOD(ROW()-ROW($G$2),ROWS(BuildTest!$D$207:$D$207)),TRUNC((ROW()-ROW($G$2))/ROWS(BuildTest!$D$207:$D$207)),1,1)</f>
        <v>Verify Assessment and Eligibility outcome
&lt;BR&gt;&lt;BR&gt;Benefit Status=NEF-NTC&lt;BR&gt;Review created on FAL screen=No Review&lt;BR&gt;Customer FTB (A) Status=NULL&lt;BR&gt;Customer FTB (B) Status=NULL&lt;BR&gt;Customer RA Status=N-NULL&lt;BR&gt;Child Eligibility FTB(A)=Y&lt;BR&gt;Child Eligibility FTB(B)=Y</v>
      </c>
    </row>
    <row r="48" spans="1:7" ht="409.6" thickBot="1">
      <c r="A48" s="30" t="str">
        <f ca="1">OFFSET(BuildTest!$D$169,MOD(ROW()-ROW($A$2),ROWS(BuildTest!$D$169:$D$169)),TRUNC((ROW()-ROW($A$2))/ROWS(BuildTest!$D$169:$D$169)),1,1)</f>
        <v>The purpose of the test is to verify &lt;BR&gt;&lt;BR&gt;&lt;BR&gt;&lt;BR&gt;Benefit Status=REJ-INC&lt;BR&gt;Review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Permanent Resident Visa Class&lt;BR&gt;Direct Credit details   = Coded&lt;BR&gt;TFN details = Coded&lt;BR&gt;Secondary Earner income = More than $ 27,613&lt;BR&gt;Home ownership code = Home owner - HOM&lt;BR&gt;&lt;BR&gt;&lt;BR&gt;&lt;B&gt;Child  circumstances&lt;/B&gt;&lt;BR&gt;Number of Child(ren) = 1&lt;BR&gt;Age of Child = &lt;= 5yr&lt;BR&gt;Principal Care Type = Adoptive Parent &lt;BR&gt;Care Percentage = 100% of Customer's care</v>
      </c>
      <c r="B48" s="28" t="str">
        <f ca="1">OFFSET(BuildTest!$D$175,MOD(ROW()-ROW($B$2),ROWS(BuildTest!$D$175:$D$175)),TRUNC((ROW()-ROW($B$2))/ROWS(BuildTest!$D$175:$D$175)),1,1)</f>
        <v>Nil</v>
      </c>
      <c r="C48" s="28" t="str">
        <f ca="1">OFFSET(BuildTest!$D$190,MOD(ROW()-ROW($C$2),ROWS(BuildTest!$D$190:$D$190)),TRUNC((ROW()-ROW($C$2))/ROWS(BuildTest!$D$190:$D$190)),1,1)</f>
        <v>&lt;BR&gt;&lt;BR&gt;Benefit Status=REJ-INC&lt;BR&gt;Review created on FAL screen=No Review&lt;BR&gt;Customer FTB (A) Status=NULL&lt;BR&gt;Customer FTB (B) Status=NULL&lt;BR&gt;Customer RA Status=N-NULL&lt;BR&gt;Child Eligibility FTB(A)=Y&lt;BR&gt;Child Eligibility FTB(B)=Y</v>
      </c>
      <c r="D48" s="28" t="str">
        <f ca="1">OFFSET(BuildTest!$D$202,MOD(ROW()-ROW($D$2),ROWS(BuildTest!$D$202:$D$202)),TRUNC((ROW()-ROW($D$2))/ROWS(BuildTest!$D$202:$D$202)),1,1)</f>
        <v>FTB.Regression.NCL.Single customer.Permanent Resident Visa.Income circ. Income above threshold</v>
      </c>
      <c r="E48" s="28" t="s">
        <v>860</v>
      </c>
      <c r="F48" s="29" t="str">
        <f ca="1">OFFSET(BuildTest!$D$205,MOD(ROW()-ROW($F$2),ROWS(BuildTest!$C$205:$D$205)),TRUNC((ROW()-ROW($F$2))/ROWS(BuildTest!$C$205:$C$205)),1,1)</f>
        <v>Index a FTB/NCL with below circumstance description &lt;BR&gt;&lt;BR&gt;&lt;B&gt;Customer  circumstances&lt;/B&gt;&lt;BR&gt;Residential Qualification = Permanent Resident Visa Class&lt;BR&gt;Direct Credit details   = Coded&lt;BR&gt;TFN details = Coded&lt;BR&gt;Secondary Earner income = More than $ 27,613&lt;BR&gt;Home ownership code = Home owner - HOM&lt;BR&gt;&lt;BR&gt;&lt;BR&gt;&lt;B&gt;Child  circumstances&lt;/B&gt;&lt;BR&gt;Number of Child(ren) = 1&lt;BR&gt;Age of Child = &lt;= 5yr&lt;BR&gt;Principal Care Type = Adoptive Parent &lt;BR&gt;Care Percentage = 100% of Customer's care</v>
      </c>
      <c r="G48" s="29" t="str">
        <f ca="1">OFFSET(BuildTest!$D$207,MOD(ROW()-ROW($G$2),ROWS(BuildTest!$D$207:$D$207)),TRUNC((ROW()-ROW($G$2))/ROWS(BuildTest!$D$207:$D$207)),1,1)</f>
        <v>Verify Assessment and Eligibility outcome
&lt;BR&gt;&lt;BR&gt;Benefit Status=REJ-INC&lt;BR&gt;Review created on FAL screen=No Review&lt;BR&gt;Customer FTB (A) Status=NULL&lt;BR&gt;Customer FTB (B) Status=NULL&lt;BR&gt;Customer RA Status=N-NULL&lt;BR&gt;Child Eligibility FTB(A)=Y&lt;BR&gt;Child Eligibility FTB(B)=Y</v>
      </c>
    </row>
    <row r="49" spans="1:7" ht="405.75" thickBot="1">
      <c r="A49" s="30" t="str">
        <f ca="1">OFFSET(BuildTest!$D$169,MOD(ROW()-ROW($A$2),ROWS(BuildTest!$D$169:$D$169)),TRUNC((ROW()-ROW($A$2))/ROWS(BuildTest!$D$169:$D$169)),1,1)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Permanent Resident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B49" s="28" t="str">
        <f ca="1">OFFSET(BuildTest!$D$175,MOD(ROW()-ROW($B$2),ROWS(BuildTest!$D$175:$D$175)),TRUNC((ROW()-ROW($B$2))/ROWS(BuildTest!$D$175:$D$175)),1,1)</f>
        <v>Nil</v>
      </c>
      <c r="C49" s="28" t="str">
        <f ca="1">OFFSET(BuildTest!$D$190,MOD(ROW()-ROW($C$2),ROWS(BuildTest!$D$190:$D$190)),TRUNC((ROW()-ROW($C$2))/ROWS(BuildTest!$D$190:$D$190)),1,1)</f>
        <v>&lt;BR&gt;&lt;BR&gt;Benefit Status=CUR&lt;BR&gt;Review created on FAL screen=No Review&lt;BR&gt;Customer FTB (A) Status=CUR&lt;BR&gt;Customer FTB (B) Status=CUR&lt;BR&gt;Customer RA Status=N-HOM&lt;BR&gt;Child Eligibility FTB(A)=Y&lt;BR&gt;Child Eligibility FTB(B)=Y</v>
      </c>
      <c r="D49" s="28" t="str">
        <f ca="1">OFFSET(BuildTest!$D$202,MOD(ROW()-ROW($D$2),ROWS(BuildTest!$D$202:$D$202)),TRUNC((ROW()-ROW($D$2))/ROWS(BuildTest!$D$202:$D$202)),1,1)</f>
        <v>FTB.Regression.NCL.Single customer.Permanent Resident VisaRelation type circ.step parent</v>
      </c>
      <c r="E49" s="28" t="s">
        <v>861</v>
      </c>
      <c r="F49" s="29" t="str">
        <f ca="1">OFFSET(BuildTest!$D$205,MOD(ROW()-ROW($F$2),ROWS(BuildTest!$C$205:$D$205)),TRUNC((ROW()-ROW($F$2))/ROWS(BuildTest!$C$205:$C$205)),1,1)</f>
        <v>Index a FTB/NCL with below circumstance description &lt;BR&gt;&lt;BR&gt;&lt;B&gt;Customer  circumstances&lt;/B&gt;&lt;BR&gt;Residential Qualification = Permanent Resident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G49" s="29" t="str">
        <f ca="1">OFFSET(BuildTest!$D$207,MOD(ROW()-ROW($G$2),ROWS(BuildTest!$D$207:$D$207)),TRUNC((ROW()-ROW($G$2))/ROWS(BuildTest!$D$207:$D$207)),1,1)</f>
        <v>Verify Assessment and Eligibility outcome
&lt;BR&gt;&lt;BR&gt;Benefit Status=CUR&lt;BR&gt;Review created on FAL screen=No Review&lt;BR&gt;Customer FTB (A) Status=CUR&lt;BR&gt;Customer FTB (B) Status=CUR&lt;BR&gt;Customer RA Status=N-HOM&lt;BR&gt;Child Eligibility FTB(A)=Y&lt;BR&gt;Child Eligibility FTB(B)=Y</v>
      </c>
    </row>
    <row r="50" spans="1:7" ht="409.6" thickBot="1">
      <c r="A50" s="30" t="str">
        <f ca="1">OFFSET(BuildTest!$D$169,MOD(ROW()-ROW($A$2),ROWS(BuildTest!$D$169:$D$169)),TRUNC((ROW()-ROW($A$2))/ROWS(BuildTest!$D$169:$D$169)),1,1)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Permanent Resident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B50" s="28" t="str">
        <f ca="1">OFFSET(BuildTest!$D$175,MOD(ROW()-ROW($B$2),ROWS(BuildTest!$D$175:$D$175)),TRUNC((ROW()-ROW($B$2))/ROWS(BuildTest!$D$175:$D$175)),1,1)</f>
        <v>Nil</v>
      </c>
      <c r="C50" s="28" t="str">
        <f ca="1">OFFSET(BuildTest!$D$190,MOD(ROW()-ROW($C$2),ROWS(BuildTest!$D$190:$D$190)),TRUNC((ROW()-ROW($C$2))/ROWS(BuildTest!$D$190:$D$190)),1,1)</f>
        <v>&lt;BR&gt;&lt;BR&gt;Benefit Status=CUR&lt;BR&gt;Review created on FAL screen=No Review&lt;BR&gt;Customer FTB (A) Status=CUR&lt;BR&gt;Customer FTB (B) Status=CUR&lt;BR&gt;Customer RA Status=N-HOM&lt;BR&gt;Child Eligibility FTB(A)=Y&lt;BR&gt;Child Eligibility FTB(B)=Y</v>
      </c>
      <c r="D50" s="28" t="str">
        <f ca="1">OFFSET(BuildTest!$D$202,MOD(ROW()-ROW($D$2),ROWS(BuildTest!$D$202:$D$202)),TRUNC((ROW()-ROW($D$2))/ROWS(BuildTest!$D$202:$D$202)),1,1)</f>
        <v>FTB.Regression.NCL.Single customer.Permanent Resident Visa.Relation type circ.adoptive parent</v>
      </c>
      <c r="E50" s="28" t="s">
        <v>862</v>
      </c>
      <c r="F50" s="29" t="str">
        <f ca="1">OFFSET(BuildTest!$D$205,MOD(ROW()-ROW($F$2),ROWS(BuildTest!$C$205:$D$205)),TRUNC((ROW()-ROW($F$2))/ROWS(BuildTest!$C$205:$C$205)),1,1)</f>
        <v>Index a FTB/NCL with below circumstance description &lt;BR&gt;&lt;BR&gt;&lt;B&gt;Customer  circumstances&lt;/B&gt;&lt;BR&gt;Residential Qualification = Permanent Resident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G50" s="29" t="str">
        <f ca="1">OFFSET(BuildTest!$D$207,MOD(ROW()-ROW($G$2),ROWS(BuildTest!$D$207:$D$207)),TRUNC((ROW()-ROW($G$2))/ROWS(BuildTest!$D$207:$D$207)),1,1)</f>
        <v>Verify Assessment and Eligibility outcome
&lt;BR&gt;&lt;BR&gt;Benefit Status=CUR&lt;BR&gt;Review created on FAL screen=No Review&lt;BR&gt;Customer FTB (A) Status=CUR&lt;BR&gt;Customer FTB (B) Status=CUR&lt;BR&gt;Customer RA Status=N-HOM&lt;BR&gt;Child Eligibility FTB(A)=Y&lt;BR&gt;Child Eligibility FTB(B)=Y</v>
      </c>
    </row>
    <row r="51" spans="1:7" ht="405.75" thickBot="1">
      <c r="A51" s="30" t="str">
        <f ca="1">OFFSET(BuildTest!$D$169,MOD(ROW()-ROW($A$2),ROWS(BuildTest!$D$169:$D$169)),TRUNC((ROW()-ROW($A$2))/ROWS(BuildTest!$D$169:$D$169)),1,1)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Permanent Resident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B51" s="28" t="str">
        <f ca="1">OFFSET(BuildTest!$D$175,MOD(ROW()-ROW($B$2),ROWS(BuildTest!$D$175:$D$175)),TRUNC((ROW()-ROW($B$2))/ROWS(BuildTest!$D$175:$D$175)),1,1)</f>
        <v>Nil</v>
      </c>
      <c r="C51" s="28" t="str">
        <f ca="1">OFFSET(BuildTest!$D$190,MOD(ROW()-ROW($C$2),ROWS(BuildTest!$D$190:$D$190)),TRUNC((ROW()-ROW($C$2))/ROWS(BuildTest!$D$190:$D$190)),1,1)</f>
        <v>&lt;BR&gt;&lt;BR&gt;Benefit Status=CUR&lt;BR&gt;Review created on FAL screen=No Review&lt;BR&gt;Customer FTB (A) Status=CUR&lt;BR&gt;Customer FTB (B) Status=CUR&lt;BR&gt;Customer RA Status=N-HOM&lt;BR&gt;Child Eligibility FTB(A)=Y&lt;BR&gt;Child Eligibility FTB(B)=Y</v>
      </c>
      <c r="D51" s="28" t="str">
        <f ca="1">OFFSET(BuildTest!$D$202,MOD(ROW()-ROW($D$2),ROWS(BuildTest!$D$202:$D$202)),TRUNC((ROW()-ROW($D$2))/ROWS(BuildTest!$D$202:$D$202)),1,1)</f>
        <v>FTB.Regression.NCL.Single customer.Permanent Resident Visa.Relation type circ.Foster Carer</v>
      </c>
      <c r="E51" s="28" t="s">
        <v>863</v>
      </c>
      <c r="F51" s="29" t="str">
        <f ca="1">OFFSET(BuildTest!$D$205,MOD(ROW()-ROW($F$2),ROWS(BuildTest!$C$205:$D$205)),TRUNC((ROW()-ROW($F$2))/ROWS(BuildTest!$C$205:$C$205)),1,1)</f>
        <v>Index a FTB/NCL with below circumstance description &lt;BR&gt;&lt;BR&gt;&lt;B&gt;Customer  circumstances&lt;/B&gt;&lt;BR&gt;Residential Qualification = Permanent Resident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G51" s="29" t="str">
        <f ca="1">OFFSET(BuildTest!$D$207,MOD(ROW()-ROW($G$2),ROWS(BuildTest!$D$207:$D$207)),TRUNC((ROW()-ROW($G$2))/ROWS(BuildTest!$D$207:$D$207)),1,1)</f>
        <v>Verify Assessment and Eligibility outcome
&lt;BR&gt;&lt;BR&gt;Benefit Status=CUR&lt;BR&gt;Review created on FAL screen=No Review&lt;BR&gt;Customer FTB (A) Status=CUR&lt;BR&gt;Customer FTB (B) Status=CUR&lt;BR&gt;Customer RA Status=N-HOM&lt;BR&gt;Child Eligibility FTB(A)=Y&lt;BR&gt;Child Eligibility FTB(B)=Y</v>
      </c>
    </row>
    <row r="52" spans="1:7" ht="405.75" thickBot="1">
      <c r="A52" s="30" t="str">
        <f ca="1">OFFSET(BuildTest!$D$169,MOD(ROW()-ROW($A$2),ROWS(BuildTest!$D$169:$D$169)),TRUNC((ROW()-ROW($A$2))/ROWS(BuildTest!$D$169:$D$169)),1,1)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Permanent Resident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v>
      </c>
      <c r="B52" s="28" t="str">
        <f ca="1">OFFSET(BuildTest!$D$175,MOD(ROW()-ROW($B$2),ROWS(BuildTest!$D$175:$D$175)),TRUNC((ROW()-ROW($B$2))/ROWS(BuildTest!$D$175:$D$175)),1,1)</f>
        <v>Nil</v>
      </c>
      <c r="C52" s="28" t="str">
        <f ca="1">OFFSET(BuildTest!$D$190,MOD(ROW()-ROW($C$2),ROWS(BuildTest!$D$190:$D$190)),TRUNC((ROW()-ROW($C$2))/ROWS(BuildTest!$D$190:$D$190)),1,1)</f>
        <v>&lt;BR&gt;&lt;BR&gt;Benefit Status=CUR&lt;BR&gt;Review created on FAL screen=No Review&lt;BR&gt;Customer FTB (A) Status=CUR&lt;BR&gt;Customer FTB (B) Status=CUR&lt;BR&gt;Customer RA Status=N-HOM&lt;BR&gt;Child Eligibility FTB(A)=Y&lt;BR&gt;Child Eligibility FTB(B)=Y</v>
      </c>
      <c r="D52" s="28" t="str">
        <f ca="1">OFFSET(BuildTest!$D$202,MOD(ROW()-ROW($D$2),ROWS(BuildTest!$D$202:$D$202)),TRUNC((ROW()-ROW($D$2))/ROWS(BuildTest!$D$202:$D$202)),1,1)</f>
        <v>FTB.Regression.NCL.Single customer.Permanent Resident Visa.Relation type circ.other</v>
      </c>
      <c r="E52" s="28" t="s">
        <v>864</v>
      </c>
      <c r="F52" s="29" t="str">
        <f ca="1">OFFSET(BuildTest!$D$205,MOD(ROW()-ROW($F$2),ROWS(BuildTest!$C$205:$D$205)),TRUNC((ROW()-ROW($F$2))/ROWS(BuildTest!$C$205:$C$205)),1,1)</f>
        <v>Index a FTB/NCL with below circumstance description &lt;BR&gt;&lt;BR&gt;&lt;B&gt;Customer  circumstances&lt;/B&gt;&lt;BR&gt;Residential Qualification = Permanent Resident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v>
      </c>
      <c r="G52" s="29" t="str">
        <f ca="1">OFFSET(BuildTest!$D$207,MOD(ROW()-ROW($G$2),ROWS(BuildTest!$D$207:$D$207)),TRUNC((ROW()-ROW($G$2))/ROWS(BuildTest!$D$207:$D$207)),1,1)</f>
        <v>Verify Assessment and Eligibility outcome
&lt;BR&gt;&lt;BR&gt;Benefit Status=CUR&lt;BR&gt;Review created on FAL screen=No Review&lt;BR&gt;Customer FTB (A) Status=CUR&lt;BR&gt;Customer FTB (B) Status=CUR&lt;BR&gt;Customer RA Status=N-HOM&lt;BR&gt;Child Eligibility FTB(A)=Y&lt;BR&gt;Child Eligibility FTB(B)=Y</v>
      </c>
    </row>
    <row r="53" spans="1:7" ht="405.75" thickBot="1">
      <c r="A53" s="30" t="str">
        <f ca="1">OFFSET(BuildTest!$D$169,MOD(ROW()-ROW($A$2),ROWS(BuildTest!$D$169:$D$169)),TRUNC((ROW()-ROW($A$2))/ROWS(BuildTest!$D$169:$D$169)),1,1)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Permanent Resident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B53" s="28" t="str">
        <f ca="1">OFFSET(BuildTest!$D$175,MOD(ROW()-ROW($B$2),ROWS(BuildTest!$D$175:$D$175)),TRUNC((ROW()-ROW($B$2))/ROWS(BuildTest!$D$175:$D$175)),1,1)</f>
        <v>Nil</v>
      </c>
      <c r="C53" s="28" t="str">
        <f ca="1">OFFSET(BuildTest!$D$190,MOD(ROW()-ROW($C$2),ROWS(BuildTest!$D$190:$D$190)),TRUNC((ROW()-ROW($C$2))/ROWS(BuildTest!$D$190:$D$190)),1,1)</f>
        <v>&lt;BR&gt;&lt;BR&gt;Benefit Status=CUR&lt;BR&gt;Review created on FAL screen=No Review&lt;BR&gt;Customer FTB (A) Status=CUR&lt;BR&gt;Customer FTB (B) Status=CUR&lt;BR&gt;Customer RA Status=N-HOM&lt;BR&gt;Child Eligibility FTB(A)=Y&lt;BR&gt;Child Eligibility FTB(B)=Y</v>
      </c>
      <c r="D53" s="28" t="str">
        <f ca="1">OFFSET(BuildTest!$D$202,MOD(ROW()-ROW($D$2),ROWS(BuildTest!$D$202:$D$202)),TRUNC((ROW()-ROW($D$2))/ROWS(BuildTest!$D$202:$D$202)),1,1)</f>
        <v>FTB.Regression.NCL.Single customer.Permanent Resident Visa.Relation type circ.grandParent</v>
      </c>
      <c r="E53" s="28" t="s">
        <v>865</v>
      </c>
      <c r="F53" s="29" t="str">
        <f ca="1">OFFSET(BuildTest!$D$205,MOD(ROW()-ROW($F$2),ROWS(BuildTest!$C$205:$D$205)),TRUNC((ROW()-ROW($F$2))/ROWS(BuildTest!$C$205:$C$205)),1,1)</f>
        <v>Index a FTB/NCL with below circumstance description &lt;BR&gt;&lt;BR&gt;&lt;B&gt;Customer  circumstances&lt;/B&gt;&lt;BR&gt;Residential Qualification = Permanent Resident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G53" s="29" t="str">
        <f ca="1">OFFSET(BuildTest!$D$207,MOD(ROW()-ROW($G$2),ROWS(BuildTest!$D$207:$D$207)),TRUNC((ROW()-ROW($G$2))/ROWS(BuildTest!$D$207:$D$207)),1,1)</f>
        <v>Verify Assessment and Eligibility outcome
&lt;BR&gt;&lt;BR&gt;Benefit Status=CUR&lt;BR&gt;Review created on FAL screen=No Review&lt;BR&gt;Customer FTB (A) Status=CUR&lt;BR&gt;Customer FTB (B) Status=CUR&lt;BR&gt;Customer RA Status=N-HOM&lt;BR&gt;Child Eligibility FTB(A)=Y&lt;BR&gt;Child Eligibility FTB(B)=Y</v>
      </c>
    </row>
    <row r="54" spans="1:7" ht="409.6" thickBot="1">
      <c r="A54" s="30" t="str">
        <f ca="1">OFFSET(BuildTest!$D$169,MOD(ROW()-ROW($A$2),ROWS(BuildTest!$D$169:$D$169)),TRUNC((ROW()-ROW($A$2))/ROWS(BuildTest!$D$169:$D$169)),1,1)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Spouse/Partner Visa Class&lt;BR&gt;Direct Credit details   = Coded Exemption - FNG&lt;BR&gt;TFN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B54" s="28" t="str">
        <f ca="1">OFFSET(BuildTest!$D$175,MOD(ROW()-ROW($B$2),ROWS(BuildTest!$D$175:$D$175)),TRUNC((ROW()-ROW($B$2))/ROWS(BuildTest!$D$175:$D$175)),1,1)</f>
        <v>Nil</v>
      </c>
      <c r="C54" s="28" t="str">
        <f ca="1">OFFSET(BuildTest!$D$190,MOD(ROW()-ROW($C$2),ROWS(BuildTest!$D$190:$D$190)),TRUNC((ROW()-ROW($C$2))/ROWS(BuildTest!$D$190:$D$190)),1,1)</f>
        <v>&lt;BR&gt;&lt;BR&gt;Benefit Status=CUR&lt;BR&gt;Review created on FAL screen=No Review&lt;BR&gt;Customer FTB (A) Status=CUR&lt;BR&gt;Customer FTB (B) Status=CUR&lt;BR&gt;Customer RA Status=N-HOM&lt;BR&gt;Child Eligibility FTB(A)=Y&lt;BR&gt;Child Eligibility FTB(B)=Y</v>
      </c>
      <c r="D54" s="28" t="str">
        <f ca="1">OFFSET(BuildTest!$D$202,MOD(ROW()-ROW($D$2),ROWS(BuildTest!$D$202:$D$202)),TRUNC((ROW()-ROW($D$2))/ROWS(BuildTest!$D$202:$D$202)),1,1)</f>
        <v>FTB.Regression.NCL.Single customer.Permanent Resident Visa.Direct credit circ.Exempt FNG</v>
      </c>
      <c r="E54" s="28" t="s">
        <v>866</v>
      </c>
      <c r="F54" s="29" t="str">
        <f ca="1">OFFSET(BuildTest!$D$205,MOD(ROW()-ROW($F$2),ROWS(BuildTest!$C$205:$D$205)),TRUNC((ROW()-ROW($F$2))/ROWS(BuildTest!$C$205:$C$205)),1,1)</f>
        <v>Index a FTB/NCL with below circumstance description &lt;BR&gt;&lt;BR&gt;&lt;B&gt;Customer  circumstances&lt;/B&gt;&lt;BR&gt;Residential Qualification = Spouse/Partner Visa Class&lt;BR&gt;Direct Credit details   = Coded Exemption - FNG&lt;BR&gt;TFN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G54" s="29" t="str">
        <f ca="1">OFFSET(BuildTest!$D$207,MOD(ROW()-ROW($G$2),ROWS(BuildTest!$D$207:$D$207)),TRUNC((ROW()-ROW($G$2))/ROWS(BuildTest!$D$207:$D$207)),1,1)</f>
        <v>Verify Assessment and Eligibility outcome
&lt;BR&gt;&lt;BR&gt;Benefit Status=CUR&lt;BR&gt;Review created on FAL screen=No Review&lt;BR&gt;Customer FTB (A) Status=CUR&lt;BR&gt;Customer FTB (B) Status=CUR&lt;BR&gt;Customer RA Status=N-HOM&lt;BR&gt;Child Eligibility FTB(A)=Y&lt;BR&gt;Child Eligibility FTB(B)=Y</v>
      </c>
    </row>
    <row r="55" spans="1:7" ht="405.75" thickBot="1">
      <c r="A55" s="30" t="str">
        <f ca="1">OFFSET(BuildTest!$D$169,MOD(ROW()-ROW($A$2),ROWS(BuildTest!$D$169:$D$169)),TRUNC((ROW()-ROW($A$2))/ROWS(BuildTest!$D$169:$D$169)),1,1)</f>
        <v>The purpose of the test is to verify &lt;BR&gt;&lt;BR&gt;&lt;BR&gt;&lt;BR&gt;Benefit Status=NEF-BAN&lt;BR&gt;Review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Spouse/Partner Visa Class&lt;BR&gt;Direct Credit details   = Not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B55" s="28" t="str">
        <f ca="1">OFFSET(BuildTest!$D$175,MOD(ROW()-ROW($B$2),ROWS(BuildTest!$D$175:$D$175)),TRUNC((ROW()-ROW($B$2))/ROWS(BuildTest!$D$175:$D$175)),1,1)</f>
        <v>Nil</v>
      </c>
      <c r="C55" s="28" t="str">
        <f ca="1">OFFSET(BuildTest!$D$190,MOD(ROW()-ROW($C$2),ROWS(BuildTest!$D$190:$D$190)),TRUNC((ROW()-ROW($C$2))/ROWS(BuildTest!$D$190:$D$190)),1,1)</f>
        <v>&lt;BR&gt;&lt;BR&gt;Benefit Status=NEF-BAN&lt;BR&gt;Review created on FAL screen=No Review&lt;BR&gt;Customer FTB (A) Status=NULL&lt;BR&gt;Customer FTB (B) Status=NULL&lt;BR&gt;Customer RA Status=N-NULL&lt;BR&gt;Child Eligibility FTB(A)=Y&lt;BR&gt;Child Eligibility FTB(B)=Y</v>
      </c>
      <c r="D55" s="28" t="str">
        <f ca="1">OFFSET(BuildTest!$D$202,MOD(ROW()-ROW($D$2),ROWS(BuildTest!$D$202:$D$202)),TRUNC((ROW()-ROW($D$2))/ROWS(BuildTest!$D$202:$D$202)),1,1)</f>
        <v>FTB.Regression.NCL.Single customer.Permanent Resident Visa.Direct credit circ.Not Coded</v>
      </c>
      <c r="E55" s="28" t="s">
        <v>867</v>
      </c>
      <c r="F55" s="29" t="str">
        <f ca="1">OFFSET(BuildTest!$D$205,MOD(ROW()-ROW($F$2),ROWS(BuildTest!$C$205:$D$205)),TRUNC((ROW()-ROW($F$2))/ROWS(BuildTest!$C$205:$C$205)),1,1)</f>
        <v>Index a FTB/NCL with below circumstance description &lt;BR&gt;&lt;BR&gt;&lt;B&gt;Customer  circumstances&lt;/B&gt;&lt;BR&gt;Residential Qualification = Spouse/Partner Visa Class&lt;BR&gt;Direct Credit details   = Not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G55" s="29" t="str">
        <f ca="1">OFFSET(BuildTest!$D$207,MOD(ROW()-ROW($G$2),ROWS(BuildTest!$D$207:$D$207)),TRUNC((ROW()-ROW($G$2))/ROWS(BuildTest!$D$207:$D$207)),1,1)</f>
        <v>Verify Assessment and Eligibility outcome
&lt;BR&gt;&lt;BR&gt;Benefit Status=NEF-BAN&lt;BR&gt;Review created on FAL screen=No Review&lt;BR&gt;Customer FTB (A) Status=NULL&lt;BR&gt;Customer FTB (B) Status=NULL&lt;BR&gt;Customer RA Status=N-NULL&lt;BR&gt;Child Eligibility FTB(A)=Y&lt;BR&gt;Child Eligibility FTB(B)=Y</v>
      </c>
    </row>
    <row r="56" spans="1:7" ht="405.75" thickBot="1">
      <c r="A56" s="30" t="str">
        <f ca="1">OFFSET(BuildTest!$D$169,MOD(ROW()-ROW($A$2),ROWS(BuildTest!$D$169:$D$169)),TRUNC((ROW()-ROW($A$2))/ROWS(BuildTest!$D$169:$D$169)),1,1)</f>
        <v>The purpose of the test is to verify &lt;BR&gt;&lt;BR&gt;&lt;BR&gt;&lt;BR&gt;Benefit Status=NEF-NTC&lt;BR&gt;Review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Spouse/Partner Visa Class&lt;BR&gt;Direct Credit details   = Coded&lt;BR&gt;TFN details = Not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B56" s="28" t="str">
        <f ca="1">OFFSET(BuildTest!$D$175,MOD(ROW()-ROW($B$2),ROWS(BuildTest!$D$175:$D$175)),TRUNC((ROW()-ROW($B$2))/ROWS(BuildTest!$D$175:$D$175)),1,1)</f>
        <v>Nil</v>
      </c>
      <c r="C56" s="28" t="str">
        <f ca="1">OFFSET(BuildTest!$D$190,MOD(ROW()-ROW($C$2),ROWS(BuildTest!$D$190:$D$190)),TRUNC((ROW()-ROW($C$2))/ROWS(BuildTest!$D$190:$D$190)),1,1)</f>
        <v>&lt;BR&gt;&lt;BR&gt;Benefit Status=NEF-NTC&lt;BR&gt;Review created on FAL screen=No Review&lt;BR&gt;Customer FTB (A) Status=NULL&lt;BR&gt;Customer FTB (B) Status=NULL&lt;BR&gt;Customer RA Status=N-NULL&lt;BR&gt;Child Eligibility FTB(A)=Y&lt;BR&gt;Child Eligibility FTB(B)=Y</v>
      </c>
      <c r="D56" s="28" t="str">
        <f ca="1">OFFSET(BuildTest!$D$202,MOD(ROW()-ROW($D$2),ROWS(BuildTest!$D$202:$D$202)),TRUNC((ROW()-ROW($D$2))/ROWS(BuildTest!$D$202:$D$202)),1,1)</f>
        <v>FTB.Regression.NCL.Single customer.Permanent Resident Visa.TFN circ.Not coded</v>
      </c>
      <c r="E56" s="28" t="s">
        <v>868</v>
      </c>
      <c r="F56" s="29" t="str">
        <f ca="1">OFFSET(BuildTest!$D$205,MOD(ROW()-ROW($F$2),ROWS(BuildTest!$C$205:$D$205)),TRUNC((ROW()-ROW($F$2))/ROWS(BuildTest!$C$205:$C$205)),1,1)</f>
        <v>Index a FTB/NCL with below circumstance description &lt;BR&gt;&lt;BR&gt;&lt;B&gt;Customer  circumstances&lt;/B&gt;&lt;BR&gt;Residential Qualification = Spouse/Partner Visa Class&lt;BR&gt;Direct Credit details   = Coded&lt;BR&gt;TFN details = Not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G56" s="29" t="str">
        <f ca="1">OFFSET(BuildTest!$D$207,MOD(ROW()-ROW($G$2),ROWS(BuildTest!$D$207:$D$207)),TRUNC((ROW()-ROW($G$2))/ROWS(BuildTest!$D$207:$D$207)),1,1)</f>
        <v>Verify Assessment and Eligibility outcome
&lt;BR&gt;&lt;BR&gt;Benefit Status=NEF-NTC&lt;BR&gt;Review created on FAL screen=No Review&lt;BR&gt;Customer FTB (A) Status=NULL&lt;BR&gt;Customer FTB (B) Status=NULL&lt;BR&gt;Customer RA Status=N-NULL&lt;BR&gt;Child Eligibility FTB(A)=Y&lt;BR&gt;Child Eligibility FTB(B)=Y</v>
      </c>
    </row>
    <row r="57" spans="1:7" ht="405.75" thickBot="1">
      <c r="A57" s="30" t="str">
        <f ca="1">OFFSET(BuildTest!$D$169,MOD(ROW()-ROW($A$2),ROWS(BuildTest!$D$169:$D$169)),TRUNC((ROW()-ROW($A$2))/ROWS(BuildTest!$D$169:$D$169)),1,1)</f>
        <v>The purpose of the test is to verify &lt;BR&gt;&lt;BR&gt;&lt;BR&gt;&lt;BR&gt;Benefit Status=REJ-INC&lt;BR&gt;Review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Spouse/Partner Visa Class&lt;BR&gt;Direct Credit details   = Coded&lt;BR&gt;TFN details = Coded&lt;BR&gt;Secondary Earner income = More than $ 27,613&lt;BR&gt;Home ownership code = Home owner - HOM&lt;BR&gt;&lt;BR&gt;&lt;BR&gt;&lt;B&gt;Child  circumstances&lt;/B&gt;&lt;BR&gt;Number of Child(ren) = 1&lt;BR&gt;Age of Child = &lt;= 5yr&lt;BR&gt;Principal Care Type = Foster carer&lt;BR&gt;Care Percentage = 100% of Customer's care</v>
      </c>
      <c r="B57" s="28" t="str">
        <f ca="1">OFFSET(BuildTest!$D$175,MOD(ROW()-ROW($B$2),ROWS(BuildTest!$D$175:$D$175)),TRUNC((ROW()-ROW($B$2))/ROWS(BuildTest!$D$175:$D$175)),1,1)</f>
        <v>Nil</v>
      </c>
      <c r="C57" s="28" t="str">
        <f ca="1">OFFSET(BuildTest!$D$190,MOD(ROW()-ROW($C$2),ROWS(BuildTest!$D$190:$D$190)),TRUNC((ROW()-ROW($C$2))/ROWS(BuildTest!$D$190:$D$190)),1,1)</f>
        <v>&lt;BR&gt;&lt;BR&gt;Benefit Status=REJ-INC&lt;BR&gt;Review created on FAL screen=No Review&lt;BR&gt;Customer FTB (A) Status=NULL&lt;BR&gt;Customer FTB (B) Status=NULL&lt;BR&gt;Customer RA Status=N-NULL&lt;BR&gt;Child Eligibility FTB(A)=Y&lt;BR&gt;Child Eligibility FTB(B)=Y</v>
      </c>
      <c r="D57" s="28" t="str">
        <f ca="1">OFFSET(BuildTest!$D$202,MOD(ROW()-ROW($D$2),ROWS(BuildTest!$D$202:$D$202)),TRUNC((ROW()-ROW($D$2))/ROWS(BuildTest!$D$202:$D$202)),1,1)</f>
        <v>FTB.Regression.NCL.Single customer.Permanent Resident Visa.Income circ. Income above threshold</v>
      </c>
      <c r="E57" s="28" t="s">
        <v>869</v>
      </c>
      <c r="F57" s="29" t="str">
        <f ca="1">OFFSET(BuildTest!$D$205,MOD(ROW()-ROW($F$2),ROWS(BuildTest!$C$205:$D$205)),TRUNC((ROW()-ROW($F$2))/ROWS(BuildTest!$C$205:$C$205)),1,1)</f>
        <v>Index a FTB/NCL with below circumstance description &lt;BR&gt;&lt;BR&gt;&lt;B&gt;Customer  circumstances&lt;/B&gt;&lt;BR&gt;Residential Qualification = Spouse/Partner Visa Class&lt;BR&gt;Direct Credit details   = Coded&lt;BR&gt;TFN details = Coded&lt;BR&gt;Secondary Earner income = More than $ 27,613&lt;BR&gt;Home ownership code = Home owner - HOM&lt;BR&gt;&lt;BR&gt;&lt;BR&gt;&lt;B&gt;Child  circumstances&lt;/B&gt;&lt;BR&gt;Number of Child(ren) = 1&lt;BR&gt;Age of Child = &lt;= 5yr&lt;BR&gt;Principal Care Type = Foster carer&lt;BR&gt;Care Percentage = 100% of Customer's care</v>
      </c>
      <c r="G57" s="29" t="str">
        <f ca="1">OFFSET(BuildTest!$D$207,MOD(ROW()-ROW($G$2),ROWS(BuildTest!$D$207:$D$207)),TRUNC((ROW()-ROW($G$2))/ROWS(BuildTest!$D$207:$D$207)),1,1)</f>
        <v>Verify Assessment and Eligibility outcome
&lt;BR&gt;&lt;BR&gt;Benefit Status=REJ-INC&lt;BR&gt;Review created on FAL screen=No Review&lt;BR&gt;Customer FTB (A) Status=NULL&lt;BR&gt;Customer FTB (B) Status=NULL&lt;BR&gt;Customer RA Status=N-NULL&lt;BR&gt;Child Eligibility FTB(A)=Y&lt;BR&gt;Child Eligibility FTB(B)=Y</v>
      </c>
    </row>
    <row r="58" spans="1:7" ht="405.75" thickBot="1">
      <c r="A58" s="30" t="str">
        <f ca="1">OFFSET(BuildTest!$D$169,MOD(ROW()-ROW($A$2),ROWS(BuildTest!$D$169:$D$169)),TRUNC((ROW()-ROW($A$2))/ROWS(BuildTest!$D$169:$D$169)),1,1)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Spouse/Partner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B58" s="28" t="str">
        <f ca="1">OFFSET(BuildTest!$D$175,MOD(ROW()-ROW($B$2),ROWS(BuildTest!$D$175:$D$175)),TRUNC((ROW()-ROW($B$2))/ROWS(BuildTest!$D$175:$D$175)),1,1)</f>
        <v>Nil</v>
      </c>
      <c r="C58" s="28" t="str">
        <f ca="1">OFFSET(BuildTest!$D$190,MOD(ROW()-ROW($C$2),ROWS(BuildTest!$D$190:$D$190)),TRUNC((ROW()-ROW($C$2))/ROWS(BuildTest!$D$190:$D$190)),1,1)</f>
        <v>&lt;BR&gt;&lt;BR&gt;Benefit Status=CUR&lt;BR&gt;Review created on FAL screen=No Review&lt;BR&gt;Customer FTB (A) Status=CUR&lt;BR&gt;Customer FTB (B) Status=CUR&lt;BR&gt;Customer RA Status=N-HOM&lt;BR&gt;Child Eligibility FTB(A)=Y&lt;BR&gt;Child Eligibility FTB(B)=Y</v>
      </c>
      <c r="D58" s="28" t="str">
        <f ca="1">OFFSET(BuildTest!$D$202,MOD(ROW()-ROW($D$2),ROWS(BuildTest!$D$202:$D$202)),TRUNC((ROW()-ROW($D$2))/ROWS(BuildTest!$D$202:$D$202)),1,1)</f>
        <v>FTB.Regression.NCL.Single customer.Permanent Resident VisaRelation type circ.step parent</v>
      </c>
      <c r="E58" s="28" t="s">
        <v>870</v>
      </c>
      <c r="F58" s="29" t="str">
        <f ca="1">OFFSET(BuildTest!$D$205,MOD(ROW()-ROW($F$2),ROWS(BuildTest!$C$205:$D$205)),TRUNC((ROW()-ROW($F$2))/ROWS(BuildTest!$C$205:$C$205)),1,1)</f>
        <v>Index a FTB/NCL with below circumstance description &lt;BR&gt;&lt;BR&gt;&lt;B&gt;Customer  circumstances&lt;/B&gt;&lt;BR&gt;Residential Qualification = Spouse/Partner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G58" s="29" t="str">
        <f ca="1">OFFSET(BuildTest!$D$207,MOD(ROW()-ROW($G$2),ROWS(BuildTest!$D$207:$D$207)),TRUNC((ROW()-ROW($G$2))/ROWS(BuildTest!$D$207:$D$207)),1,1)</f>
        <v>Verify Assessment and Eligibility outcome
&lt;BR&gt;&lt;BR&gt;Benefit Status=CUR&lt;BR&gt;Review created on FAL screen=No Review&lt;BR&gt;Customer FTB (A) Status=CUR&lt;BR&gt;Customer FTB (B) Status=CUR&lt;BR&gt;Customer RA Status=N-HOM&lt;BR&gt;Child Eligibility FTB(A)=Y&lt;BR&gt;Child Eligibility FTB(B)=Y</v>
      </c>
    </row>
    <row r="59" spans="1:7" ht="409.6" thickBot="1">
      <c r="A59" s="30" t="str">
        <f ca="1">OFFSET(BuildTest!$D$169,MOD(ROW()-ROW($A$2),ROWS(BuildTest!$D$169:$D$169)),TRUNC((ROW()-ROW($A$2))/ROWS(BuildTest!$D$169:$D$169)),1,1)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Spouse/Partner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B59" s="28" t="str">
        <f ca="1">OFFSET(BuildTest!$D$175,MOD(ROW()-ROW($B$2),ROWS(BuildTest!$D$175:$D$175)),TRUNC((ROW()-ROW($B$2))/ROWS(BuildTest!$D$175:$D$175)),1,1)</f>
        <v>Nil</v>
      </c>
      <c r="C59" s="28" t="str">
        <f ca="1">OFFSET(BuildTest!$D$190,MOD(ROW()-ROW($C$2),ROWS(BuildTest!$D$190:$D$190)),TRUNC((ROW()-ROW($C$2))/ROWS(BuildTest!$D$190:$D$190)),1,1)</f>
        <v>&lt;BR&gt;&lt;BR&gt;Benefit Status=CUR&lt;BR&gt;Review created on FAL screen=No Review&lt;BR&gt;Customer FTB (A) Status=CUR&lt;BR&gt;Customer FTB (B) Status=CUR&lt;BR&gt;Customer RA Status=N-HOM&lt;BR&gt;Child Eligibility FTB(A)=Y&lt;BR&gt;Child Eligibility FTB(B)=Y</v>
      </c>
      <c r="D59" s="28" t="str">
        <f ca="1">OFFSET(BuildTest!$D$202,MOD(ROW()-ROW($D$2),ROWS(BuildTest!$D$202:$D$202)),TRUNC((ROW()-ROW($D$2))/ROWS(BuildTest!$D$202:$D$202)),1,1)</f>
        <v>FTB.Regression.NCL.Single customer.Permanent Resident Visa.Relation type circ.adoptive parent</v>
      </c>
      <c r="E59" s="28" t="s">
        <v>871</v>
      </c>
      <c r="F59" s="29" t="str">
        <f ca="1">OFFSET(BuildTest!$D$205,MOD(ROW()-ROW($F$2),ROWS(BuildTest!$C$205:$D$205)),TRUNC((ROW()-ROW($F$2))/ROWS(BuildTest!$C$205:$C$205)),1,1)</f>
        <v>Index a FTB/NCL with below circumstance description &lt;BR&gt;&lt;BR&gt;&lt;B&gt;Customer  circumstances&lt;/B&gt;&lt;BR&gt;Residential Qualification = Spouse/Partner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G59" s="29" t="str">
        <f ca="1">OFFSET(BuildTest!$D$207,MOD(ROW()-ROW($G$2),ROWS(BuildTest!$D$207:$D$207)),TRUNC((ROW()-ROW($G$2))/ROWS(BuildTest!$D$207:$D$207)),1,1)</f>
        <v>Verify Assessment and Eligibility outcome
&lt;BR&gt;&lt;BR&gt;Benefit Status=CUR&lt;BR&gt;Review created on FAL screen=No Review&lt;BR&gt;Customer FTB (A) Status=CUR&lt;BR&gt;Customer FTB (B) Status=CUR&lt;BR&gt;Customer RA Status=N-HOM&lt;BR&gt;Child Eligibility FTB(A)=Y&lt;BR&gt;Child Eligibility FTB(B)=Y</v>
      </c>
    </row>
    <row r="60" spans="1:7" ht="405.75" thickBot="1">
      <c r="A60" s="30" t="str">
        <f ca="1">OFFSET(BuildTest!$D$169,MOD(ROW()-ROW($A$2),ROWS(BuildTest!$D$169:$D$169)),TRUNC((ROW()-ROW($A$2))/ROWS(BuildTest!$D$169:$D$169)),1,1)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Spouse/Partner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B60" s="28" t="str">
        <f ca="1">OFFSET(BuildTest!$D$175,MOD(ROW()-ROW($B$2),ROWS(BuildTest!$D$175:$D$175)),TRUNC((ROW()-ROW($B$2))/ROWS(BuildTest!$D$175:$D$175)),1,1)</f>
        <v>Nil</v>
      </c>
      <c r="C60" s="28" t="str">
        <f ca="1">OFFSET(BuildTest!$D$190,MOD(ROW()-ROW($C$2),ROWS(BuildTest!$D$190:$D$190)),TRUNC((ROW()-ROW($C$2))/ROWS(BuildTest!$D$190:$D$190)),1,1)</f>
        <v>&lt;BR&gt;&lt;BR&gt;Benefit Status=CUR&lt;BR&gt;Review created on FAL screen=No Review&lt;BR&gt;Customer FTB (A) Status=CUR&lt;BR&gt;Customer FTB (B) Status=CUR&lt;BR&gt;Customer RA Status=N-HOM&lt;BR&gt;Child Eligibility FTB(A)=Y&lt;BR&gt;Child Eligibility FTB(B)=Y</v>
      </c>
      <c r="D60" s="28" t="str">
        <f ca="1">OFFSET(BuildTest!$D$202,MOD(ROW()-ROW($D$2),ROWS(BuildTest!$D$202:$D$202)),TRUNC((ROW()-ROW($D$2))/ROWS(BuildTest!$D$202:$D$202)),1,1)</f>
        <v>FTB.Regression.NCL.Single customer.Permanent Resident Visa.Relation type circ.Foster carer</v>
      </c>
      <c r="E60" s="28" t="s">
        <v>872</v>
      </c>
      <c r="F60" s="29" t="str">
        <f ca="1">OFFSET(BuildTest!$D$205,MOD(ROW()-ROW($F$2),ROWS(BuildTest!$C$205:$D$205)),TRUNC((ROW()-ROW($F$2))/ROWS(BuildTest!$C$205:$C$205)),1,1)</f>
        <v>Index a FTB/NCL with below circumstance description &lt;BR&gt;&lt;BR&gt;&lt;B&gt;Customer  circumstances&lt;/B&gt;&lt;BR&gt;Residential Qualification = Spouse/Partner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G60" s="29" t="str">
        <f ca="1">OFFSET(BuildTest!$D$207,MOD(ROW()-ROW($G$2),ROWS(BuildTest!$D$207:$D$207)),TRUNC((ROW()-ROW($G$2))/ROWS(BuildTest!$D$207:$D$207)),1,1)</f>
        <v>Verify Assessment and Eligibility outcome
&lt;BR&gt;&lt;BR&gt;Benefit Status=CUR&lt;BR&gt;Review created on FAL screen=No Review&lt;BR&gt;Customer FTB (A) Status=CUR&lt;BR&gt;Customer FTB (B) Status=CUR&lt;BR&gt;Customer RA Status=N-HOM&lt;BR&gt;Child Eligibility FTB(A)=Y&lt;BR&gt;Child Eligibility FTB(B)=Y</v>
      </c>
    </row>
    <row r="61" spans="1:7" ht="405.75" thickBot="1">
      <c r="A61" s="30" t="str">
        <f ca="1">OFFSET(BuildTest!$D$169,MOD(ROW()-ROW($A$2),ROWS(BuildTest!$D$169:$D$169)),TRUNC((ROW()-ROW($A$2))/ROWS(BuildTest!$D$169:$D$169)),1,1)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Spouse/Partner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v>
      </c>
      <c r="B61" s="28" t="str">
        <f ca="1">OFFSET(BuildTest!$D$175,MOD(ROW()-ROW($B$2),ROWS(BuildTest!$D$175:$D$175)),TRUNC((ROW()-ROW($B$2))/ROWS(BuildTest!$D$175:$D$175)),1,1)</f>
        <v>Nil</v>
      </c>
      <c r="C61" s="28" t="str">
        <f ca="1">OFFSET(BuildTest!$D$190,MOD(ROW()-ROW($C$2),ROWS(BuildTest!$D$190:$D$190)),TRUNC((ROW()-ROW($C$2))/ROWS(BuildTest!$D$190:$D$190)),1,1)</f>
        <v>&lt;BR&gt;&lt;BR&gt;Benefit Status=CUR&lt;BR&gt;Review created on FAL screen=No Review&lt;BR&gt;Customer FTB (A) Status=CUR&lt;BR&gt;Customer FTB (B) Status=CUR&lt;BR&gt;Customer RA Status=N-HOM&lt;BR&gt;Child Eligibility FTB(A)=Y&lt;BR&gt;Child Eligibility FTB(B)=Y</v>
      </c>
      <c r="D61" s="28" t="str">
        <f ca="1">OFFSET(BuildTest!$D$202,MOD(ROW()-ROW($D$2),ROWS(BuildTest!$D$202:$D$202)),TRUNC((ROW()-ROW($D$2))/ROWS(BuildTest!$D$202:$D$202)),1,1)</f>
        <v>FTB.Regression.NCL.Single customer.Permanent Resident Visa.Relation type circ.other</v>
      </c>
      <c r="E61" s="28" t="s">
        <v>873</v>
      </c>
      <c r="F61" s="29" t="str">
        <f ca="1">OFFSET(BuildTest!$D$205,MOD(ROW()-ROW($F$2),ROWS(BuildTest!$C$205:$D$205)),TRUNC((ROW()-ROW($F$2))/ROWS(BuildTest!$C$205:$C$205)),1,1)</f>
        <v>Index a FTB/NCL with below circumstance description &lt;BR&gt;&lt;BR&gt;&lt;B&gt;Customer  circumstances&lt;/B&gt;&lt;BR&gt;Residential Qualification = Spouse/Partner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v>
      </c>
      <c r="G61" s="29" t="str">
        <f ca="1">OFFSET(BuildTest!$D$207,MOD(ROW()-ROW($G$2),ROWS(BuildTest!$D$207:$D$207)),TRUNC((ROW()-ROW($G$2))/ROWS(BuildTest!$D$207:$D$207)),1,1)</f>
        <v>Verify Assessment and Eligibility outcome
&lt;BR&gt;&lt;BR&gt;Benefit Status=CUR&lt;BR&gt;Review created on FAL screen=No Review&lt;BR&gt;Customer FTB (A) Status=CUR&lt;BR&gt;Customer FTB (B) Status=CUR&lt;BR&gt;Customer RA Status=N-HOM&lt;BR&gt;Child Eligibility FTB(A)=Y&lt;BR&gt;Child Eligibility FTB(B)=Y</v>
      </c>
    </row>
    <row r="62" spans="1:7" ht="405.75" thickBot="1">
      <c r="A62" s="30" t="str">
        <f ca="1">OFFSET(BuildTest!$D$169,MOD(ROW()-ROW($A$2),ROWS(BuildTest!$D$169:$D$169)),TRUNC((ROW()-ROW($A$2))/ROWS(BuildTest!$D$169:$D$169)),1,1)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Spouse/Partner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B62" s="28" t="str">
        <f ca="1">OFFSET(BuildTest!$D$175,MOD(ROW()-ROW($B$2),ROWS(BuildTest!$D$175:$D$175)),TRUNC((ROW()-ROW($B$2))/ROWS(BuildTest!$D$175:$D$175)),1,1)</f>
        <v>Nil</v>
      </c>
      <c r="C62" s="28" t="str">
        <f ca="1">OFFSET(BuildTest!$D$190,MOD(ROW()-ROW($C$2),ROWS(BuildTest!$D$190:$D$190)),TRUNC((ROW()-ROW($C$2))/ROWS(BuildTest!$D$190:$D$190)),1,1)</f>
        <v>&lt;BR&gt;&lt;BR&gt;Benefit Status=CUR&lt;BR&gt;Review created on FAL screen=No Review&lt;BR&gt;Customer FTB (A) Status=CUR&lt;BR&gt;Customer FTB (B) Status=CUR&lt;BR&gt;Customer RA Status=N-HOM&lt;BR&gt;Child Eligibility FTB(A)=Y&lt;BR&gt;Child Eligibility FTB(B)=Y</v>
      </c>
      <c r="D62" s="28" t="str">
        <f ca="1">OFFSET(BuildTest!$D$202,MOD(ROW()-ROW($D$2),ROWS(BuildTest!$D$202:$D$202)),TRUNC((ROW()-ROW($D$2))/ROWS(BuildTest!$D$202:$D$202)),1,1)</f>
        <v>FTB.Regression.NCL.Single customer.Permanent Resident Visa.Relation type circ.grand parent</v>
      </c>
      <c r="E62" s="28" t="s">
        <v>874</v>
      </c>
      <c r="F62" s="29" t="str">
        <f ca="1">OFFSET(BuildTest!$D$205,MOD(ROW()-ROW($F$2),ROWS(BuildTest!$C$205:$D$205)),TRUNC((ROW()-ROW($F$2))/ROWS(BuildTest!$C$205:$C$205)),1,1)</f>
        <v>Index a FTB/NCL with below circumstance description &lt;BR&gt;&lt;BR&gt;&lt;B&gt;Customer  circumstances&lt;/B&gt;&lt;BR&gt;Residential Qualification = Spouse/Partner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G62" s="29" t="str">
        <f ca="1">OFFSET(BuildTest!$D$207,MOD(ROW()-ROW($G$2),ROWS(BuildTest!$D$207:$D$207)),TRUNC((ROW()-ROW($G$2))/ROWS(BuildTest!$D$207:$D$207)),1,1)</f>
        <v>Verify Assessment and Eligibility outcome
&lt;BR&gt;&lt;BR&gt;Benefit Status=CUR&lt;BR&gt;Review created on FAL screen=No Review&lt;BR&gt;Customer FTB (A) Status=CUR&lt;BR&gt;Customer FTB (B) Status=CUR&lt;BR&gt;Customer RA Status=N-HOM&lt;BR&gt;Child Eligibility FTB(A)=Y&lt;BR&gt;Child Eligibility FTB(B)=Y</v>
      </c>
    </row>
    <row r="63" spans="1:7" ht="405.75" thickBot="1">
      <c r="A63" s="30" t="str">
        <f ca="1">OFFSET(BuildTest!$D$169,MOD(ROW()-ROW($A$2),ROWS(BuildTest!$D$169:$D$169)),TRUNC((ROW()-ROW($A$2))/ROWS(BuildTest!$D$169:$D$169)),1,1)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Temporary Visa Class&lt;BR&gt;Direct Credit details   = Coded Exemption - FNG&lt;BR&gt;TFN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v>
      </c>
      <c r="B63" s="28" t="str">
        <f ca="1">OFFSET(BuildTest!$D$175,MOD(ROW()-ROW($B$2),ROWS(BuildTest!$D$175:$D$175)),TRUNC((ROW()-ROW($B$2))/ROWS(BuildTest!$D$175:$D$175)),1,1)</f>
        <v>Nil</v>
      </c>
      <c r="C63" s="28" t="str">
        <f ca="1">OFFSET(BuildTest!$D$190,MOD(ROW()-ROW($C$2),ROWS(BuildTest!$D$190:$D$190)),TRUNC((ROW()-ROW($C$2))/ROWS(BuildTest!$D$190:$D$190)),1,1)</f>
        <v>&lt;BR&gt;&lt;BR&gt;Benefit Status=CUR&lt;BR&gt;Review created on FAL screen=No Review&lt;BR&gt;Customer FTB (A) Status=CUR&lt;BR&gt;Customer FTB (B) Status=CUR&lt;BR&gt;Customer RA Status=N-HOM&lt;BR&gt;Child Eligibility FTB(A)=Y&lt;BR&gt;Child Eligibility FTB(B)=Y</v>
      </c>
      <c r="D63" s="28" t="str">
        <f ca="1">OFFSET(BuildTest!$D$202,MOD(ROW()-ROW($D$2),ROWS(BuildTest!$D$202:$D$202)),TRUNC((ROW()-ROW($D$2))/ROWS(BuildTest!$D$202:$D$202)),1,1)</f>
        <v>FTB.Regression.NCL.Single customer.Temporary Visa.Direct credit circ.Exempt FNG</v>
      </c>
      <c r="E63" s="28" t="s">
        <v>875</v>
      </c>
      <c r="F63" s="29" t="str">
        <f ca="1">OFFSET(BuildTest!$D$205,MOD(ROW()-ROW($F$2),ROWS(BuildTest!$C$205:$D$205)),TRUNC((ROW()-ROW($F$2))/ROWS(BuildTest!$C$205:$C$205)),1,1)</f>
        <v>Index a FTB/NCL with below circumstance description &lt;BR&gt;&lt;BR&gt;&lt;B&gt;Customer  circumstances&lt;/B&gt;&lt;BR&gt;Residential Qualification = Temporary Visa Class&lt;BR&gt;Direct Credit details   = Coded Exemption - FNG&lt;BR&gt;TFN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v>
      </c>
      <c r="G63" s="29" t="str">
        <f ca="1">OFFSET(BuildTest!$D$207,MOD(ROW()-ROW($G$2),ROWS(BuildTest!$D$207:$D$207)),TRUNC((ROW()-ROW($G$2))/ROWS(BuildTest!$D$207:$D$207)),1,1)</f>
        <v>Verify Assessment and Eligibility outcome
&lt;BR&gt;&lt;BR&gt;Benefit Status=CUR&lt;BR&gt;Review created on FAL screen=No Review&lt;BR&gt;Customer FTB (A) Status=CUR&lt;BR&gt;Customer FTB (B) Status=CUR&lt;BR&gt;Customer RA Status=N-HOM&lt;BR&gt;Child Eligibility FTB(A)=Y&lt;BR&gt;Child Eligibility FTB(B)=Y</v>
      </c>
    </row>
    <row r="64" spans="1:7" ht="405.75" thickBot="1">
      <c r="A64" s="30" t="str">
        <f ca="1">OFFSET(BuildTest!$D$169,MOD(ROW()-ROW($A$2),ROWS(BuildTest!$D$169:$D$169)),TRUNC((ROW()-ROW($A$2))/ROWS(BuildTest!$D$169:$D$169)),1,1)</f>
        <v>The purpose of the test is to verify &lt;BR&gt;&lt;BR&gt;&lt;BR&gt;&lt;BR&gt;Benefit Status=NEF-BAN&lt;BR&gt;Review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Temporary Visa Class&lt;BR&gt;Direct Credit details   = Not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v>
      </c>
      <c r="B64" s="28" t="str">
        <f ca="1">OFFSET(BuildTest!$D$175,MOD(ROW()-ROW($B$2),ROWS(BuildTest!$D$175:$D$175)),TRUNC((ROW()-ROW($B$2))/ROWS(BuildTest!$D$175:$D$175)),1,1)</f>
        <v>Nil</v>
      </c>
      <c r="C64" s="28" t="str">
        <f ca="1">OFFSET(BuildTest!$D$190,MOD(ROW()-ROW($C$2),ROWS(BuildTest!$D$190:$D$190)),TRUNC((ROW()-ROW($C$2))/ROWS(BuildTest!$D$190:$D$190)),1,1)</f>
        <v>&lt;BR&gt;&lt;BR&gt;Benefit Status=NEF-BAN&lt;BR&gt;Review created on FAL screen=No Review&lt;BR&gt;Customer FTB (A) Status=NULL&lt;BR&gt;Customer FTB (B) Status=NULL&lt;BR&gt;Customer RA Status=N-NULL&lt;BR&gt;Child Eligibility FTB(A)=Y&lt;BR&gt;Child Eligibility FTB(B)=Y</v>
      </c>
      <c r="D64" s="28" t="str">
        <f ca="1">OFFSET(BuildTest!$D$202,MOD(ROW()-ROW($D$2),ROWS(BuildTest!$D$202:$D$202)),TRUNC((ROW()-ROW($D$2))/ROWS(BuildTest!$D$202:$D$202)),1,1)</f>
        <v>FTB.Regression.NCL.Single customer.Temporary Visa.Direct credit circ.Not Coded</v>
      </c>
      <c r="E64" s="28" t="s">
        <v>876</v>
      </c>
      <c r="F64" s="29" t="str">
        <f ca="1">OFFSET(BuildTest!$D$205,MOD(ROW()-ROW($F$2),ROWS(BuildTest!$C$205:$D$205)),TRUNC((ROW()-ROW($F$2))/ROWS(BuildTest!$C$205:$C$205)),1,1)</f>
        <v>Index a FTB/NCL with below circumstance description &lt;BR&gt;&lt;BR&gt;&lt;B&gt;Customer  circumstances&lt;/B&gt;&lt;BR&gt;Residential Qualification = Temporary Visa Class&lt;BR&gt;Direct Credit details   = Not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v>
      </c>
      <c r="G64" s="29" t="str">
        <f ca="1">OFFSET(BuildTest!$D$207,MOD(ROW()-ROW($G$2),ROWS(BuildTest!$D$207:$D$207)),TRUNC((ROW()-ROW($G$2))/ROWS(BuildTest!$D$207:$D$207)),1,1)</f>
        <v>Verify Assessment and Eligibility outcome
&lt;BR&gt;&lt;BR&gt;Benefit Status=NEF-BAN&lt;BR&gt;Review created on FAL screen=No Review&lt;BR&gt;Customer FTB (A) Status=NULL&lt;BR&gt;Customer FTB (B) Status=NULL&lt;BR&gt;Customer RA Status=N-NULL&lt;BR&gt;Child Eligibility FTB(A)=Y&lt;BR&gt;Child Eligibility FTB(B)=Y</v>
      </c>
    </row>
    <row r="65" spans="1:7" ht="405.75" thickBot="1">
      <c r="A65" s="30" t="str">
        <f ca="1">OFFSET(BuildTest!$D$169,MOD(ROW()-ROW($A$2),ROWS(BuildTest!$D$169:$D$169)),TRUNC((ROW()-ROW($A$2))/ROWS(BuildTest!$D$169:$D$169)),1,1)</f>
        <v>The purpose of the test is to verify &lt;BR&gt;&lt;BR&gt;&lt;BR&gt;&lt;BR&gt;Benefit Status=NEF-NTC&lt;BR&gt;Review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Temporary Visa Class&lt;BR&gt;Direct Credit details   = Coded&lt;BR&gt;TFN details = Not Coded&lt;BR&gt;Secondary Earner income = Less than $21,499&lt;BR&gt;Home ownership code = Home owner - HOM&lt;BR&gt;&lt;BR&gt;&lt;BR&gt;&lt;B&gt;Child  circumstances&lt;/B&gt;&lt;BR&gt;Number of Child(ren) = 1&lt;BR&gt;Age of Child = &lt;= 5yr&lt;BR&gt;Principal Care Type = Other&lt;BR&gt;Care Percentage = 100% of Customer's care</v>
      </c>
      <c r="B65" s="28" t="str">
        <f ca="1">OFFSET(BuildTest!$D$175,MOD(ROW()-ROW($B$2),ROWS(BuildTest!$D$175:$D$175)),TRUNC((ROW()-ROW($B$2))/ROWS(BuildTest!$D$175:$D$175)),1,1)</f>
        <v>Nil</v>
      </c>
      <c r="C65" s="28" t="str">
        <f ca="1">OFFSET(BuildTest!$D$190,MOD(ROW()-ROW($C$2),ROWS(BuildTest!$D$190:$D$190)),TRUNC((ROW()-ROW($C$2))/ROWS(BuildTest!$D$190:$D$190)),1,1)</f>
        <v>&lt;BR&gt;&lt;BR&gt;Benefit Status=NEF-NTC&lt;BR&gt;Review created on FAL screen=No Review&lt;BR&gt;Customer FTB (A) Status=NULL&lt;BR&gt;Customer FTB (B) Status=NULL&lt;BR&gt;Customer RA Status=N-NULL&lt;BR&gt;Child Eligibility FTB(A)=Y&lt;BR&gt;Child Eligibility FTB(B)=Y</v>
      </c>
      <c r="D65" s="28" t="str">
        <f ca="1">OFFSET(BuildTest!$D$202,MOD(ROW()-ROW($D$2),ROWS(BuildTest!$D$202:$D$202)),TRUNC((ROW()-ROW($D$2))/ROWS(BuildTest!$D$202:$D$202)),1,1)</f>
        <v>FTB.Regression.NCL.Single customer.Temporary Visa.TFN circ.Not coded</v>
      </c>
      <c r="E65" s="28" t="s">
        <v>877</v>
      </c>
      <c r="F65" s="29" t="str">
        <f ca="1">OFFSET(BuildTest!$D$205,MOD(ROW()-ROW($F$2),ROWS(BuildTest!$C$205:$D$205)),TRUNC((ROW()-ROW($F$2))/ROWS(BuildTest!$C$205:$C$205)),1,1)</f>
        <v>Index a FTB/NCL with below circumstance description &lt;BR&gt;&lt;BR&gt;&lt;B&gt;Customer  circumstances&lt;/B&gt;&lt;BR&gt;Residential Qualification = Temporary Visa Class&lt;BR&gt;Direct Credit details   = Coded&lt;BR&gt;TFN details = Not Coded&lt;BR&gt;Secondary Earner income = Less than $21,499&lt;BR&gt;Home ownership code = Home owner - HOM&lt;BR&gt;&lt;BR&gt;&lt;BR&gt;&lt;B&gt;Child  circumstances&lt;/B&gt;&lt;BR&gt;Number of Child(ren) = 1&lt;BR&gt;Age of Child = &lt;= 5yr&lt;BR&gt;Principal Care Type = Other&lt;BR&gt;Care Percentage = 100% of Customer's care</v>
      </c>
      <c r="G65" s="29" t="str">
        <f ca="1">OFFSET(BuildTest!$D$207,MOD(ROW()-ROW($G$2),ROWS(BuildTest!$D$207:$D$207)),TRUNC((ROW()-ROW($G$2))/ROWS(BuildTest!$D$207:$D$207)),1,1)</f>
        <v>Verify Assessment and Eligibility outcome
&lt;BR&gt;&lt;BR&gt;Benefit Status=NEF-NTC&lt;BR&gt;Review created on FAL screen=No Review&lt;BR&gt;Customer FTB (A) Status=NULL&lt;BR&gt;Customer FTB (B) Status=NULL&lt;BR&gt;Customer RA Status=N-NULL&lt;BR&gt;Child Eligibility FTB(A)=Y&lt;BR&gt;Child Eligibility FTB(B)=Y</v>
      </c>
    </row>
    <row r="66" spans="1:7" ht="405.75" thickBot="1">
      <c r="A66" s="30" t="str">
        <f ca="1">OFFSET(BuildTest!$D$169,MOD(ROW()-ROW($A$2),ROWS(BuildTest!$D$169:$D$169)),TRUNC((ROW()-ROW($A$2))/ROWS(BuildTest!$D$169:$D$169)),1,1)</f>
        <v>The purpose of the test is to verify &lt;BR&gt;&lt;BR&gt;&lt;BR&gt;&lt;BR&gt;Benefit Status=REJ-INC&lt;BR&gt;Review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Temporary Visa Class&lt;BR&gt;Direct Credit details   = Coded&lt;BR&gt;TFN details = Coded&lt;BR&gt;Secondary Earner income = More than $ 27,613&lt;BR&gt;Home ownership code = Home owner - HOM&lt;BR&gt;&lt;BR&gt;&lt;BR&gt;&lt;B&gt;Child  circumstances&lt;/B&gt;&lt;BR&gt;Number of Child(ren) = 1&lt;BR&gt;Age of Child = &lt;= 5yr&lt;BR&gt;Principal Care Type = Other&lt;BR&gt;Care Percentage = 100% of Customer's care</v>
      </c>
      <c r="B66" s="28" t="str">
        <f ca="1">OFFSET(BuildTest!$D$175,MOD(ROW()-ROW($B$2),ROWS(BuildTest!$D$175:$D$175)),TRUNC((ROW()-ROW($B$2))/ROWS(BuildTest!$D$175:$D$175)),1,1)</f>
        <v>Nil</v>
      </c>
      <c r="C66" s="28" t="str">
        <f ca="1">OFFSET(BuildTest!$D$190,MOD(ROW()-ROW($C$2),ROWS(BuildTest!$D$190:$D$190)),TRUNC((ROW()-ROW($C$2))/ROWS(BuildTest!$D$190:$D$190)),1,1)</f>
        <v>&lt;BR&gt;&lt;BR&gt;Benefit Status=REJ-INC&lt;BR&gt;Review created on FAL screen=No Review&lt;BR&gt;Customer FTB (A) Status=NULL&lt;BR&gt;Customer FTB (B) Status=NULL&lt;BR&gt;Customer RA Status=N-NULL&lt;BR&gt;Child Eligibility FTB(A)=Y&lt;BR&gt;Child Eligibility FTB(B)=Y</v>
      </c>
      <c r="D66" s="28" t="str">
        <f ca="1">OFFSET(BuildTest!$D$202,MOD(ROW()-ROW($D$2),ROWS(BuildTest!$D$202:$D$202)),TRUNC((ROW()-ROW($D$2))/ROWS(BuildTest!$D$202:$D$202)),1,1)</f>
        <v>FTB.Regression.NCL.Single customer.Temporary Visa.Income circ. Income above threshold</v>
      </c>
      <c r="E66" s="28" t="s">
        <v>878</v>
      </c>
      <c r="F66" s="29" t="str">
        <f ca="1">OFFSET(BuildTest!$D$205,MOD(ROW()-ROW($F$2),ROWS(BuildTest!$C$205:$D$205)),TRUNC((ROW()-ROW($F$2))/ROWS(BuildTest!$C$205:$C$205)),1,1)</f>
        <v>Index a FTB/NCL with below circumstance description &lt;BR&gt;&lt;BR&gt;&lt;B&gt;Customer  circumstances&lt;/B&gt;&lt;BR&gt;Residential Qualification = Temporary Visa Class&lt;BR&gt;Direct Credit details   = Coded&lt;BR&gt;TFN details = Coded&lt;BR&gt;Secondary Earner income = More than $ 27,613&lt;BR&gt;Home ownership code = Home owner - HOM&lt;BR&gt;&lt;BR&gt;&lt;BR&gt;&lt;B&gt;Child  circumstances&lt;/B&gt;&lt;BR&gt;Number of Child(ren) = 1&lt;BR&gt;Age of Child = &lt;= 5yr&lt;BR&gt;Principal Care Type = Other&lt;BR&gt;Care Percentage = 100% of Customer's care</v>
      </c>
      <c r="G66" s="29" t="str">
        <f ca="1">OFFSET(BuildTest!$D$207,MOD(ROW()-ROW($G$2),ROWS(BuildTest!$D$207:$D$207)),TRUNC((ROW()-ROW($G$2))/ROWS(BuildTest!$D$207:$D$207)),1,1)</f>
        <v>Verify Assessment and Eligibility outcome
&lt;BR&gt;&lt;BR&gt;Benefit Status=REJ-INC&lt;BR&gt;Review created on FAL screen=No Review&lt;BR&gt;Customer FTB (A) Status=NULL&lt;BR&gt;Customer FTB (B) Status=NULL&lt;BR&gt;Customer RA Status=N-NULL&lt;BR&gt;Child Eligibility FTB(A)=Y&lt;BR&gt;Child Eligibility FTB(B)=Y</v>
      </c>
    </row>
    <row r="67" spans="1:7" ht="405.75" thickBot="1">
      <c r="A67" s="30" t="str">
        <f ca="1">OFFSET(BuildTest!$D$169,MOD(ROW()-ROW($A$2),ROWS(BuildTest!$D$169:$D$169)),TRUNC((ROW()-ROW($A$2))/ROWS(BuildTest!$D$169:$D$169)),1,1)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Temporary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B67" s="28" t="str">
        <f ca="1">OFFSET(BuildTest!$D$175,MOD(ROW()-ROW($B$2),ROWS(BuildTest!$D$175:$D$175)),TRUNC((ROW()-ROW($B$2))/ROWS(BuildTest!$D$175:$D$175)),1,1)</f>
        <v>Nil</v>
      </c>
      <c r="C67" s="28" t="str">
        <f ca="1">OFFSET(BuildTest!$D$190,MOD(ROW()-ROW($C$2),ROWS(BuildTest!$D$190:$D$190)),TRUNC((ROW()-ROW($C$2))/ROWS(BuildTest!$D$190:$D$190)),1,1)</f>
        <v>&lt;BR&gt;&lt;BR&gt;Benefit Status=CUR&lt;BR&gt;Review created on FAL screen=No Review&lt;BR&gt;Customer FTB (A) Status=CUR&lt;BR&gt;Customer FTB (B) Status=CUR&lt;BR&gt;Customer RA Status=N-HOM&lt;BR&gt;Child Eligibility FTB(A)=Y&lt;BR&gt;Child Eligibility FTB(B)=Y</v>
      </c>
      <c r="D67" s="28" t="str">
        <f ca="1">OFFSET(BuildTest!$D$202,MOD(ROW()-ROW($D$2),ROWS(BuildTest!$D$202:$D$202)),TRUNC((ROW()-ROW($D$2))/ROWS(BuildTest!$D$202:$D$202)),1,1)</f>
        <v>FTB.Regression.NCL.Single customer.Temporary VisaRelation type circ.step parent</v>
      </c>
      <c r="E67" s="28" t="s">
        <v>879</v>
      </c>
      <c r="F67" s="29" t="str">
        <f ca="1">OFFSET(BuildTest!$D$205,MOD(ROW()-ROW($F$2),ROWS(BuildTest!$C$205:$D$205)),TRUNC((ROW()-ROW($F$2))/ROWS(BuildTest!$C$205:$C$205)),1,1)</f>
        <v>Index a FTB/NCL with below circumstance description &lt;BR&gt;&lt;BR&gt;&lt;B&gt;Customer  circumstances&lt;/B&gt;&lt;BR&gt;Residential Qualification = Temporary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G67" s="29" t="str">
        <f ca="1">OFFSET(BuildTest!$D$207,MOD(ROW()-ROW($G$2),ROWS(BuildTest!$D$207:$D$207)),TRUNC((ROW()-ROW($G$2))/ROWS(BuildTest!$D$207:$D$207)),1,1)</f>
        <v>Verify Assessment and Eligibility outcome
&lt;BR&gt;&lt;BR&gt;Benefit Status=CUR&lt;BR&gt;Review created on FAL screen=No Review&lt;BR&gt;Customer FTB (A) Status=CUR&lt;BR&gt;Customer FTB (B) Status=CUR&lt;BR&gt;Customer RA Status=N-HOM&lt;BR&gt;Child Eligibility FTB(A)=Y&lt;BR&gt;Child Eligibility FTB(B)=Y</v>
      </c>
    </row>
    <row r="68" spans="1:7" ht="409.6" thickBot="1">
      <c r="A68" s="30" t="str">
        <f ca="1">OFFSET(BuildTest!$D$169,MOD(ROW()-ROW($A$2),ROWS(BuildTest!$D$169:$D$169)),TRUNC((ROW()-ROW($A$2))/ROWS(BuildTest!$D$169:$D$169)),1,1)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Temporary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B68" s="28" t="str">
        <f ca="1">OFFSET(BuildTest!$D$175,MOD(ROW()-ROW($B$2),ROWS(BuildTest!$D$175:$D$175)),TRUNC((ROW()-ROW($B$2))/ROWS(BuildTest!$D$175:$D$175)),1,1)</f>
        <v>Nil</v>
      </c>
      <c r="C68" s="28" t="str">
        <f ca="1">OFFSET(BuildTest!$D$190,MOD(ROW()-ROW($C$2),ROWS(BuildTest!$D$190:$D$190)),TRUNC((ROW()-ROW($C$2))/ROWS(BuildTest!$D$190:$D$190)),1,1)</f>
        <v>&lt;BR&gt;&lt;BR&gt;Benefit Status=CUR&lt;BR&gt;Review created on FAL screen=No Review&lt;BR&gt;Customer FTB (A) Status=CUR&lt;BR&gt;Customer FTB (B) Status=CUR&lt;BR&gt;Customer RA Status=N-HOM&lt;BR&gt;Child Eligibility FTB(A)=Y&lt;BR&gt;Child Eligibility FTB(B)=Y</v>
      </c>
      <c r="D68" s="28" t="str">
        <f ca="1">OFFSET(BuildTest!$D$202,MOD(ROW()-ROW($D$2),ROWS(BuildTest!$D$202:$D$202)),TRUNC((ROW()-ROW($D$2))/ROWS(BuildTest!$D$202:$D$202)),1,1)</f>
        <v>FTB.Regression.NCL.Single customer.Temporary Visa.Relation type circadoptive parent</v>
      </c>
      <c r="E68" s="28" t="s">
        <v>880</v>
      </c>
      <c r="F68" s="29" t="str">
        <f ca="1">OFFSET(BuildTest!$D$205,MOD(ROW()-ROW($F$2),ROWS(BuildTest!$C$205:$D$205)),TRUNC((ROW()-ROW($F$2))/ROWS(BuildTest!$C$205:$C$205)),1,1)</f>
        <v>Index a FTB/NCL with below circumstance description &lt;BR&gt;&lt;BR&gt;&lt;B&gt;Customer  circumstances&lt;/B&gt;&lt;BR&gt;Residential Qualification = Temporary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G68" s="29" t="str">
        <f ca="1">OFFSET(BuildTest!$D$207,MOD(ROW()-ROW($G$2),ROWS(BuildTest!$D$207:$D$207)),TRUNC((ROW()-ROW($G$2))/ROWS(BuildTest!$D$207:$D$207)),1,1)</f>
        <v>Verify Assessment and Eligibility outcome
&lt;BR&gt;&lt;BR&gt;Benefit Status=CUR&lt;BR&gt;Review created on FAL screen=No Review&lt;BR&gt;Customer FTB (A) Status=CUR&lt;BR&gt;Customer FTB (B) Status=CUR&lt;BR&gt;Customer RA Status=N-HOM&lt;BR&gt;Child Eligibility FTB(A)=Y&lt;BR&gt;Child Eligibility FTB(B)=Y</v>
      </c>
    </row>
    <row r="69" spans="1:7" ht="405.75" thickBot="1">
      <c r="A69" s="30" t="str">
        <f ca="1">OFFSET(BuildTest!$D$169,MOD(ROW()-ROW($A$2),ROWS(BuildTest!$D$169:$D$169)),TRUNC((ROW()-ROW($A$2))/ROWS(BuildTest!$D$169:$D$169)),1,1)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Temporary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B69" s="28" t="str">
        <f ca="1">OFFSET(BuildTest!$D$175,MOD(ROW()-ROW($B$2),ROWS(BuildTest!$D$175:$D$175)),TRUNC((ROW()-ROW($B$2))/ROWS(BuildTest!$D$175:$D$175)),1,1)</f>
        <v>Nil</v>
      </c>
      <c r="C69" s="28" t="str">
        <f ca="1">OFFSET(BuildTest!$D$190,MOD(ROW()-ROW($C$2),ROWS(BuildTest!$D$190:$D$190)),TRUNC((ROW()-ROW($C$2))/ROWS(BuildTest!$D$190:$D$190)),1,1)</f>
        <v>&lt;BR&gt;&lt;BR&gt;Benefit Status=CUR&lt;BR&gt;Review created on FAL screen=No Review&lt;BR&gt;Customer FTB (A) Status=CUR&lt;BR&gt;Customer FTB (B) Status=CUR&lt;BR&gt;Customer RA Status=N-HOM&lt;BR&gt;Child Eligibility FTB(A)=Y&lt;BR&gt;Child Eligibility FTB(B)=Y</v>
      </c>
      <c r="D69" s="28" t="str">
        <f ca="1">OFFSET(BuildTest!$D$202,MOD(ROW()-ROW($D$2),ROWS(BuildTest!$D$202:$D$202)),TRUNC((ROW()-ROW($D$2))/ROWS(BuildTest!$D$202:$D$202)),1,1)</f>
        <v>FTB.Regression.NCL.Single customer.Temporary Visa.Relation type circ.foster carer</v>
      </c>
      <c r="E69" s="28" t="s">
        <v>881</v>
      </c>
      <c r="F69" s="29" t="str">
        <f ca="1">OFFSET(BuildTest!$D$205,MOD(ROW()-ROW($F$2),ROWS(BuildTest!$C$205:$D$205)),TRUNC((ROW()-ROW($F$2))/ROWS(BuildTest!$C$205:$C$205)),1,1)</f>
        <v>Index a FTB/NCL with below circumstance description &lt;BR&gt;&lt;BR&gt;&lt;B&gt;Customer  circumstances&lt;/B&gt;&lt;BR&gt;Residential Qualification = Temporary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G69" s="29" t="str">
        <f ca="1">OFFSET(BuildTest!$D$207,MOD(ROW()-ROW($G$2),ROWS(BuildTest!$D$207:$D$207)),TRUNC((ROW()-ROW($G$2))/ROWS(BuildTest!$D$207:$D$207)),1,1)</f>
        <v>Verify Assessment and Eligibility outcome
&lt;BR&gt;&lt;BR&gt;Benefit Status=CUR&lt;BR&gt;Review created on FAL screen=No Review&lt;BR&gt;Customer FTB (A) Status=CUR&lt;BR&gt;Customer FTB (B) Status=CUR&lt;BR&gt;Customer RA Status=N-HOM&lt;BR&gt;Child Eligibility FTB(A)=Y&lt;BR&gt;Child Eligibility FTB(B)=Y</v>
      </c>
    </row>
    <row r="70" spans="1:7" ht="405.75" thickBot="1">
      <c r="A70" s="30" t="str">
        <f ca="1">OFFSET(BuildTest!$D$169,MOD(ROW()-ROW($A$2),ROWS(BuildTest!$D$169:$D$169)),TRUNC((ROW()-ROW($A$2))/ROWS(BuildTest!$D$169:$D$169)),1,1)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Temporary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v>
      </c>
      <c r="B70" s="28" t="str">
        <f ca="1">OFFSET(BuildTest!$D$175,MOD(ROW()-ROW($B$2),ROWS(BuildTest!$D$175:$D$175)),TRUNC((ROW()-ROW($B$2))/ROWS(BuildTest!$D$175:$D$175)),1,1)</f>
        <v>Nil</v>
      </c>
      <c r="C70" s="28" t="str">
        <f ca="1">OFFSET(BuildTest!$D$190,MOD(ROW()-ROW($C$2),ROWS(BuildTest!$D$190:$D$190)),TRUNC((ROW()-ROW($C$2))/ROWS(BuildTest!$D$190:$D$190)),1,1)</f>
        <v>&lt;BR&gt;&lt;BR&gt;Benefit Status=CUR&lt;BR&gt;Review created on FAL screen=No Review&lt;BR&gt;Customer FTB (A) Status=CUR&lt;BR&gt;Customer FTB (B) Status=CUR&lt;BR&gt;Customer RA Status=N-HOM&lt;BR&gt;Child Eligibility FTB(A)=Y&lt;BR&gt;Child Eligibility FTB(B)=Y</v>
      </c>
      <c r="D70" s="28" t="str">
        <f ca="1">OFFSET(BuildTest!$D$202,MOD(ROW()-ROW($D$2),ROWS(BuildTest!$D$202:$D$202)),TRUNC((ROW()-ROW($D$2))/ROWS(BuildTest!$D$202:$D$202)),1,1)</f>
        <v>FTB.Regression.NCL.Single customer.Temporary Visa.Relation type circ.other</v>
      </c>
      <c r="E70" s="28" t="s">
        <v>882</v>
      </c>
      <c r="F70" s="29" t="str">
        <f ca="1">OFFSET(BuildTest!$D$205,MOD(ROW()-ROW($F$2),ROWS(BuildTest!$C$205:$D$205)),TRUNC((ROW()-ROW($F$2))/ROWS(BuildTest!$C$205:$C$205)),1,1)</f>
        <v>Index a FTB/NCL with below circumstance description &lt;BR&gt;&lt;BR&gt;&lt;B&gt;Customer  circumstances&lt;/B&gt;&lt;BR&gt;Residential Qualification = Temporary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v>
      </c>
      <c r="G70" s="29" t="str">
        <f ca="1">OFFSET(BuildTest!$D$207,MOD(ROW()-ROW($G$2),ROWS(BuildTest!$D$207:$D$207)),TRUNC((ROW()-ROW($G$2))/ROWS(BuildTest!$D$207:$D$207)),1,1)</f>
        <v>Verify Assessment and Eligibility outcome
&lt;BR&gt;&lt;BR&gt;Benefit Status=CUR&lt;BR&gt;Review created on FAL screen=No Review&lt;BR&gt;Customer FTB (A) Status=CUR&lt;BR&gt;Customer FTB (B) Status=CUR&lt;BR&gt;Customer RA Status=N-HOM&lt;BR&gt;Child Eligibility FTB(A)=Y&lt;BR&gt;Child Eligibility FTB(B)=Y</v>
      </c>
    </row>
    <row r="71" spans="1:7" ht="405.75" thickBot="1">
      <c r="A71" s="30" t="str">
        <f ca="1">OFFSET(BuildTest!$D$169,MOD(ROW()-ROW($A$2),ROWS(BuildTest!$D$169:$D$169)),TRUNC((ROW()-ROW($A$2))/ROWS(BuildTest!$D$169:$D$169)),1,1)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Temporary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B71" s="28" t="str">
        <f ca="1">OFFSET(BuildTest!$D$175,MOD(ROW()-ROW($B$2),ROWS(BuildTest!$D$175:$D$175)),TRUNC((ROW()-ROW($B$2))/ROWS(BuildTest!$D$175:$D$175)),1,1)</f>
        <v>Nil</v>
      </c>
      <c r="C71" s="28" t="str">
        <f ca="1">OFFSET(BuildTest!$D$190,MOD(ROW()-ROW($C$2),ROWS(BuildTest!$D$190:$D$190)),TRUNC((ROW()-ROW($C$2))/ROWS(BuildTest!$D$190:$D$190)),1,1)</f>
        <v>&lt;BR&gt;&lt;BR&gt;Benefit Status=CUR&lt;BR&gt;Review created on FAL screen=No Review&lt;BR&gt;Customer FTB (A) Status=CUR&lt;BR&gt;Customer FTB (B) Status=CUR&lt;BR&gt;Customer RA Status=N-HOM&lt;BR&gt;Child Eligibility FTB(A)=Y&lt;BR&gt;Child Eligibility FTB(B)=Y</v>
      </c>
      <c r="D71" s="28" t="str">
        <f ca="1">OFFSET(BuildTest!$D$202,MOD(ROW()-ROW($D$2),ROWS(BuildTest!$D$202:$D$202)),TRUNC((ROW()-ROW($D$2))/ROWS(BuildTest!$D$202:$D$202)),1,1)</f>
        <v>FTB.Regression.NCL.Single customer.Temporary Visa.Relation type circ.grandparent</v>
      </c>
      <c r="E71" s="28" t="s">
        <v>883</v>
      </c>
      <c r="F71" s="29" t="str">
        <f ca="1">OFFSET(BuildTest!$D$205,MOD(ROW()-ROW($F$2),ROWS(BuildTest!$C$205:$D$205)),TRUNC((ROW()-ROW($F$2))/ROWS(BuildTest!$C$205:$C$205)),1,1)</f>
        <v>Index a FTB/NCL with below circumstance description &lt;BR&gt;&lt;BR&gt;&lt;B&gt;Customer  circumstances&lt;/B&gt;&lt;BR&gt;Residential Qualification = Temporary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G71" s="29" t="str">
        <f ca="1">OFFSET(BuildTest!$D$207,MOD(ROW()-ROW($G$2),ROWS(BuildTest!$D$207:$D$207)),TRUNC((ROW()-ROW($G$2))/ROWS(BuildTest!$D$207:$D$207)),1,1)</f>
        <v>Verify Assessment and Eligibility outcome
&lt;BR&gt;&lt;BR&gt;Benefit Status=CUR&lt;BR&gt;Review created on FAL screen=No Review&lt;BR&gt;Customer FTB (A) Status=CUR&lt;BR&gt;Customer FTB (B) Status=CUR&lt;BR&gt;Customer RA Status=N-HOM&lt;BR&gt;Child Eligibility FTB(A)=Y&lt;BR&gt;Child Eligibility FTB(B)=Y</v>
      </c>
    </row>
    <row r="72" spans="1:7" ht="409.6" thickBot="1">
      <c r="A72" s="30" t="str">
        <f ca="1">OFFSET(BuildTest!$D$169,MOD(ROW()-ROW($A$2),ROWS(BuildTest!$D$169:$D$169)),TRUNC((ROW()-ROW($A$2))/ROWS(BuildTest!$D$169:$D$169)),1,1)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Special Category Visa Class&lt;BR&gt;Direct Credit details   = Coded Exemption - FNG&lt;BR&gt;TFN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B72" s="28" t="str">
        <f ca="1">OFFSET(BuildTest!$D$175,MOD(ROW()-ROW($B$2),ROWS(BuildTest!$D$175:$D$175)),TRUNC((ROW()-ROW($B$2))/ROWS(BuildTest!$D$175:$D$175)),1,1)</f>
        <v>Nil</v>
      </c>
      <c r="C72" s="28" t="str">
        <f ca="1">OFFSET(BuildTest!$D$190,MOD(ROW()-ROW($C$2),ROWS(BuildTest!$D$190:$D$190)),TRUNC((ROW()-ROW($C$2))/ROWS(BuildTest!$D$190:$D$190)),1,1)</f>
        <v>&lt;BR&gt;&lt;BR&gt;Benefit Status=CUR&lt;BR&gt;Review created on FAL screen=No Review&lt;BR&gt;Customer FTB (A) Status=CUR&lt;BR&gt;Customer FTB (B) Status=CUR&lt;BR&gt;Customer RA Status=N-HOM&lt;BR&gt;Child Eligibility FTB(A)=Y&lt;BR&gt;Child Eligibility FTB(B)=Y</v>
      </c>
      <c r="D72" s="28" t="str">
        <f ca="1">OFFSET(BuildTest!$D$202,MOD(ROW()-ROW($D$2),ROWS(BuildTest!$D$202:$D$202)),TRUNC((ROW()-ROW($D$2))/ROWS(BuildTest!$D$202:$D$202)),1,1)</f>
        <v>FTB.Regression.NCL.Single customer.Special Category Visa.Direct credit circ.Exempt FNG</v>
      </c>
      <c r="E72" s="28" t="s">
        <v>884</v>
      </c>
      <c r="F72" s="29" t="str">
        <f ca="1">OFFSET(BuildTest!$D$205,MOD(ROW()-ROW($F$2),ROWS(BuildTest!$C$205:$D$205)),TRUNC((ROW()-ROW($F$2))/ROWS(BuildTest!$C$205:$C$205)),1,1)</f>
        <v>Index a FTB/NCL with below circumstance description &lt;BR&gt;&lt;BR&gt;&lt;B&gt;Customer  circumstances&lt;/B&gt;&lt;BR&gt;Residential Qualification = Special Category Visa Class&lt;BR&gt;Direct Credit details   = Coded Exemption - FNG&lt;BR&gt;TFN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G72" s="29" t="str">
        <f ca="1">OFFSET(BuildTest!$D$207,MOD(ROW()-ROW($G$2),ROWS(BuildTest!$D$207:$D$207)),TRUNC((ROW()-ROW($G$2))/ROWS(BuildTest!$D$207:$D$207)),1,1)</f>
        <v>Verify Assessment and Eligibility outcome
&lt;BR&gt;&lt;BR&gt;Benefit Status=CUR&lt;BR&gt;Review created on FAL screen=No Review&lt;BR&gt;Customer FTB (A) Status=CUR&lt;BR&gt;Customer FTB (B) Status=CUR&lt;BR&gt;Customer RA Status=N-HOM&lt;BR&gt;Child Eligibility FTB(A)=Y&lt;BR&gt;Child Eligibility FTB(B)=Y</v>
      </c>
    </row>
    <row r="73" spans="1:7" ht="405.75" thickBot="1">
      <c r="A73" s="30" t="str">
        <f ca="1">OFFSET(BuildTest!$D$169,MOD(ROW()-ROW($A$2),ROWS(BuildTest!$D$169:$D$169)),TRUNC((ROW()-ROW($A$2))/ROWS(BuildTest!$D$169:$D$169)),1,1)</f>
        <v>The purpose of the test is to verify &lt;BR&gt;&lt;BR&gt;&lt;BR&gt;&lt;BR&gt;Benefit Status=NEF-BAN&lt;BR&gt;Review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Special Category Visa Class&lt;BR&gt;Direct Credit details   = Not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B73" s="28" t="str">
        <f ca="1">OFFSET(BuildTest!$D$175,MOD(ROW()-ROW($B$2),ROWS(BuildTest!$D$175:$D$175)),TRUNC((ROW()-ROW($B$2))/ROWS(BuildTest!$D$175:$D$175)),1,1)</f>
        <v>Nil</v>
      </c>
      <c r="C73" s="28" t="str">
        <f ca="1">OFFSET(BuildTest!$D$190,MOD(ROW()-ROW($C$2),ROWS(BuildTest!$D$190:$D$190)),TRUNC((ROW()-ROW($C$2))/ROWS(BuildTest!$D$190:$D$190)),1,1)</f>
        <v>&lt;BR&gt;&lt;BR&gt;Benefit Status=NEF-BAN&lt;BR&gt;Review created on FAL screen=No Review&lt;BR&gt;Customer FTB (A) Status=NULL&lt;BR&gt;Customer FTB (B) Status=NULL&lt;BR&gt;Customer RA Status=N-NULL&lt;BR&gt;Child Eligibility FTB(A)=Y&lt;BR&gt;Child Eligibility FTB(B)=Y</v>
      </c>
      <c r="D73" s="28" t="str">
        <f ca="1">OFFSET(BuildTest!$D$202,MOD(ROW()-ROW($D$2),ROWS(BuildTest!$D$202:$D$202)),TRUNC((ROW()-ROW($D$2))/ROWS(BuildTest!$D$202:$D$202)),1,1)</f>
        <v>FTB.Regression.NCL.Single customer.Special Category Visa.Direct credit circ.Not Coded</v>
      </c>
      <c r="E73" s="28" t="s">
        <v>885</v>
      </c>
      <c r="F73" s="29" t="str">
        <f ca="1">OFFSET(BuildTest!$D$205,MOD(ROW()-ROW($F$2),ROWS(BuildTest!$C$205:$D$205)),TRUNC((ROW()-ROW($F$2))/ROWS(BuildTest!$C$205:$C$205)),1,1)</f>
        <v>Index a FTB/NCL with below circumstance description &lt;BR&gt;&lt;BR&gt;&lt;B&gt;Customer  circumstances&lt;/B&gt;&lt;BR&gt;Residential Qualification = Special Category Visa Class&lt;BR&gt;Direct Credit details   = Not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G73" s="29" t="str">
        <f ca="1">OFFSET(BuildTest!$D$207,MOD(ROW()-ROW($G$2),ROWS(BuildTest!$D$207:$D$207)),TRUNC((ROW()-ROW($G$2))/ROWS(BuildTest!$D$207:$D$207)),1,1)</f>
        <v>Verify Assessment and Eligibility outcome
&lt;BR&gt;&lt;BR&gt;Benefit Status=NEF-BAN&lt;BR&gt;Review created on FAL screen=No Review&lt;BR&gt;Customer FTB (A) Status=NULL&lt;BR&gt;Customer FTB (B) Status=NULL&lt;BR&gt;Customer RA Status=N-NULL&lt;BR&gt;Child Eligibility FTB(A)=Y&lt;BR&gt;Child Eligibility FTB(B)=Y</v>
      </c>
    </row>
    <row r="74" spans="1:7" ht="405.75" thickBot="1">
      <c r="A74" s="30" t="str">
        <f ca="1">OFFSET(BuildTest!$D$169,MOD(ROW()-ROW($A$2),ROWS(BuildTest!$D$169:$D$169)),TRUNC((ROW()-ROW($A$2))/ROWS(BuildTest!$D$169:$D$169)),1,1)</f>
        <v>The purpose of the test is to verify &lt;BR&gt;&lt;BR&gt;&lt;BR&gt;&lt;BR&gt;Benefit Status=NEF-NTC&lt;BR&gt;Review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Special Category Visa Class&lt;BR&gt;Direct Credit details   = Coded&lt;BR&gt;TFN details = Not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B74" s="28" t="str">
        <f ca="1">OFFSET(BuildTest!$D$175,MOD(ROW()-ROW($B$2),ROWS(BuildTest!$D$175:$D$175)),TRUNC((ROW()-ROW($B$2))/ROWS(BuildTest!$D$175:$D$175)),1,1)</f>
        <v>Nil</v>
      </c>
      <c r="C74" s="28" t="str">
        <f ca="1">OFFSET(BuildTest!$D$190,MOD(ROW()-ROW($C$2),ROWS(BuildTest!$D$190:$D$190)),TRUNC((ROW()-ROW($C$2))/ROWS(BuildTest!$D$190:$D$190)),1,1)</f>
        <v>&lt;BR&gt;&lt;BR&gt;Benefit Status=NEF-NTC&lt;BR&gt;Review created on FAL screen=No Review&lt;BR&gt;Customer FTB (A) Status=NULL&lt;BR&gt;Customer FTB (B) Status=NULL&lt;BR&gt;Customer RA Status=N-NULL&lt;BR&gt;Child Eligibility FTB(A)=Y&lt;BR&gt;Child Eligibility FTB(B)=Y</v>
      </c>
      <c r="D74" s="28" t="str">
        <f ca="1">OFFSET(BuildTest!$D$202,MOD(ROW()-ROW($D$2),ROWS(BuildTest!$D$202:$D$202)),TRUNC((ROW()-ROW($D$2))/ROWS(BuildTest!$D$202:$D$202)),1,1)</f>
        <v>FTB.Regression.NCL.Single customer.Special Category Visa.TFN circ.Not coded</v>
      </c>
      <c r="E74" s="28" t="s">
        <v>886</v>
      </c>
      <c r="F74" s="29" t="str">
        <f ca="1">OFFSET(BuildTest!$D$205,MOD(ROW()-ROW($F$2),ROWS(BuildTest!$C$205:$D$205)),TRUNC((ROW()-ROW($F$2))/ROWS(BuildTest!$C$205:$C$205)),1,1)</f>
        <v>Index a FTB/NCL with below circumstance description &lt;BR&gt;&lt;BR&gt;&lt;B&gt;Customer  circumstances&lt;/B&gt;&lt;BR&gt;Residential Qualification = Special Category Visa Class&lt;BR&gt;Direct Credit details   = Coded&lt;BR&gt;TFN details = Not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G74" s="29" t="str">
        <f ca="1">OFFSET(BuildTest!$D$207,MOD(ROW()-ROW($G$2),ROWS(BuildTest!$D$207:$D$207)),TRUNC((ROW()-ROW($G$2))/ROWS(BuildTest!$D$207:$D$207)),1,1)</f>
        <v>Verify Assessment and Eligibility outcome
&lt;BR&gt;&lt;BR&gt;Benefit Status=NEF-NTC&lt;BR&gt;Review created on FAL screen=No Review&lt;BR&gt;Customer FTB (A) Status=NULL&lt;BR&gt;Customer FTB (B) Status=NULL&lt;BR&gt;Customer RA Status=N-NULL&lt;BR&gt;Child Eligibility FTB(A)=Y&lt;BR&gt;Child Eligibility FTB(B)=Y</v>
      </c>
    </row>
    <row r="75" spans="1:7" ht="405.75" thickBot="1">
      <c r="A75" s="30" t="str">
        <f ca="1">OFFSET(BuildTest!$D$169,MOD(ROW()-ROW($A$2),ROWS(BuildTest!$D$169:$D$169)),TRUNC((ROW()-ROW($A$2))/ROWS(BuildTest!$D$169:$D$169)),1,1)</f>
        <v>The purpose of the test is to verify &lt;BR&gt;&lt;BR&gt;&lt;BR&gt;&lt;BR&gt;Benefit Status=REJ-INC&lt;BR&gt;Review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Special Category Visa Class&lt;BR&gt;Direct Credit details   = Coded&lt;BR&gt;TFN details = Coded&lt;BR&gt;Secondary Earner income = More than $ 27,613&lt;BR&gt;Home ownership code = Home owner - HOM&lt;BR&gt;&lt;BR&gt;&lt;BR&gt;&lt;B&gt;Child  circumstances&lt;/B&gt;&lt;BR&gt;Number of Child(ren) = 1&lt;BR&gt;Age of Child = &lt;= 5yr&lt;BR&gt;Principal Care Type = GrandParent&lt;BR&gt;Care Percentage = 100% of Customer's care</v>
      </c>
      <c r="B75" s="28" t="str">
        <f ca="1">OFFSET(BuildTest!$D$175,MOD(ROW()-ROW($B$2),ROWS(BuildTest!$D$175:$D$175)),TRUNC((ROW()-ROW($B$2))/ROWS(BuildTest!$D$175:$D$175)),1,1)</f>
        <v>Nil</v>
      </c>
      <c r="C75" s="28" t="str">
        <f ca="1">OFFSET(BuildTest!$D$190,MOD(ROW()-ROW($C$2),ROWS(BuildTest!$D$190:$D$190)),TRUNC((ROW()-ROW($C$2))/ROWS(BuildTest!$D$190:$D$190)),1,1)</f>
        <v>&lt;BR&gt;&lt;BR&gt;Benefit Status=REJ-INC&lt;BR&gt;Review created on FAL screen=No Review&lt;BR&gt;Customer FTB (A) Status=NULL&lt;BR&gt;Customer FTB (B) Status=NULL&lt;BR&gt;Customer RA Status=N-NULL&lt;BR&gt;Child Eligibility FTB(A)=Y&lt;BR&gt;Child Eligibility FTB(B)=Y</v>
      </c>
      <c r="D75" s="28" t="str">
        <f ca="1">OFFSET(BuildTest!$D$202,MOD(ROW()-ROW($D$2),ROWS(BuildTest!$D$202:$D$202)),TRUNC((ROW()-ROW($D$2))/ROWS(BuildTest!$D$202:$D$202)),1,1)</f>
        <v>FTB.Regression.NCL.Single customer.Special Category Visa.Income circ. Income above threshold</v>
      </c>
      <c r="E75" s="28" t="s">
        <v>887</v>
      </c>
      <c r="F75" s="29" t="str">
        <f ca="1">OFFSET(BuildTest!$D$205,MOD(ROW()-ROW($F$2),ROWS(BuildTest!$C$205:$D$205)),TRUNC((ROW()-ROW($F$2))/ROWS(BuildTest!$C$205:$C$205)),1,1)</f>
        <v>Index a FTB/NCL with below circumstance description &lt;BR&gt;&lt;BR&gt;&lt;B&gt;Customer  circumstances&lt;/B&gt;&lt;BR&gt;Residential Qualification = Special Category Visa Class&lt;BR&gt;Direct Credit details   = Coded&lt;BR&gt;TFN details = Coded&lt;BR&gt;Secondary Earner income = More than $ 27,613&lt;BR&gt;Home ownership code = Home owner - HOM&lt;BR&gt;&lt;BR&gt;&lt;BR&gt;&lt;B&gt;Child  circumstances&lt;/B&gt;&lt;BR&gt;Number of Child(ren) = 1&lt;BR&gt;Age of Child = &lt;= 5yr&lt;BR&gt;Principal Care Type = GrandParent&lt;BR&gt;Care Percentage = 100% of Customer's care</v>
      </c>
      <c r="G75" s="29" t="str">
        <f ca="1">OFFSET(BuildTest!$D$207,MOD(ROW()-ROW($G$2),ROWS(BuildTest!$D$207:$D$207)),TRUNC((ROW()-ROW($G$2))/ROWS(BuildTest!$D$207:$D$207)),1,1)</f>
        <v>Verify Assessment and Eligibility outcome
&lt;BR&gt;&lt;BR&gt;Benefit Status=REJ-INC&lt;BR&gt;Review created on FAL screen=No Review&lt;BR&gt;Customer FTB (A) Status=NULL&lt;BR&gt;Customer FTB (B) Status=NULL&lt;BR&gt;Customer RA Status=N-NULL&lt;BR&gt;Child Eligibility FTB(A)=Y&lt;BR&gt;Child Eligibility FTB(B)=Y</v>
      </c>
    </row>
    <row r="76" spans="1:7" ht="405.75" thickBot="1">
      <c r="A76" s="30" t="str">
        <f ca="1">OFFSET(BuildTest!$D$169,MOD(ROW()-ROW($A$2),ROWS(BuildTest!$D$169:$D$169)),TRUNC((ROW()-ROW($A$2))/ROWS(BuildTest!$D$169:$D$169)),1,1)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Special Category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B76" s="28" t="str">
        <f ca="1">OFFSET(BuildTest!$D$175,MOD(ROW()-ROW($B$2),ROWS(BuildTest!$D$175:$D$175)),TRUNC((ROW()-ROW($B$2))/ROWS(BuildTest!$D$175:$D$175)),1,1)</f>
        <v>Nil</v>
      </c>
      <c r="C76" s="28" t="str">
        <f ca="1">OFFSET(BuildTest!$D$190,MOD(ROW()-ROW($C$2),ROWS(BuildTest!$D$190:$D$190)),TRUNC((ROW()-ROW($C$2))/ROWS(BuildTest!$D$190:$D$190)),1,1)</f>
        <v>&lt;BR&gt;&lt;BR&gt;Benefit Status=CUR&lt;BR&gt;Review created on FAL screen=No Review&lt;BR&gt;Customer FTB (A) Status=CUR&lt;BR&gt;Customer FTB (B) Status=CUR&lt;BR&gt;Customer RA Status=N-HOM&lt;BR&gt;Child Eligibility FTB(A)=Y&lt;BR&gt;Child Eligibility FTB(B)=Y</v>
      </c>
      <c r="D76" s="28" t="str">
        <f ca="1">OFFSET(BuildTest!$D$202,MOD(ROW()-ROW($D$2),ROWS(BuildTest!$D$202:$D$202)),TRUNC((ROW()-ROW($D$2))/ROWS(BuildTest!$D$202:$D$202)),1,1)</f>
        <v>FTB.Regression.NCL.Single customer.Special Category Visa.Relation type circ.step parent</v>
      </c>
      <c r="E76" s="28" t="s">
        <v>888</v>
      </c>
      <c r="F76" s="29" t="str">
        <f ca="1">OFFSET(BuildTest!$D$205,MOD(ROW()-ROW($F$2),ROWS(BuildTest!$C$205:$D$205)),TRUNC((ROW()-ROW($F$2))/ROWS(BuildTest!$C$205:$C$205)),1,1)</f>
        <v>Index a FTB/NCL with below circumstance description &lt;BR&gt;&lt;BR&gt;&lt;B&gt;Customer  circumstances&lt;/B&gt;&lt;BR&gt;Residential Qualification = Special Category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G76" s="29" t="str">
        <f ca="1">OFFSET(BuildTest!$D$207,MOD(ROW()-ROW($G$2),ROWS(BuildTest!$D$207:$D$207)),TRUNC((ROW()-ROW($G$2))/ROWS(BuildTest!$D$207:$D$207)),1,1)</f>
        <v>Verify Assessment and Eligibility outcome
&lt;BR&gt;&lt;BR&gt;Benefit Status=CUR&lt;BR&gt;Review created on FAL screen=No Review&lt;BR&gt;Customer FTB (A) Status=CUR&lt;BR&gt;Customer FTB (B) Status=CUR&lt;BR&gt;Customer RA Status=N-HOM&lt;BR&gt;Child Eligibility FTB(A)=Y&lt;BR&gt;Child Eligibility FTB(B)=Y</v>
      </c>
    </row>
    <row r="77" spans="1:7" ht="409.6" thickBot="1">
      <c r="A77" s="30" t="str">
        <f ca="1">OFFSET(BuildTest!$D$169,MOD(ROW()-ROW($A$2),ROWS(BuildTest!$D$169:$D$169)),TRUNC((ROW()-ROW($A$2))/ROWS(BuildTest!$D$169:$D$169)),1,1)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Special Category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B77" s="28" t="str">
        <f ca="1">OFFSET(BuildTest!$D$175,MOD(ROW()-ROW($B$2),ROWS(BuildTest!$D$175:$D$175)),TRUNC((ROW()-ROW($B$2))/ROWS(BuildTest!$D$175:$D$175)),1,1)</f>
        <v>Nil</v>
      </c>
      <c r="C77" s="28" t="str">
        <f ca="1">OFFSET(BuildTest!$D$190,MOD(ROW()-ROW($C$2),ROWS(BuildTest!$D$190:$D$190)),TRUNC((ROW()-ROW($C$2))/ROWS(BuildTest!$D$190:$D$190)),1,1)</f>
        <v>&lt;BR&gt;&lt;BR&gt;Benefit Status=CUR&lt;BR&gt;Review created on FAL screen=No Review&lt;BR&gt;Customer FTB (A) Status=CUR&lt;BR&gt;Customer FTB (B) Status=CUR&lt;BR&gt;Customer RA Status=N-HOM&lt;BR&gt;Child Eligibility FTB(A)=Y&lt;BR&gt;Child Eligibility FTB(B)=Y</v>
      </c>
      <c r="D77" s="28" t="str">
        <f ca="1">OFFSET(BuildTest!$D$202,MOD(ROW()-ROW($D$2),ROWS(BuildTest!$D$202:$D$202)),TRUNC((ROW()-ROW($D$2))/ROWS(BuildTest!$D$202:$D$202)),1,1)</f>
        <v>FTB.Regression.NCL.Single customer.Special Category Visa.Relation type circ.adoptive parent</v>
      </c>
      <c r="E77" s="28" t="s">
        <v>889</v>
      </c>
      <c r="F77" s="29" t="str">
        <f ca="1">OFFSET(BuildTest!$D$205,MOD(ROW()-ROW($F$2),ROWS(BuildTest!$C$205:$D$205)),TRUNC((ROW()-ROW($F$2))/ROWS(BuildTest!$C$205:$C$205)),1,1)</f>
        <v>Index a FTB/NCL with below circumstance description &lt;BR&gt;&lt;BR&gt;&lt;B&gt;Customer  circumstances&lt;/B&gt;&lt;BR&gt;Residential Qualification = Special Category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G77" s="29" t="str">
        <f ca="1">OFFSET(BuildTest!$D$207,MOD(ROW()-ROW($G$2),ROWS(BuildTest!$D$207:$D$207)),TRUNC((ROW()-ROW($G$2))/ROWS(BuildTest!$D$207:$D$207)),1,1)</f>
        <v>Verify Assessment and Eligibility outcome
&lt;BR&gt;&lt;BR&gt;Benefit Status=CUR&lt;BR&gt;Review created on FAL screen=No Review&lt;BR&gt;Customer FTB (A) Status=CUR&lt;BR&gt;Customer FTB (B) Status=CUR&lt;BR&gt;Customer RA Status=N-HOM&lt;BR&gt;Child Eligibility FTB(A)=Y&lt;BR&gt;Child Eligibility FTB(B)=Y</v>
      </c>
    </row>
    <row r="78" spans="1:7" ht="405.75" thickBot="1">
      <c r="A78" s="30" t="str">
        <f ca="1">OFFSET(BuildTest!$D$169,MOD(ROW()-ROW($A$2),ROWS(BuildTest!$D$169:$D$169)),TRUNC((ROW()-ROW($A$2))/ROWS(BuildTest!$D$169:$D$169)),1,1)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Special Category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B78" s="28" t="str">
        <f ca="1">OFFSET(BuildTest!$D$175,MOD(ROW()-ROW($B$2),ROWS(BuildTest!$D$175:$D$175)),TRUNC((ROW()-ROW($B$2))/ROWS(BuildTest!$D$175:$D$175)),1,1)</f>
        <v>Nil</v>
      </c>
      <c r="C78" s="28" t="str">
        <f ca="1">OFFSET(BuildTest!$D$190,MOD(ROW()-ROW($C$2),ROWS(BuildTest!$D$190:$D$190)),TRUNC((ROW()-ROW($C$2))/ROWS(BuildTest!$D$190:$D$190)),1,1)</f>
        <v>&lt;BR&gt;&lt;BR&gt;Benefit Status=CUR&lt;BR&gt;Review created on FAL screen=No Review&lt;BR&gt;Customer FTB (A) Status=CUR&lt;BR&gt;Customer FTB (B) Status=CUR&lt;BR&gt;Customer RA Status=N-HOM&lt;BR&gt;Child Eligibility FTB(A)=Y&lt;BR&gt;Child Eligibility FTB(B)=Y</v>
      </c>
      <c r="D78" s="28" t="str">
        <f ca="1">OFFSET(BuildTest!$D$202,MOD(ROW()-ROW($D$2),ROWS(BuildTest!$D$202:$D$202)),TRUNC((ROW()-ROW($D$2))/ROWS(BuildTest!$D$202:$D$202)),1,1)</f>
        <v>FTB.Regression.NCL.Single customer.Special Category Visa.Relation type circ.foster carer</v>
      </c>
      <c r="E78" s="28" t="s">
        <v>890</v>
      </c>
      <c r="F78" s="29" t="str">
        <f ca="1">OFFSET(BuildTest!$D$205,MOD(ROW()-ROW($F$2),ROWS(BuildTest!$C$205:$D$205)),TRUNC((ROW()-ROW($F$2))/ROWS(BuildTest!$C$205:$C$205)),1,1)</f>
        <v>Index a FTB/NCL with below circumstance description &lt;BR&gt;&lt;BR&gt;&lt;B&gt;Customer  circumstances&lt;/B&gt;&lt;BR&gt;Residential Qualification = Special Category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G78" s="29" t="str">
        <f ca="1">OFFSET(BuildTest!$D$207,MOD(ROW()-ROW($G$2),ROWS(BuildTest!$D$207:$D$207)),TRUNC((ROW()-ROW($G$2))/ROWS(BuildTest!$D$207:$D$207)),1,1)</f>
        <v>Verify Assessment and Eligibility outcome
&lt;BR&gt;&lt;BR&gt;Benefit Status=CUR&lt;BR&gt;Review created on FAL screen=No Review&lt;BR&gt;Customer FTB (A) Status=CUR&lt;BR&gt;Customer FTB (B) Status=CUR&lt;BR&gt;Customer RA Status=N-HOM&lt;BR&gt;Child Eligibility FTB(A)=Y&lt;BR&gt;Child Eligibility FTB(B)=Y</v>
      </c>
    </row>
    <row r="79" spans="1:7" ht="405.75" thickBot="1">
      <c r="A79" s="30" t="str">
        <f ca="1">OFFSET(BuildTest!$D$169,MOD(ROW()-ROW($A$2),ROWS(BuildTest!$D$169:$D$169)),TRUNC((ROW()-ROW($A$2))/ROWS(BuildTest!$D$169:$D$169)),1,1)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Special Category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v>
      </c>
      <c r="B79" s="28" t="str">
        <f ca="1">OFFSET(BuildTest!$D$175,MOD(ROW()-ROW($B$2),ROWS(BuildTest!$D$175:$D$175)),TRUNC((ROW()-ROW($B$2))/ROWS(BuildTest!$D$175:$D$175)),1,1)</f>
        <v>Nil</v>
      </c>
      <c r="C79" s="28" t="str">
        <f ca="1">OFFSET(BuildTest!$D$190,MOD(ROW()-ROW($C$2),ROWS(BuildTest!$D$190:$D$190)),TRUNC((ROW()-ROW($C$2))/ROWS(BuildTest!$D$190:$D$190)),1,1)</f>
        <v>&lt;BR&gt;&lt;BR&gt;Benefit Status=CUR&lt;BR&gt;Review created on FAL screen=No Review&lt;BR&gt;Customer FTB (A) Status=CUR&lt;BR&gt;Customer FTB (B) Status=CUR&lt;BR&gt;Customer RA Status=N-HOM&lt;BR&gt;Child Eligibility FTB(A)=Y&lt;BR&gt;Child Eligibility FTB(B)=Y</v>
      </c>
      <c r="D79" s="28" t="str">
        <f ca="1">OFFSET(BuildTest!$D$202,MOD(ROW()-ROW($D$2),ROWS(BuildTest!$D$202:$D$202)),TRUNC((ROW()-ROW($D$2))/ROWS(BuildTest!$D$202:$D$202)),1,1)</f>
        <v>FTB.Regression.NCL.Single customer.Special Category Visa.Relation type circ.other</v>
      </c>
      <c r="E79" s="28" t="s">
        <v>891</v>
      </c>
      <c r="F79" s="29" t="str">
        <f ca="1">OFFSET(BuildTest!$D$205,MOD(ROW()-ROW($F$2),ROWS(BuildTest!$C$205:$D$205)),TRUNC((ROW()-ROW($F$2))/ROWS(BuildTest!$C$205:$C$205)),1,1)</f>
        <v>Index a FTB/NCL with below circumstance description &lt;BR&gt;&lt;BR&gt;&lt;B&gt;Customer  circumstances&lt;/B&gt;&lt;BR&gt;Residential Qualification = Special Category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v>
      </c>
      <c r="G79" s="29" t="str">
        <f ca="1">OFFSET(BuildTest!$D$207,MOD(ROW()-ROW($G$2),ROWS(BuildTest!$D$207:$D$207)),TRUNC((ROW()-ROW($G$2))/ROWS(BuildTest!$D$207:$D$207)),1,1)</f>
        <v>Verify Assessment and Eligibility outcome
&lt;BR&gt;&lt;BR&gt;Benefit Status=CUR&lt;BR&gt;Review created on FAL screen=No Review&lt;BR&gt;Customer FTB (A) Status=CUR&lt;BR&gt;Customer FTB (B) Status=CUR&lt;BR&gt;Customer RA Status=N-HOM&lt;BR&gt;Child Eligibility FTB(A)=Y&lt;BR&gt;Child Eligibility FTB(B)=Y</v>
      </c>
    </row>
    <row r="80" spans="1:7" ht="405.75" thickBot="1">
      <c r="A80" s="30" t="str">
        <f ca="1">OFFSET(BuildTest!$D$169,MOD(ROW()-ROW($A$2),ROWS(BuildTest!$D$169:$D$169)),TRUNC((ROW()-ROW($A$2))/ROWS(BuildTest!$D$169:$D$169)),1,1)</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Special Category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B80" s="28" t="str">
        <f ca="1">OFFSET(BuildTest!$D$175,MOD(ROW()-ROW($B$2),ROWS(BuildTest!$D$175:$D$175)),TRUNC((ROW()-ROW($B$2))/ROWS(BuildTest!$D$175:$D$175)),1,1)</f>
        <v>Nil</v>
      </c>
      <c r="C80" s="28" t="str">
        <f ca="1">OFFSET(BuildTest!$D$190,MOD(ROW()-ROW($C$2),ROWS(BuildTest!$D$190:$D$190)),TRUNC((ROW()-ROW($C$2))/ROWS(BuildTest!$D$190:$D$190)),1,1)</f>
        <v>&lt;BR&gt;&lt;BR&gt;Benefit Status=CUR&lt;BR&gt;Review created on FAL screen=No Review&lt;BR&gt;Customer FTB (A) Status=CUR&lt;BR&gt;Customer FTB (B) Status=CUR&lt;BR&gt;Customer RA Status=N-HOM&lt;BR&gt;Child Eligibility FTB(A)=Y&lt;BR&gt;Child Eligibility FTB(B)=Y</v>
      </c>
      <c r="D80" s="28" t="str">
        <f ca="1">OFFSET(BuildTest!$D$202,MOD(ROW()-ROW($D$2),ROWS(BuildTest!$D$202:$D$202)),TRUNC((ROW()-ROW($D$2))/ROWS(BuildTest!$D$202:$D$202)),1,1)</f>
        <v>FTB.Regression.NCL.Single customer.Special Category Visa.Relation type circ.grandParent</v>
      </c>
      <c r="E80" s="28" t="s">
        <v>892</v>
      </c>
      <c r="F80" s="29" t="str">
        <f ca="1">OFFSET(BuildTest!$D$205,MOD(ROW()-ROW($F$2),ROWS(BuildTest!$C$205:$D$205)),TRUNC((ROW()-ROW($F$2))/ROWS(BuildTest!$C$205:$C$205)),1,1)</f>
        <v>Index a FTB/NCL with below circumstance description &lt;BR&gt;&lt;BR&gt;&lt;B&gt;Customer  circumstances&lt;/B&gt;&lt;BR&gt;Residential Qualification = Special Category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G80" s="29" t="str">
        <f ca="1">OFFSET(BuildTest!$D$207,MOD(ROW()-ROW($G$2),ROWS(BuildTest!$D$207:$D$207)),TRUNC((ROW()-ROW($G$2))/ROWS(BuildTest!$D$207:$D$207)),1,1)</f>
        <v>Verify Assessment and Eligibility outcome
&lt;BR&gt;&lt;BR&gt;Benefit Status=CUR&lt;BR&gt;Review created on FAL screen=No Review&lt;BR&gt;Customer FTB (A) Status=CUR&lt;BR&gt;Customer FTB (B) Status=CUR&lt;BR&gt;Customer RA Status=N-HOM&lt;BR&gt;Child Eligibility FTB(A)=Y&lt;BR&gt;Child Eligibility FTB(B)=Y</v>
      </c>
    </row>
    <row r="81" spans="1:7" ht="15.75" thickBot="1">
      <c r="A81" s="30"/>
      <c r="B81" s="28"/>
      <c r="C81" s="28"/>
      <c r="D81" s="28"/>
      <c r="E81" s="28"/>
      <c r="F81" s="29"/>
      <c r="G81" s="29"/>
    </row>
  </sheetData>
  <customSheetViews>
    <customSheetView guid="{52AE7582-FD95-46D8-BA65-D10753F310CC}" scale="85" fitToPage="1">
      <pageMargins left="0" right="0" top="0" bottom="0" header="0" footer="0"/>
      <printOptions gridLines="1"/>
      <pageSetup paperSize="9" scale="41" fitToHeight="0" orientation="landscape" cellComments="atEnd" r:id="rId1"/>
      <headerFooter>
        <oddFooter>&amp;C&amp;L&amp;F&amp;R&amp;P of &amp;N</oddFooter>
      </headerFooter>
    </customSheetView>
    <customSheetView guid="{38D3F89A-32F8-4A57-A6F8-1BC1DD4CBDE7}" scale="85" showPageBreaks="1" fitToPage="1" printArea="1">
      <pageMargins left="0" right="0" top="0" bottom="0" header="0" footer="0"/>
      <printOptions gridLines="1"/>
      <pageSetup paperSize="9" scale="41" fitToHeight="0" orientation="landscape" cellComments="atEnd" r:id="rId2"/>
      <headerFooter>
        <oddFooter>&amp;C&amp;L&amp;F&amp;R&amp;P of &amp;N</oddFooter>
      </headerFooter>
    </customSheetView>
  </customSheetViews>
  <printOptions gridLines="1"/>
  <pageMargins left="0" right="0" top="0" bottom="0" header="0" footer="0"/>
  <pageSetup paperSize="9" scale="43" fitToHeight="0" orientation="landscape" cellComments="atEnd" r:id="rId3"/>
  <headerFooter>
    <oddFooter>&amp;C&amp;L&amp;F&amp;R&amp;P of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9BBB59"/>
  </sheetPr>
  <dimension ref="B1:IO225"/>
  <sheetViews>
    <sheetView topLeftCell="A61" zoomScale="96" zoomScaleNormal="96" workbookViewId="0">
      <pane xSplit="3" topLeftCell="BW1" activePane="topRight" state="frozen"/>
      <selection pane="topRight" activeCell="AM93" sqref="AM93"/>
    </sheetView>
  </sheetViews>
  <sheetFormatPr defaultRowHeight="12.75"/>
  <cols>
    <col min="1" max="1" width="1.5703125" style="56" customWidth="1"/>
    <col min="2" max="2" width="34.140625" style="55" customWidth="1"/>
    <col min="3" max="3" width="35.140625" style="55" customWidth="1"/>
    <col min="4" max="4" width="12.7109375" style="56" customWidth="1"/>
    <col min="5" max="5" width="7.42578125" style="56" customWidth="1"/>
    <col min="6" max="10" width="7.28515625" style="56" bestFit="1" customWidth="1"/>
    <col min="11" max="11" width="9.140625" style="56" customWidth="1"/>
    <col min="12" max="31" width="9.140625" style="56"/>
    <col min="32" max="36" width="8" style="56" customWidth="1"/>
    <col min="37" max="37" width="7" style="56" customWidth="1"/>
    <col min="38" max="38" width="25" style="56" bestFit="1" customWidth="1"/>
    <col min="39" max="249" width="7" style="56" customWidth="1"/>
    <col min="250" max="16384" width="9.140625" style="56"/>
  </cols>
  <sheetData>
    <row r="1" spans="2:249" s="53" customFormat="1" ht="6.75" customHeight="1">
      <c r="B1" s="35"/>
      <c r="C1" s="35"/>
      <c r="D1" s="40"/>
      <c r="E1" s="40"/>
      <c r="F1" s="40"/>
      <c r="G1" s="40"/>
      <c r="H1" s="40"/>
      <c r="I1" s="40"/>
      <c r="J1" s="40"/>
      <c r="K1" s="40"/>
      <c r="L1" s="40"/>
      <c r="M1" s="40"/>
      <c r="N1" s="40"/>
      <c r="O1" s="40"/>
      <c r="P1" s="40"/>
      <c r="Q1" s="40"/>
      <c r="R1" s="40"/>
      <c r="S1" s="40"/>
      <c r="T1" s="40"/>
      <c r="U1" s="40"/>
      <c r="V1" s="40"/>
      <c r="W1" s="40"/>
      <c r="X1" s="40"/>
      <c r="Y1" s="40"/>
      <c r="Z1" s="40"/>
      <c r="AA1" s="40"/>
      <c r="AB1" s="40"/>
      <c r="AC1" s="40"/>
      <c r="AD1" s="40"/>
      <c r="AE1" s="40"/>
      <c r="AF1" s="40"/>
      <c r="AG1" s="40"/>
      <c r="AH1" s="40"/>
      <c r="AI1" s="40"/>
      <c r="AJ1" s="40"/>
      <c r="AK1" s="40"/>
      <c r="AL1" s="40"/>
      <c r="AM1" s="40"/>
      <c r="AN1" s="40"/>
      <c r="AO1" s="40"/>
      <c r="AP1" s="40"/>
      <c r="AQ1" s="40"/>
      <c r="AR1" s="40"/>
      <c r="AS1" s="40"/>
      <c r="AT1" s="40"/>
      <c r="AU1" s="40"/>
      <c r="AV1" s="40"/>
      <c r="AW1" s="40"/>
      <c r="AX1" s="40"/>
      <c r="AY1" s="40"/>
      <c r="AZ1" s="40"/>
      <c r="BA1" s="40"/>
      <c r="BB1" s="40"/>
      <c r="BC1" s="40"/>
      <c r="BD1" s="40"/>
      <c r="BE1" s="40"/>
      <c r="BF1" s="40"/>
      <c r="BG1" s="40"/>
      <c r="BH1" s="40"/>
      <c r="BI1" s="40"/>
      <c r="BJ1" s="40"/>
      <c r="BK1" s="40"/>
      <c r="BL1" s="40"/>
      <c r="BM1" s="40"/>
      <c r="BN1" s="40"/>
      <c r="BO1" s="40"/>
      <c r="BP1" s="40"/>
      <c r="BQ1" s="40"/>
      <c r="BR1" s="40"/>
      <c r="BS1" s="40"/>
      <c r="BT1" s="40"/>
      <c r="BU1" s="40"/>
      <c r="BV1" s="40"/>
      <c r="BW1" s="40"/>
      <c r="BX1" s="40"/>
      <c r="BY1" s="40"/>
      <c r="BZ1" s="40"/>
      <c r="CA1" s="40"/>
      <c r="CB1" s="40"/>
      <c r="CC1" s="40"/>
      <c r="CD1" s="40"/>
      <c r="CE1" s="40"/>
      <c r="CF1" s="40"/>
      <c r="CG1" s="40"/>
      <c r="CH1" s="40"/>
      <c r="CI1" s="40"/>
      <c r="CJ1" s="40"/>
      <c r="CK1" s="40"/>
      <c r="CL1" s="40"/>
      <c r="CM1" s="40"/>
      <c r="CN1" s="40"/>
      <c r="CO1" s="40"/>
      <c r="CP1" s="40"/>
      <c r="CQ1" s="40"/>
      <c r="CR1" s="40"/>
      <c r="CS1" s="40"/>
      <c r="CT1" s="40"/>
      <c r="CU1" s="40"/>
      <c r="CV1" s="40"/>
      <c r="CW1" s="40"/>
      <c r="CX1" s="40"/>
      <c r="CY1" s="40"/>
      <c r="CZ1" s="40"/>
      <c r="DA1" s="40"/>
      <c r="DB1" s="40"/>
      <c r="DC1" s="40"/>
      <c r="DD1" s="40"/>
      <c r="DE1" s="40"/>
      <c r="DF1" s="40"/>
      <c r="DG1" s="40"/>
      <c r="DH1" s="40"/>
      <c r="DI1" s="40"/>
      <c r="DJ1" s="40"/>
      <c r="DK1" s="40"/>
      <c r="DL1" s="40"/>
      <c r="DM1" s="40"/>
      <c r="DN1" s="40"/>
      <c r="DO1" s="40"/>
      <c r="DP1" s="40"/>
      <c r="DQ1" s="40"/>
      <c r="DR1" s="40"/>
      <c r="DS1" s="40"/>
      <c r="DT1" s="40"/>
      <c r="DU1" s="40"/>
      <c r="DV1" s="40"/>
      <c r="DW1" s="40"/>
      <c r="DX1" s="40"/>
      <c r="DY1" s="40"/>
      <c r="DZ1" s="40"/>
      <c r="EA1" s="40"/>
      <c r="EB1" s="40"/>
      <c r="EC1" s="40"/>
      <c r="ED1" s="40"/>
      <c r="EE1" s="40"/>
      <c r="EF1" s="40"/>
      <c r="EG1" s="40"/>
      <c r="EH1" s="40"/>
      <c r="EI1" s="40"/>
      <c r="EJ1" s="40"/>
      <c r="EK1" s="40"/>
      <c r="EL1" s="40"/>
      <c r="EM1" s="40"/>
      <c r="EN1" s="40"/>
      <c r="EO1" s="40"/>
      <c r="EP1" s="40"/>
      <c r="EQ1" s="40"/>
      <c r="ER1" s="40"/>
      <c r="ES1" s="40"/>
      <c r="ET1" s="40"/>
      <c r="EU1" s="40"/>
      <c r="EV1" s="40"/>
      <c r="EW1" s="40"/>
      <c r="EX1" s="40"/>
      <c r="EY1" s="40"/>
      <c r="EZ1" s="40"/>
      <c r="FA1" s="40"/>
      <c r="FB1" s="40"/>
      <c r="FC1" s="40"/>
      <c r="FD1" s="40"/>
      <c r="FE1" s="40"/>
      <c r="FF1" s="40"/>
      <c r="FG1" s="40"/>
      <c r="FH1" s="40"/>
      <c r="FI1" s="40"/>
      <c r="FJ1" s="40"/>
      <c r="FK1" s="40"/>
      <c r="FL1" s="40"/>
      <c r="FM1" s="40"/>
      <c r="FN1" s="40"/>
      <c r="FO1" s="40"/>
      <c r="FP1" s="40"/>
      <c r="FQ1" s="40"/>
      <c r="FR1" s="40"/>
      <c r="FS1" s="40"/>
      <c r="FT1" s="40"/>
      <c r="FU1" s="40"/>
      <c r="FV1" s="40"/>
      <c r="FW1" s="40"/>
      <c r="FX1" s="40"/>
      <c r="FY1" s="40"/>
      <c r="FZ1" s="40"/>
      <c r="GA1" s="40"/>
      <c r="GB1" s="40"/>
      <c r="GC1" s="40"/>
      <c r="GD1" s="40"/>
      <c r="GE1" s="40"/>
      <c r="GF1" s="40"/>
      <c r="GG1" s="40"/>
      <c r="GH1" s="40"/>
      <c r="GI1" s="40"/>
      <c r="GJ1" s="40"/>
      <c r="GK1" s="40"/>
      <c r="GL1" s="40"/>
      <c r="GM1" s="40"/>
      <c r="GN1" s="40"/>
      <c r="GO1" s="40"/>
      <c r="GP1" s="40"/>
      <c r="GQ1" s="40"/>
      <c r="GR1" s="40"/>
      <c r="GS1" s="40"/>
      <c r="GT1" s="40"/>
      <c r="GU1" s="40"/>
      <c r="GV1" s="40"/>
      <c r="GW1" s="40"/>
      <c r="GX1" s="40"/>
      <c r="GY1" s="40"/>
      <c r="GZ1" s="40"/>
      <c r="HA1" s="40"/>
      <c r="HB1" s="40"/>
      <c r="HC1" s="40"/>
      <c r="HD1" s="40"/>
      <c r="HE1" s="40"/>
      <c r="HF1" s="40"/>
      <c r="HG1" s="40"/>
      <c r="HH1" s="40"/>
      <c r="HI1" s="40"/>
      <c r="HJ1" s="40"/>
      <c r="HK1" s="40"/>
      <c r="HL1" s="40"/>
      <c r="HM1" s="40"/>
      <c r="HN1" s="40"/>
      <c r="HO1" s="40"/>
      <c r="HP1" s="40"/>
      <c r="HQ1" s="40"/>
      <c r="HR1" s="40"/>
      <c r="HS1" s="40"/>
      <c r="HT1" s="40"/>
      <c r="HU1" s="40"/>
      <c r="HV1" s="40"/>
      <c r="HW1" s="40"/>
      <c r="HX1" s="40"/>
      <c r="HY1" s="40"/>
      <c r="HZ1" s="40"/>
      <c r="IA1" s="40"/>
      <c r="IB1" s="40"/>
      <c r="IC1" s="40"/>
      <c r="ID1" s="40"/>
      <c r="IE1" s="40"/>
      <c r="IF1" s="40"/>
      <c r="IG1" s="40"/>
      <c r="IH1" s="40"/>
      <c r="II1" s="40"/>
      <c r="IJ1" s="40"/>
      <c r="IK1" s="40"/>
      <c r="IL1" s="40"/>
      <c r="IM1" s="40"/>
      <c r="IN1" s="40"/>
      <c r="IO1" s="40"/>
    </row>
    <row r="2" spans="2:249" s="55" customFormat="1" ht="30" customHeight="1">
      <c r="B2" s="254" t="s">
        <v>497</v>
      </c>
      <c r="C2" s="254"/>
      <c r="D2" s="54"/>
      <c r="E2" s="54"/>
      <c r="F2" s="54"/>
      <c r="G2" s="54"/>
      <c r="H2" s="54"/>
      <c r="I2" s="54"/>
      <c r="J2" s="54"/>
      <c r="K2" s="54"/>
      <c r="L2" s="54"/>
      <c r="M2" s="54"/>
      <c r="N2" s="54"/>
      <c r="O2" s="54"/>
      <c r="P2" s="54"/>
      <c r="Q2" s="54"/>
      <c r="R2" s="54"/>
      <c r="S2" s="54"/>
      <c r="T2" s="54"/>
      <c r="U2" s="54"/>
      <c r="V2" s="54"/>
      <c r="W2" s="54"/>
      <c r="X2" s="54"/>
      <c r="Y2" s="54"/>
      <c r="Z2" s="54"/>
      <c r="AA2" s="54"/>
      <c r="AB2" s="54"/>
      <c r="AC2" s="54"/>
      <c r="AD2" s="54"/>
      <c r="AE2" s="54"/>
      <c r="AF2" s="54"/>
      <c r="AG2" s="54"/>
      <c r="AH2" s="54"/>
      <c r="AI2" s="54"/>
      <c r="AJ2" s="54"/>
      <c r="AK2" s="54"/>
      <c r="AL2" s="54"/>
      <c r="AM2" s="54"/>
      <c r="AN2" s="54"/>
      <c r="AO2" s="54"/>
      <c r="AP2" s="54"/>
      <c r="AQ2" s="54"/>
      <c r="AR2" s="54"/>
      <c r="AS2" s="54"/>
      <c r="AT2" s="54"/>
      <c r="AU2" s="54"/>
      <c r="AV2" s="54"/>
      <c r="AW2" s="54"/>
      <c r="AX2" s="54"/>
      <c r="AY2" s="54"/>
      <c r="AZ2" s="54"/>
      <c r="BA2" s="54"/>
      <c r="BB2" s="54"/>
      <c r="BC2" s="54"/>
      <c r="BD2" s="54"/>
      <c r="BE2" s="54"/>
      <c r="BF2" s="54"/>
      <c r="BG2" s="54"/>
      <c r="BH2" s="54"/>
      <c r="BI2" s="54"/>
      <c r="BJ2" s="54"/>
      <c r="BK2" s="54"/>
      <c r="BL2" s="54"/>
      <c r="BM2" s="54"/>
      <c r="BN2" s="54"/>
      <c r="BO2" s="54"/>
      <c r="BP2" s="54"/>
      <c r="BQ2" s="54"/>
      <c r="BR2" s="54"/>
      <c r="BS2" s="54"/>
      <c r="BT2" s="54"/>
      <c r="BU2" s="54"/>
      <c r="BV2" s="54"/>
      <c r="BW2" s="54"/>
      <c r="BX2" s="54"/>
      <c r="BY2" s="54"/>
      <c r="BZ2" s="54"/>
      <c r="CA2" s="54"/>
      <c r="CB2" s="54"/>
      <c r="CC2" s="54"/>
      <c r="CD2" s="54"/>
      <c r="CE2" s="54"/>
      <c r="CF2" s="54"/>
      <c r="CG2" s="54"/>
      <c r="CH2" s="54"/>
      <c r="CI2" s="54"/>
      <c r="CJ2" s="54"/>
      <c r="CK2" s="54"/>
      <c r="CL2" s="54"/>
      <c r="CM2" s="54"/>
      <c r="CN2" s="54"/>
      <c r="CO2" s="54"/>
      <c r="CP2" s="54"/>
      <c r="CQ2" s="54"/>
      <c r="CR2" s="54"/>
      <c r="CS2" s="54"/>
      <c r="CT2" s="54"/>
      <c r="CU2" s="54"/>
      <c r="CV2" s="54"/>
      <c r="CW2" s="54"/>
      <c r="CX2" s="54"/>
      <c r="CY2" s="54"/>
      <c r="CZ2" s="54"/>
      <c r="DA2" s="54"/>
      <c r="DB2" s="54"/>
      <c r="DC2" s="54"/>
      <c r="DD2" s="54"/>
      <c r="DE2" s="54"/>
      <c r="DF2" s="54"/>
      <c r="DG2" s="54"/>
      <c r="DH2" s="54"/>
      <c r="DI2" s="54"/>
      <c r="DJ2" s="54"/>
      <c r="DK2" s="54"/>
      <c r="DL2" s="54"/>
      <c r="DM2" s="54"/>
      <c r="DN2" s="54"/>
      <c r="DO2" s="54"/>
      <c r="DP2" s="54"/>
      <c r="DQ2" s="54"/>
      <c r="DR2" s="54"/>
      <c r="DS2" s="54"/>
      <c r="DT2" s="54"/>
      <c r="DU2" s="54"/>
      <c r="DV2" s="54"/>
      <c r="DW2" s="54"/>
      <c r="DX2" s="54"/>
      <c r="DY2" s="54"/>
      <c r="DZ2" s="54"/>
      <c r="EA2" s="54"/>
      <c r="EB2" s="54"/>
      <c r="EC2" s="54"/>
      <c r="ED2" s="54"/>
      <c r="EE2" s="54"/>
      <c r="EF2" s="54"/>
      <c r="EG2" s="54"/>
      <c r="EH2" s="54"/>
      <c r="EI2" s="54"/>
      <c r="EJ2" s="54"/>
      <c r="EK2" s="54"/>
      <c r="EL2" s="54"/>
      <c r="EM2" s="54"/>
      <c r="EN2" s="54"/>
      <c r="EO2" s="54"/>
      <c r="EP2" s="54"/>
      <c r="EQ2" s="54"/>
      <c r="ER2" s="54"/>
      <c r="ES2" s="54"/>
      <c r="ET2" s="54"/>
      <c r="EU2" s="54"/>
      <c r="EV2" s="54"/>
      <c r="EW2" s="54"/>
      <c r="EX2" s="54"/>
      <c r="EY2" s="54"/>
      <c r="EZ2" s="54"/>
      <c r="FA2" s="54"/>
      <c r="FB2" s="54"/>
      <c r="FC2" s="54"/>
      <c r="FD2" s="54"/>
      <c r="FE2" s="54"/>
      <c r="FF2" s="54"/>
      <c r="FG2" s="54"/>
      <c r="FH2" s="54"/>
      <c r="FI2" s="54"/>
      <c r="FJ2" s="54"/>
      <c r="FK2" s="54"/>
      <c r="FL2" s="54"/>
      <c r="FM2" s="54"/>
      <c r="FN2" s="54"/>
      <c r="FO2" s="54"/>
      <c r="FP2" s="54"/>
      <c r="FQ2" s="54"/>
      <c r="FR2" s="54"/>
      <c r="FS2" s="54"/>
      <c r="FT2" s="54"/>
      <c r="FU2" s="54"/>
      <c r="FV2" s="54"/>
      <c r="FW2" s="54"/>
      <c r="FX2" s="54"/>
      <c r="FY2" s="54"/>
      <c r="FZ2" s="54"/>
      <c r="GA2" s="54"/>
      <c r="GB2" s="54"/>
      <c r="GC2" s="54"/>
      <c r="GD2" s="54"/>
      <c r="GE2" s="54"/>
      <c r="GF2" s="54"/>
      <c r="GG2" s="54"/>
      <c r="GH2" s="54"/>
      <c r="GI2" s="54"/>
      <c r="GJ2" s="54"/>
      <c r="GK2" s="54"/>
      <c r="GL2" s="54"/>
      <c r="GM2" s="54"/>
      <c r="GN2" s="54"/>
      <c r="GO2" s="54"/>
      <c r="GP2" s="54"/>
      <c r="GQ2" s="54"/>
      <c r="GR2" s="54"/>
      <c r="GS2" s="54"/>
      <c r="GT2" s="54"/>
      <c r="GU2" s="54"/>
      <c r="GV2" s="54"/>
      <c r="GW2" s="54"/>
      <c r="GX2" s="54"/>
      <c r="GY2" s="54"/>
      <c r="GZ2" s="54"/>
      <c r="HA2" s="54"/>
      <c r="HB2" s="54"/>
      <c r="HC2" s="54"/>
      <c r="HD2" s="54"/>
      <c r="HE2" s="54"/>
      <c r="HF2" s="54"/>
      <c r="HG2" s="54"/>
      <c r="HH2" s="54"/>
      <c r="HI2" s="54"/>
      <c r="HJ2" s="54"/>
      <c r="HK2" s="54"/>
      <c r="HL2" s="54"/>
      <c r="HM2" s="54"/>
      <c r="HN2" s="54"/>
      <c r="HO2" s="54"/>
      <c r="HP2" s="54"/>
      <c r="HQ2" s="54"/>
      <c r="HR2" s="54"/>
      <c r="HS2" s="54"/>
      <c r="HT2" s="54"/>
      <c r="HU2" s="54"/>
      <c r="HV2" s="54"/>
      <c r="HW2" s="54"/>
      <c r="HX2" s="54"/>
      <c r="HY2" s="54"/>
      <c r="HZ2" s="54"/>
      <c r="IA2" s="54"/>
      <c r="IB2" s="54"/>
      <c r="IC2" s="54"/>
      <c r="ID2" s="54"/>
      <c r="IE2" s="54"/>
      <c r="IF2" s="54"/>
      <c r="IG2" s="54"/>
      <c r="IH2" s="54"/>
      <c r="II2" s="54"/>
      <c r="IJ2" s="54"/>
      <c r="IK2" s="54"/>
      <c r="IL2" s="54"/>
      <c r="IM2" s="54"/>
      <c r="IN2" s="54"/>
      <c r="IO2" s="54"/>
    </row>
    <row r="3" spans="2:249" ht="20.100000000000001" customHeight="1">
      <c r="B3" s="255" t="s">
        <v>498</v>
      </c>
      <c r="C3" s="255"/>
      <c r="D3" s="164">
        <v>1</v>
      </c>
      <c r="E3" s="164">
        <v>2</v>
      </c>
      <c r="F3" s="164">
        <v>3</v>
      </c>
      <c r="G3" s="164">
        <v>4</v>
      </c>
      <c r="H3" s="164">
        <v>5</v>
      </c>
      <c r="I3" s="164">
        <v>6</v>
      </c>
      <c r="J3" s="164">
        <v>7</v>
      </c>
      <c r="K3" s="164">
        <v>8</v>
      </c>
      <c r="L3" s="164">
        <v>9</v>
      </c>
      <c r="M3" s="164">
        <v>10</v>
      </c>
      <c r="N3" s="164">
        <v>11</v>
      </c>
      <c r="O3" s="164">
        <v>12</v>
      </c>
      <c r="P3" s="164">
        <v>13</v>
      </c>
      <c r="Q3" s="164">
        <v>14</v>
      </c>
      <c r="R3" s="164">
        <v>15</v>
      </c>
      <c r="S3" s="164">
        <v>16</v>
      </c>
      <c r="T3" s="164">
        <v>17</v>
      </c>
      <c r="U3" s="164">
        <v>18</v>
      </c>
      <c r="V3" s="164">
        <v>19</v>
      </c>
      <c r="W3" s="164">
        <v>20</v>
      </c>
      <c r="X3" s="164">
        <v>21</v>
      </c>
      <c r="Y3" s="164">
        <v>22</v>
      </c>
      <c r="Z3" s="164">
        <v>23</v>
      </c>
      <c r="AA3" s="164">
        <v>24</v>
      </c>
      <c r="AB3" s="164">
        <v>25</v>
      </c>
      <c r="AC3" s="164">
        <v>26</v>
      </c>
      <c r="AD3" s="164">
        <v>27</v>
      </c>
      <c r="AE3" s="164">
        <v>28</v>
      </c>
      <c r="AF3" s="164">
        <v>29</v>
      </c>
      <c r="AG3" s="164">
        <v>30</v>
      </c>
      <c r="AH3" s="164">
        <v>31</v>
      </c>
      <c r="AI3" s="164">
        <v>32</v>
      </c>
      <c r="AJ3" s="164">
        <v>33</v>
      </c>
      <c r="AK3" s="164">
        <v>34</v>
      </c>
      <c r="AL3" s="164">
        <v>35</v>
      </c>
      <c r="AM3" s="164">
        <v>36</v>
      </c>
      <c r="AN3" s="164">
        <v>37</v>
      </c>
      <c r="AO3" s="164">
        <v>38</v>
      </c>
      <c r="AP3" s="164">
        <v>39</v>
      </c>
      <c r="AQ3" s="164">
        <v>40</v>
      </c>
      <c r="AR3" s="164">
        <v>41</v>
      </c>
      <c r="AS3" s="164">
        <v>42</v>
      </c>
      <c r="AT3" s="164">
        <v>43</v>
      </c>
      <c r="AU3" s="164">
        <v>44</v>
      </c>
      <c r="AV3" s="164">
        <v>45</v>
      </c>
      <c r="AW3" s="164">
        <v>46</v>
      </c>
      <c r="AX3" s="164">
        <v>47</v>
      </c>
      <c r="AY3" s="164">
        <v>48</v>
      </c>
      <c r="AZ3" s="164">
        <v>49</v>
      </c>
      <c r="BA3" s="164">
        <v>50</v>
      </c>
      <c r="BB3" s="164">
        <v>51</v>
      </c>
      <c r="BC3" s="164">
        <v>52</v>
      </c>
      <c r="BD3" s="164">
        <v>53</v>
      </c>
      <c r="BE3" s="164">
        <v>54</v>
      </c>
      <c r="BF3" s="164">
        <v>55</v>
      </c>
      <c r="BG3" s="164">
        <v>56</v>
      </c>
      <c r="BH3" s="164">
        <v>57</v>
      </c>
      <c r="BI3" s="164">
        <v>58</v>
      </c>
      <c r="BJ3" s="164">
        <v>59</v>
      </c>
      <c r="BK3" s="164">
        <v>60</v>
      </c>
      <c r="BL3" s="164">
        <v>61</v>
      </c>
      <c r="BM3" s="164">
        <v>62</v>
      </c>
      <c r="BN3" s="164">
        <v>63</v>
      </c>
      <c r="BO3" s="164">
        <v>64</v>
      </c>
      <c r="BP3" s="164">
        <v>65</v>
      </c>
      <c r="BQ3" s="164">
        <v>66</v>
      </c>
      <c r="BR3" s="164">
        <v>67</v>
      </c>
      <c r="BS3" s="164">
        <v>68</v>
      </c>
      <c r="BT3" s="164">
        <v>69</v>
      </c>
      <c r="BU3" s="164">
        <v>70</v>
      </c>
      <c r="BV3" s="164">
        <v>71</v>
      </c>
      <c r="BW3" s="164">
        <v>72</v>
      </c>
      <c r="BX3" s="164">
        <v>73</v>
      </c>
      <c r="BY3" s="164">
        <v>74</v>
      </c>
      <c r="BZ3" s="164">
        <v>75</v>
      </c>
      <c r="CA3" s="164">
        <v>76</v>
      </c>
      <c r="CB3" s="164">
        <v>77</v>
      </c>
      <c r="CC3" s="164">
        <v>78</v>
      </c>
      <c r="CD3" s="164">
        <v>79</v>
      </c>
      <c r="CE3" s="164"/>
      <c r="CF3" s="164"/>
      <c r="CG3" s="164"/>
      <c r="CH3" s="164"/>
      <c r="CI3" s="164"/>
      <c r="CJ3" s="164"/>
      <c r="CK3" s="164"/>
      <c r="CL3" s="164"/>
      <c r="CM3" s="164"/>
      <c r="CN3" s="164"/>
      <c r="CO3" s="164"/>
      <c r="CP3" s="164"/>
      <c r="CQ3" s="164"/>
      <c r="CR3" s="164"/>
      <c r="CS3" s="164"/>
      <c r="CT3" s="164"/>
      <c r="CU3" s="164"/>
      <c r="CV3" s="164"/>
      <c r="CW3" s="164"/>
      <c r="CX3" s="164"/>
      <c r="CY3" s="164"/>
      <c r="CZ3" s="164"/>
      <c r="DA3" s="164"/>
      <c r="DB3" s="164"/>
      <c r="DC3" s="164"/>
      <c r="DD3" s="164"/>
      <c r="DE3" s="164"/>
      <c r="DF3" s="164"/>
      <c r="DG3" s="164"/>
      <c r="DH3" s="164"/>
      <c r="DI3" s="164"/>
      <c r="DJ3" s="164"/>
      <c r="DK3" s="164"/>
      <c r="DL3" s="164"/>
      <c r="DM3" s="164"/>
      <c r="DN3" s="164"/>
      <c r="DO3" s="164"/>
      <c r="DP3" s="164"/>
      <c r="DQ3" s="164"/>
      <c r="DR3" s="164"/>
      <c r="DS3" s="164"/>
      <c r="DT3" s="164"/>
      <c r="DU3" s="164"/>
      <c r="DV3" s="164"/>
      <c r="DW3" s="164"/>
      <c r="DX3" s="164"/>
      <c r="DY3" s="164"/>
      <c r="DZ3" s="164"/>
      <c r="EA3" s="164"/>
      <c r="EB3" s="164"/>
      <c r="EC3" s="164"/>
      <c r="ED3" s="164"/>
      <c r="EE3" s="164"/>
      <c r="EF3" s="164"/>
      <c r="EG3" s="164"/>
      <c r="EH3" s="164"/>
      <c r="EI3" s="164"/>
      <c r="EJ3" s="164"/>
      <c r="EK3" s="164"/>
      <c r="EL3" s="164"/>
      <c r="EM3" s="164"/>
      <c r="EN3" s="164"/>
      <c r="EO3" s="164"/>
      <c r="EP3" s="164"/>
      <c r="EQ3" s="164"/>
      <c r="ER3" s="164"/>
      <c r="ES3" s="164"/>
      <c r="ET3" s="164"/>
      <c r="EU3" s="164"/>
      <c r="EV3" s="164"/>
      <c r="EW3" s="164"/>
      <c r="EX3" s="164"/>
      <c r="EY3" s="164"/>
      <c r="EZ3" s="164"/>
      <c r="FA3" s="164"/>
      <c r="FB3" s="164"/>
      <c r="FC3" s="164"/>
      <c r="FD3" s="164"/>
      <c r="FE3" s="164"/>
      <c r="FF3" s="164"/>
      <c r="FG3" s="164"/>
      <c r="FH3" s="164"/>
      <c r="FI3" s="164"/>
      <c r="FJ3" s="164"/>
      <c r="FK3" s="164"/>
      <c r="FL3" s="164"/>
      <c r="FM3" s="164"/>
      <c r="FN3" s="164"/>
      <c r="FO3" s="164"/>
      <c r="FP3" s="164"/>
      <c r="FQ3" s="164"/>
      <c r="FR3" s="164"/>
      <c r="FS3" s="164"/>
      <c r="FT3" s="164"/>
      <c r="FU3" s="164"/>
      <c r="FV3" s="164"/>
      <c r="FW3" s="164"/>
      <c r="FX3" s="164"/>
      <c r="FY3" s="164"/>
      <c r="FZ3" s="164"/>
      <c r="GA3" s="164"/>
      <c r="GB3" s="164"/>
      <c r="GC3" s="164"/>
      <c r="GD3" s="164"/>
      <c r="GE3" s="164"/>
      <c r="GF3" s="164"/>
      <c r="GG3" s="164"/>
      <c r="GH3" s="164"/>
      <c r="GI3" s="164"/>
      <c r="GJ3" s="164"/>
      <c r="GK3" s="164"/>
      <c r="GL3" s="164"/>
      <c r="GM3" s="164"/>
      <c r="GN3" s="164"/>
      <c r="GO3" s="164"/>
      <c r="GP3" s="164"/>
      <c r="GQ3" s="164"/>
      <c r="GR3" s="164"/>
      <c r="GS3" s="164"/>
      <c r="GT3" s="164"/>
      <c r="GU3" s="164"/>
      <c r="GV3" s="164"/>
      <c r="GW3" s="164"/>
      <c r="GX3" s="164"/>
      <c r="GY3" s="164"/>
      <c r="GZ3" s="164"/>
      <c r="HA3" s="164"/>
      <c r="HB3" s="164"/>
      <c r="HC3" s="164"/>
      <c r="HD3" s="164"/>
      <c r="HE3" s="164"/>
      <c r="HF3" s="164"/>
      <c r="HG3" s="164"/>
      <c r="HH3" s="164"/>
      <c r="HI3" s="164"/>
      <c r="HJ3" s="164"/>
      <c r="HK3" s="164"/>
      <c r="HL3" s="164"/>
      <c r="HM3" s="164"/>
      <c r="HN3" s="164"/>
      <c r="HO3" s="164"/>
      <c r="HP3" s="164"/>
      <c r="HQ3" s="164"/>
      <c r="HR3" s="164"/>
      <c r="HS3" s="164"/>
      <c r="HT3" s="164"/>
      <c r="HU3" s="164"/>
      <c r="HV3" s="164"/>
      <c r="HW3" s="164"/>
      <c r="HX3" s="164"/>
      <c r="HY3" s="164"/>
      <c r="HZ3" s="164"/>
      <c r="IA3" s="164"/>
      <c r="IB3" s="164"/>
      <c r="IC3" s="164"/>
      <c r="ID3" s="164"/>
      <c r="IE3" s="164"/>
      <c r="IF3" s="164"/>
      <c r="IG3" s="164"/>
      <c r="IH3" s="164"/>
      <c r="II3" s="164"/>
      <c r="IJ3" s="164"/>
      <c r="IK3" s="164"/>
      <c r="IL3" s="164"/>
      <c r="IM3" s="164"/>
      <c r="IN3" s="164"/>
      <c r="IO3" s="164"/>
    </row>
    <row r="4" spans="2:249" ht="39.75" customHeight="1">
      <c r="B4" s="256" t="s">
        <v>447</v>
      </c>
      <c r="C4" s="257"/>
      <c r="D4" s="164" t="s">
        <v>591</v>
      </c>
      <c r="E4" s="158" t="s">
        <v>598</v>
      </c>
      <c r="F4" s="158" t="s">
        <v>599</v>
      </c>
      <c r="G4" s="158" t="s">
        <v>600</v>
      </c>
      <c r="H4" s="158" t="s">
        <v>601</v>
      </c>
      <c r="I4" s="158" t="s">
        <v>602</v>
      </c>
      <c r="J4" s="158" t="s">
        <v>603</v>
      </c>
      <c r="K4" s="158" t="s">
        <v>604</v>
      </c>
      <c r="L4" s="158" t="s">
        <v>605</v>
      </c>
      <c r="M4" s="158" t="s">
        <v>606</v>
      </c>
      <c r="N4" s="158" t="s">
        <v>617</v>
      </c>
      <c r="O4" s="158" t="s">
        <v>618</v>
      </c>
      <c r="P4" s="158" t="s">
        <v>619</v>
      </c>
      <c r="Q4" s="158" t="s">
        <v>620</v>
      </c>
      <c r="R4" s="158" t="s">
        <v>621</v>
      </c>
      <c r="S4" s="158" t="s">
        <v>627</v>
      </c>
      <c r="T4" s="158" t="s">
        <v>628</v>
      </c>
      <c r="U4" s="158" t="s">
        <v>629</v>
      </c>
      <c r="V4" s="158" t="s">
        <v>630</v>
      </c>
      <c r="W4" s="158" t="s">
        <v>631</v>
      </c>
      <c r="X4" s="158" t="s">
        <v>632</v>
      </c>
      <c r="Y4" s="158" t="s">
        <v>633</v>
      </c>
      <c r="Z4" s="158" t="s">
        <v>634</v>
      </c>
      <c r="AA4" s="158" t="s">
        <v>635</v>
      </c>
      <c r="AB4" s="158" t="s">
        <v>636</v>
      </c>
      <c r="AC4" s="158" t="s">
        <v>637</v>
      </c>
      <c r="AD4" s="158" t="s">
        <v>638</v>
      </c>
      <c r="AE4" s="158" t="s">
        <v>639</v>
      </c>
      <c r="AF4" s="168" t="s">
        <v>665</v>
      </c>
      <c r="AG4" s="168" t="s">
        <v>666</v>
      </c>
      <c r="AH4" s="168" t="s">
        <v>667</v>
      </c>
      <c r="AI4" s="168" t="s">
        <v>668</v>
      </c>
      <c r="AJ4" s="168" t="s">
        <v>669</v>
      </c>
      <c r="AK4" s="168" t="s">
        <v>670</v>
      </c>
      <c r="AL4" s="158" t="s">
        <v>679</v>
      </c>
      <c r="AM4" s="158" t="s">
        <v>680</v>
      </c>
      <c r="AN4" s="158" t="s">
        <v>681</v>
      </c>
      <c r="AO4" s="158" t="s">
        <v>682</v>
      </c>
      <c r="AP4" s="158" t="s">
        <v>683</v>
      </c>
      <c r="AQ4" s="158" t="s">
        <v>684</v>
      </c>
      <c r="AR4" s="158" t="s">
        <v>685</v>
      </c>
      <c r="AS4" s="158" t="s">
        <v>686</v>
      </c>
      <c r="AT4" s="158" t="s">
        <v>687</v>
      </c>
      <c r="AU4" s="158" t="s">
        <v>688</v>
      </c>
      <c r="AV4" s="158" t="s">
        <v>689</v>
      </c>
      <c r="AW4" s="158" t="s">
        <v>690</v>
      </c>
      <c r="AX4" s="158" t="s">
        <v>691</v>
      </c>
      <c r="AY4" s="158" t="s">
        <v>692</v>
      </c>
      <c r="AZ4" s="158" t="s">
        <v>693</v>
      </c>
      <c r="BA4" s="158" t="s">
        <v>694</v>
      </c>
      <c r="BB4" s="158" t="s">
        <v>695</v>
      </c>
      <c r="BC4" s="158" t="s">
        <v>696</v>
      </c>
      <c r="BD4" s="158" t="s">
        <v>688</v>
      </c>
      <c r="BE4" s="158" t="s">
        <v>689</v>
      </c>
      <c r="BF4" s="158" t="s">
        <v>690</v>
      </c>
      <c r="BG4" s="158" t="s">
        <v>691</v>
      </c>
      <c r="BH4" s="158" t="s">
        <v>692</v>
      </c>
      <c r="BI4" s="158" t="s">
        <v>693</v>
      </c>
      <c r="BJ4" s="158" t="s">
        <v>697</v>
      </c>
      <c r="BK4" s="158" t="s">
        <v>695</v>
      </c>
      <c r="BL4" s="158" t="s">
        <v>698</v>
      </c>
      <c r="BM4" s="158" t="s">
        <v>699</v>
      </c>
      <c r="BN4" s="158" t="s">
        <v>700</v>
      </c>
      <c r="BO4" s="158" t="s">
        <v>701</v>
      </c>
      <c r="BP4" s="158" t="s">
        <v>702</v>
      </c>
      <c r="BQ4" s="158" t="s">
        <v>703</v>
      </c>
      <c r="BR4" s="158" t="s">
        <v>704</v>
      </c>
      <c r="BS4" s="158" t="s">
        <v>705</v>
      </c>
      <c r="BT4" s="158" t="s">
        <v>706</v>
      </c>
      <c r="BU4" s="158" t="s">
        <v>707</v>
      </c>
      <c r="BV4" s="158" t="s">
        <v>708</v>
      </c>
      <c r="BW4" s="158" t="s">
        <v>709</v>
      </c>
      <c r="BX4" s="158" t="s">
        <v>710</v>
      </c>
      <c r="BY4" s="158" t="s">
        <v>711</v>
      </c>
      <c r="BZ4" s="158" t="s">
        <v>712</v>
      </c>
      <c r="CA4" s="158" t="s">
        <v>713</v>
      </c>
      <c r="CB4" s="158" t="s">
        <v>714</v>
      </c>
      <c r="CC4" s="158" t="s">
        <v>715</v>
      </c>
      <c r="CD4" s="158" t="s">
        <v>716</v>
      </c>
      <c r="CE4" s="168"/>
      <c r="CF4" s="168"/>
      <c r="CG4" s="168"/>
      <c r="CH4" s="168"/>
      <c r="CI4" s="168"/>
      <c r="CJ4" s="168"/>
      <c r="CK4" s="168"/>
      <c r="CL4" s="168"/>
      <c r="CM4" s="168"/>
      <c r="CN4" s="168"/>
      <c r="CO4" s="168"/>
      <c r="CP4" s="168"/>
      <c r="CQ4" s="168"/>
      <c r="CR4" s="168"/>
      <c r="CS4" s="168"/>
      <c r="CT4" s="168"/>
      <c r="CU4" s="168"/>
      <c r="CV4" s="168"/>
      <c r="CW4" s="168"/>
      <c r="CX4" s="168"/>
      <c r="CY4" s="168"/>
      <c r="CZ4" s="168"/>
      <c r="DA4" s="168"/>
      <c r="DB4" s="168"/>
      <c r="DC4" s="168"/>
      <c r="DD4" s="168"/>
      <c r="DE4" s="168"/>
      <c r="DF4" s="168"/>
      <c r="DG4" s="168"/>
      <c r="DH4" s="168"/>
      <c r="DI4" s="168"/>
      <c r="DJ4" s="168"/>
      <c r="DK4" s="168"/>
      <c r="DL4" s="168"/>
      <c r="DM4" s="168"/>
      <c r="DN4" s="168"/>
      <c r="DO4" s="168"/>
      <c r="DP4" s="168"/>
      <c r="DQ4" s="168"/>
      <c r="DR4" s="168"/>
      <c r="DS4" s="168"/>
      <c r="DT4" s="168"/>
      <c r="DU4" s="168"/>
      <c r="DV4" s="168"/>
      <c r="DW4" s="168"/>
      <c r="DX4" s="168"/>
      <c r="DY4" s="168"/>
      <c r="DZ4" s="168"/>
      <c r="EA4" s="168"/>
      <c r="EB4" s="168"/>
      <c r="EC4" s="168"/>
      <c r="ED4" s="168"/>
      <c r="EE4" s="168"/>
      <c r="EF4" s="168"/>
      <c r="EG4" s="168"/>
      <c r="EH4" s="168"/>
      <c r="EI4" s="168"/>
      <c r="EJ4" s="168"/>
      <c r="EK4" s="168"/>
      <c r="EL4" s="168"/>
      <c r="EM4" s="168"/>
      <c r="EN4" s="168"/>
      <c r="EO4" s="168"/>
      <c r="EP4" s="168"/>
      <c r="EQ4" s="168"/>
      <c r="ER4" s="168"/>
      <c r="ES4" s="168"/>
      <c r="ET4" s="168"/>
      <c r="EU4" s="168"/>
      <c r="EV4" s="168"/>
      <c r="EW4" s="168"/>
      <c r="EX4" s="168"/>
      <c r="EY4" s="168"/>
      <c r="EZ4" s="168"/>
      <c r="FA4" s="168"/>
      <c r="FB4" s="168"/>
      <c r="FC4" s="168"/>
      <c r="FD4" s="168"/>
      <c r="FE4" s="168"/>
      <c r="FF4" s="168"/>
      <c r="FG4" s="168"/>
      <c r="FH4" s="168"/>
      <c r="FI4" s="168"/>
      <c r="FJ4" s="168"/>
      <c r="FK4" s="168"/>
      <c r="FL4" s="168"/>
      <c r="FM4" s="168"/>
      <c r="FN4" s="168"/>
      <c r="FO4" s="168"/>
      <c r="FP4" s="168"/>
      <c r="FQ4" s="168"/>
      <c r="FR4" s="168"/>
      <c r="FS4" s="168"/>
      <c r="FT4" s="168"/>
      <c r="FU4" s="168"/>
      <c r="FV4" s="168"/>
      <c r="FW4" s="168"/>
      <c r="FX4" s="168"/>
      <c r="FY4" s="168"/>
      <c r="FZ4" s="168"/>
      <c r="GA4" s="168"/>
      <c r="GB4" s="168"/>
      <c r="GC4" s="168"/>
      <c r="GD4" s="168"/>
      <c r="GE4" s="168"/>
      <c r="GF4" s="168"/>
      <c r="GG4" s="168"/>
      <c r="GH4" s="168"/>
      <c r="GI4" s="168"/>
      <c r="GJ4" s="168"/>
      <c r="GK4" s="168"/>
      <c r="GL4" s="168"/>
      <c r="GM4" s="168"/>
      <c r="GN4" s="168"/>
      <c r="GO4" s="168"/>
      <c r="GP4" s="168"/>
      <c r="GQ4" s="168"/>
      <c r="GR4" s="168"/>
      <c r="GS4" s="168"/>
      <c r="GT4" s="168"/>
      <c r="GU4" s="168"/>
      <c r="GV4" s="168"/>
      <c r="GW4" s="168"/>
      <c r="GX4" s="168"/>
      <c r="GY4" s="168"/>
      <c r="GZ4" s="168"/>
      <c r="HA4" s="168"/>
      <c r="HB4" s="168"/>
      <c r="HC4" s="168"/>
      <c r="HD4" s="168"/>
      <c r="HE4" s="168"/>
      <c r="HF4" s="168"/>
      <c r="HG4" s="168"/>
      <c r="HH4" s="168"/>
      <c r="HI4" s="168"/>
      <c r="HJ4" s="168"/>
      <c r="HK4" s="168"/>
      <c r="HL4" s="168"/>
      <c r="HM4" s="168"/>
      <c r="HN4" s="168"/>
      <c r="HO4" s="168"/>
      <c r="HP4" s="168"/>
      <c r="HQ4" s="168"/>
      <c r="HR4" s="168"/>
      <c r="HS4" s="168"/>
      <c r="HT4" s="168"/>
      <c r="HU4" s="168"/>
      <c r="HV4" s="168"/>
      <c r="HW4" s="168"/>
      <c r="HX4" s="168"/>
      <c r="HY4" s="168"/>
      <c r="HZ4" s="168"/>
      <c r="IA4" s="168"/>
      <c r="IB4" s="168"/>
      <c r="IC4" s="168"/>
      <c r="ID4" s="168"/>
      <c r="IE4" s="168"/>
      <c r="IF4" s="168"/>
      <c r="IG4" s="168"/>
      <c r="IH4" s="168"/>
      <c r="II4" s="168"/>
      <c r="IJ4" s="168"/>
      <c r="IK4" s="168"/>
      <c r="IL4" s="168"/>
      <c r="IM4" s="168"/>
      <c r="IN4" s="168"/>
      <c r="IO4" s="168"/>
    </row>
    <row r="5" spans="2:249" ht="20.100000000000001" customHeight="1">
      <c r="B5" s="259" t="s">
        <v>486</v>
      </c>
      <c r="C5" s="260"/>
      <c r="D5" s="165"/>
      <c r="E5" s="165"/>
      <c r="F5" s="165"/>
      <c r="G5" s="165"/>
      <c r="H5" s="165"/>
      <c r="I5" s="165"/>
      <c r="J5" s="165"/>
      <c r="K5" s="165"/>
      <c r="L5" s="165"/>
      <c r="M5" s="165"/>
      <c r="N5" s="165"/>
      <c r="O5" s="165"/>
      <c r="P5" s="165"/>
      <c r="Q5" s="165"/>
      <c r="R5" s="165"/>
      <c r="S5" s="165"/>
      <c r="T5" s="165"/>
      <c r="U5" s="165"/>
      <c r="V5" s="165"/>
      <c r="W5" s="165"/>
      <c r="X5" s="165"/>
      <c r="Y5" s="165"/>
      <c r="Z5" s="165"/>
      <c r="AA5" s="165"/>
      <c r="AB5" s="165"/>
      <c r="AC5" s="165"/>
      <c r="AD5" s="165"/>
      <c r="AE5" s="165"/>
      <c r="AF5" s="165"/>
      <c r="AG5" s="165"/>
      <c r="AH5" s="165"/>
      <c r="AI5" s="165"/>
      <c r="AJ5" s="165"/>
      <c r="AK5" s="165"/>
      <c r="AL5" s="165"/>
      <c r="AM5" s="165"/>
      <c r="AN5" s="165"/>
      <c r="AO5" s="165"/>
      <c r="AP5" s="165"/>
      <c r="AQ5" s="165"/>
      <c r="AR5" s="165"/>
      <c r="AS5" s="165"/>
      <c r="AT5" s="165"/>
      <c r="AU5" s="165"/>
      <c r="AV5" s="165"/>
      <c r="AW5" s="165"/>
      <c r="AX5" s="165"/>
      <c r="AY5" s="165"/>
      <c r="AZ5" s="165"/>
      <c r="BA5" s="165"/>
      <c r="BB5" s="165"/>
      <c r="BC5" s="165"/>
      <c r="BD5" s="165"/>
      <c r="BE5" s="165"/>
      <c r="BF5" s="165"/>
      <c r="BG5" s="165"/>
      <c r="BH5" s="165"/>
      <c r="BI5" s="165"/>
      <c r="BJ5" s="165"/>
      <c r="BK5" s="165"/>
      <c r="BL5" s="165"/>
      <c r="BM5" s="165"/>
      <c r="BN5" s="165"/>
      <c r="BO5" s="165"/>
      <c r="BP5" s="165"/>
      <c r="BQ5" s="165"/>
      <c r="BR5" s="165"/>
      <c r="BS5" s="165"/>
      <c r="BT5" s="165"/>
      <c r="BU5" s="165"/>
      <c r="BV5" s="165"/>
      <c r="BW5" s="165"/>
      <c r="BX5" s="165"/>
      <c r="BY5" s="165"/>
      <c r="BZ5" s="165"/>
      <c r="CA5" s="165"/>
      <c r="CB5" s="165"/>
      <c r="CC5" s="165"/>
      <c r="CD5" s="165"/>
      <c r="CE5" s="165"/>
      <c r="CF5" s="165"/>
      <c r="CG5" s="165"/>
      <c r="CH5" s="165"/>
      <c r="CI5" s="165"/>
      <c r="CJ5" s="165"/>
      <c r="CK5" s="165"/>
      <c r="CL5" s="165"/>
      <c r="CM5" s="165"/>
      <c r="CN5" s="165"/>
      <c r="CO5" s="165"/>
      <c r="CP5" s="165"/>
      <c r="CQ5" s="165"/>
      <c r="CR5" s="165"/>
      <c r="CS5" s="165"/>
      <c r="CT5" s="165"/>
      <c r="CU5" s="165"/>
      <c r="CV5" s="165"/>
      <c r="CW5" s="165"/>
      <c r="CX5" s="165"/>
      <c r="CY5" s="165"/>
      <c r="CZ5" s="165"/>
      <c r="DA5" s="165"/>
      <c r="DB5" s="165"/>
      <c r="DC5" s="165"/>
      <c r="DD5" s="165"/>
      <c r="DE5" s="165"/>
      <c r="DF5" s="165"/>
      <c r="DG5" s="165"/>
      <c r="DH5" s="165"/>
      <c r="DI5" s="165"/>
      <c r="DJ5" s="165"/>
      <c r="DK5" s="165"/>
      <c r="DL5" s="165"/>
      <c r="DM5" s="165"/>
      <c r="DN5" s="165"/>
      <c r="DO5" s="165"/>
      <c r="DP5" s="165"/>
      <c r="DQ5" s="165"/>
      <c r="DR5" s="165"/>
      <c r="DS5" s="165"/>
      <c r="DT5" s="165"/>
      <c r="DU5" s="165"/>
      <c r="DV5" s="165"/>
      <c r="DW5" s="165"/>
      <c r="DX5" s="165"/>
      <c r="DY5" s="165"/>
      <c r="DZ5" s="165"/>
      <c r="EA5" s="165"/>
      <c r="EB5" s="165"/>
      <c r="EC5" s="165"/>
      <c r="ED5" s="165"/>
      <c r="EE5" s="165"/>
      <c r="EF5" s="165"/>
      <c r="EG5" s="165"/>
      <c r="EH5" s="165"/>
      <c r="EI5" s="165"/>
      <c r="EJ5" s="165"/>
      <c r="EK5" s="165"/>
      <c r="EL5" s="165"/>
      <c r="EM5" s="165"/>
      <c r="EN5" s="165"/>
      <c r="EO5" s="165"/>
      <c r="EP5" s="165"/>
      <c r="EQ5" s="165"/>
      <c r="ER5" s="165"/>
      <c r="ES5" s="165"/>
      <c r="ET5" s="165"/>
      <c r="EU5" s="165"/>
      <c r="EV5" s="165"/>
      <c r="EW5" s="165"/>
      <c r="EX5" s="165"/>
      <c r="EY5" s="165"/>
      <c r="EZ5" s="165"/>
      <c r="FA5" s="165"/>
      <c r="FB5" s="165"/>
      <c r="FC5" s="165"/>
      <c r="FD5" s="165"/>
      <c r="FE5" s="165"/>
      <c r="FF5" s="165"/>
      <c r="FG5" s="165"/>
      <c r="FH5" s="165"/>
      <c r="FI5" s="165"/>
      <c r="FJ5" s="165"/>
      <c r="FK5" s="165"/>
      <c r="FL5" s="165"/>
      <c r="FM5" s="165"/>
      <c r="FN5" s="165"/>
      <c r="FO5" s="165"/>
      <c r="FP5" s="165"/>
      <c r="FQ5" s="165"/>
      <c r="FR5" s="165"/>
      <c r="FS5" s="165"/>
      <c r="FT5" s="165"/>
      <c r="FU5" s="165"/>
      <c r="FV5" s="165"/>
      <c r="FW5" s="165"/>
      <c r="FX5" s="165"/>
      <c r="FY5" s="165"/>
      <c r="FZ5" s="165"/>
      <c r="GA5" s="165"/>
      <c r="GB5" s="165"/>
      <c r="GC5" s="165"/>
      <c r="GD5" s="165"/>
      <c r="GE5" s="165"/>
      <c r="GF5" s="165"/>
      <c r="GG5" s="165"/>
      <c r="GH5" s="165"/>
      <c r="GI5" s="165"/>
      <c r="GJ5" s="165"/>
      <c r="GK5" s="165"/>
      <c r="GL5" s="165"/>
      <c r="GM5" s="165"/>
      <c r="GN5" s="165"/>
      <c r="GO5" s="165"/>
      <c r="GP5" s="165"/>
      <c r="GQ5" s="165"/>
      <c r="GR5" s="165"/>
      <c r="GS5" s="165"/>
      <c r="GT5" s="165"/>
      <c r="GU5" s="165"/>
      <c r="GV5" s="165"/>
      <c r="GW5" s="165"/>
      <c r="GX5" s="165"/>
      <c r="GY5" s="165"/>
      <c r="GZ5" s="165"/>
      <c r="HA5" s="165"/>
      <c r="HB5" s="165"/>
      <c r="HC5" s="165"/>
      <c r="HD5" s="165"/>
      <c r="HE5" s="165"/>
      <c r="HF5" s="165"/>
      <c r="HG5" s="165"/>
      <c r="HH5" s="165"/>
      <c r="HI5" s="165"/>
      <c r="HJ5" s="165"/>
      <c r="HK5" s="165"/>
      <c r="HL5" s="165"/>
      <c r="HM5" s="165"/>
      <c r="HN5" s="165"/>
      <c r="HO5" s="165"/>
      <c r="HP5" s="165"/>
      <c r="HQ5" s="165"/>
      <c r="HR5" s="165"/>
      <c r="HS5" s="165"/>
      <c r="HT5" s="165"/>
      <c r="HU5" s="165"/>
      <c r="HV5" s="165"/>
      <c r="HW5" s="165"/>
      <c r="HX5" s="165"/>
      <c r="HY5" s="165"/>
      <c r="HZ5" s="165"/>
      <c r="IA5" s="165"/>
      <c r="IB5" s="165"/>
      <c r="IC5" s="165"/>
      <c r="ID5" s="165"/>
      <c r="IE5" s="165"/>
      <c r="IF5" s="165"/>
      <c r="IG5" s="165"/>
      <c r="IH5" s="165"/>
      <c r="II5" s="165"/>
      <c r="IJ5" s="165"/>
      <c r="IK5" s="165"/>
      <c r="IL5" s="165"/>
      <c r="IM5" s="165"/>
      <c r="IN5" s="165"/>
      <c r="IO5" s="165"/>
    </row>
    <row r="6" spans="2:249" ht="20.100000000000001" customHeight="1">
      <c r="B6" s="258" t="s">
        <v>448</v>
      </c>
      <c r="C6" s="258"/>
      <c r="D6" s="57"/>
      <c r="E6" s="57"/>
      <c r="F6" s="57"/>
      <c r="G6" s="57"/>
      <c r="H6" s="57"/>
      <c r="I6" s="57"/>
      <c r="J6" s="57"/>
      <c r="K6" s="57"/>
      <c r="L6" s="57"/>
      <c r="M6" s="57"/>
      <c r="N6" s="57"/>
      <c r="O6" s="57"/>
      <c r="P6" s="57"/>
      <c r="Q6" s="57"/>
      <c r="R6" s="57"/>
      <c r="S6" s="57"/>
      <c r="T6" s="57"/>
      <c r="U6" s="57"/>
      <c r="V6" s="57"/>
      <c r="W6" s="57"/>
      <c r="X6" s="57"/>
      <c r="Y6" s="57"/>
      <c r="Z6" s="57"/>
      <c r="AA6" s="57"/>
      <c r="AB6" s="57"/>
      <c r="AC6" s="57"/>
      <c r="AD6" s="57"/>
      <c r="AE6" s="57"/>
      <c r="AF6" s="57"/>
      <c r="AG6" s="57"/>
      <c r="AH6" s="57"/>
      <c r="AI6" s="57"/>
      <c r="AJ6" s="57"/>
      <c r="AK6" s="57"/>
      <c r="AL6" s="57"/>
      <c r="AM6" s="57"/>
      <c r="AN6" s="57"/>
      <c r="AO6" s="57"/>
      <c r="AP6" s="57"/>
      <c r="AQ6" s="57"/>
      <c r="AR6" s="57"/>
      <c r="AS6" s="57"/>
      <c r="AT6" s="57"/>
      <c r="AU6" s="57"/>
      <c r="AV6" s="57"/>
      <c r="AW6" s="57"/>
      <c r="AX6" s="57"/>
      <c r="AY6" s="57"/>
      <c r="AZ6" s="57"/>
      <c r="BA6" s="57"/>
      <c r="BB6" s="57"/>
      <c r="BC6" s="57"/>
      <c r="BD6" s="57"/>
      <c r="BE6" s="57"/>
      <c r="BF6" s="57"/>
      <c r="BG6" s="57"/>
      <c r="BH6" s="57"/>
      <c r="BI6" s="57"/>
      <c r="BJ6" s="57"/>
      <c r="BK6" s="57"/>
      <c r="BL6" s="57"/>
      <c r="BM6" s="57"/>
      <c r="BN6" s="57"/>
      <c r="BO6" s="57"/>
      <c r="BP6" s="57"/>
      <c r="BQ6" s="57"/>
      <c r="BR6" s="57"/>
      <c r="BS6" s="57"/>
      <c r="BT6" s="57"/>
      <c r="BU6" s="57"/>
      <c r="BV6" s="57"/>
      <c r="BW6" s="57"/>
      <c r="BX6" s="57"/>
      <c r="BY6" s="57"/>
      <c r="BZ6" s="57"/>
      <c r="CA6" s="57"/>
      <c r="CB6" s="57"/>
      <c r="CC6" s="57"/>
      <c r="CD6" s="57"/>
      <c r="CE6" s="57"/>
      <c r="CF6" s="57"/>
      <c r="CG6" s="57"/>
      <c r="CH6" s="57"/>
      <c r="CI6" s="57"/>
      <c r="CJ6" s="57"/>
      <c r="CK6" s="57"/>
      <c r="CL6" s="57"/>
      <c r="CM6" s="57"/>
      <c r="CN6" s="57"/>
      <c r="CO6" s="57"/>
      <c r="CP6" s="57"/>
      <c r="CQ6" s="57"/>
      <c r="CR6" s="57"/>
      <c r="CS6" s="57"/>
      <c r="CT6" s="57"/>
      <c r="CU6" s="57"/>
      <c r="CV6" s="57"/>
      <c r="CW6" s="57"/>
      <c r="CX6" s="57"/>
      <c r="CY6" s="57"/>
      <c r="CZ6" s="57"/>
      <c r="DA6" s="57"/>
      <c r="DB6" s="57"/>
      <c r="DC6" s="57"/>
      <c r="DD6" s="57"/>
      <c r="DE6" s="57"/>
      <c r="DF6" s="57"/>
      <c r="DG6" s="57"/>
      <c r="DH6" s="57"/>
      <c r="DI6" s="57"/>
      <c r="DJ6" s="57"/>
      <c r="DK6" s="57"/>
      <c r="DL6" s="57"/>
      <c r="DM6" s="57"/>
      <c r="DN6" s="57"/>
      <c r="DO6" s="57"/>
      <c r="DP6" s="57"/>
      <c r="DQ6" s="57"/>
      <c r="DR6" s="57"/>
      <c r="DS6" s="57"/>
      <c r="DT6" s="57"/>
      <c r="DU6" s="57"/>
      <c r="DV6" s="57"/>
      <c r="DW6" s="57"/>
      <c r="DX6" s="57"/>
      <c r="DY6" s="57"/>
      <c r="DZ6" s="57"/>
      <c r="EA6" s="57"/>
      <c r="EB6" s="57"/>
      <c r="EC6" s="57"/>
      <c r="ED6" s="57"/>
      <c r="EE6" s="57"/>
      <c r="EF6" s="57"/>
      <c r="EG6" s="57"/>
      <c r="EH6" s="57"/>
      <c r="EI6" s="57"/>
      <c r="EJ6" s="57"/>
      <c r="EK6" s="57"/>
      <c r="EL6" s="57"/>
      <c r="EM6" s="57"/>
      <c r="EN6" s="57"/>
      <c r="EO6" s="57"/>
      <c r="EP6" s="57"/>
      <c r="EQ6" s="57"/>
      <c r="ER6" s="57"/>
      <c r="ES6" s="57"/>
      <c r="ET6" s="57"/>
      <c r="EU6" s="57"/>
      <c r="EV6" s="57"/>
      <c r="EW6" s="57"/>
      <c r="EX6" s="57"/>
      <c r="EY6" s="57"/>
      <c r="EZ6" s="57"/>
      <c r="FA6" s="57"/>
      <c r="FB6" s="57"/>
      <c r="FC6" s="57"/>
      <c r="FD6" s="57"/>
      <c r="FE6" s="57"/>
      <c r="FF6" s="57"/>
      <c r="FG6" s="57"/>
      <c r="FH6" s="57"/>
      <c r="FI6" s="57"/>
      <c r="FJ6" s="57"/>
      <c r="FK6" s="57"/>
      <c r="FL6" s="57"/>
      <c r="FM6" s="57"/>
      <c r="FN6" s="57"/>
      <c r="FO6" s="57"/>
      <c r="FP6" s="57"/>
      <c r="FQ6" s="57"/>
      <c r="FR6" s="57"/>
      <c r="FS6" s="57"/>
      <c r="FT6" s="57"/>
      <c r="FU6" s="57"/>
      <c r="FV6" s="57"/>
      <c r="FW6" s="57"/>
      <c r="FX6" s="57"/>
      <c r="FY6" s="57"/>
      <c r="FZ6" s="57"/>
      <c r="GA6" s="57"/>
      <c r="GB6" s="57"/>
      <c r="GC6" s="57"/>
      <c r="GD6" s="57"/>
      <c r="GE6" s="57"/>
      <c r="GF6" s="57"/>
      <c r="GG6" s="57"/>
      <c r="GH6" s="57"/>
      <c r="GI6" s="57"/>
      <c r="GJ6" s="57"/>
      <c r="GK6" s="57"/>
      <c r="GL6" s="57"/>
      <c r="GM6" s="57"/>
      <c r="GN6" s="57"/>
      <c r="GO6" s="57"/>
      <c r="GP6" s="57"/>
      <c r="GQ6" s="57"/>
      <c r="GR6" s="57"/>
      <c r="GS6" s="57"/>
      <c r="GT6" s="57"/>
      <c r="GU6" s="57"/>
      <c r="GV6" s="57"/>
      <c r="GW6" s="57"/>
      <c r="GX6" s="57"/>
      <c r="GY6" s="57"/>
      <c r="GZ6" s="57"/>
      <c r="HA6" s="57"/>
      <c r="HB6" s="57"/>
      <c r="HC6" s="57"/>
      <c r="HD6" s="57"/>
      <c r="HE6" s="57"/>
      <c r="HF6" s="57"/>
      <c r="HG6" s="57"/>
      <c r="HH6" s="57"/>
      <c r="HI6" s="57"/>
      <c r="HJ6" s="57"/>
      <c r="HK6" s="57"/>
      <c r="HL6" s="57"/>
      <c r="HM6" s="57"/>
      <c r="HN6" s="57"/>
      <c r="HO6" s="57"/>
      <c r="HP6" s="57"/>
      <c r="HQ6" s="57"/>
      <c r="HR6" s="57"/>
      <c r="HS6" s="57"/>
      <c r="HT6" s="57"/>
      <c r="HU6" s="57"/>
      <c r="HV6" s="57"/>
      <c r="HW6" s="57"/>
      <c r="HX6" s="57"/>
      <c r="HY6" s="57"/>
      <c r="HZ6" s="57"/>
      <c r="IA6" s="57"/>
      <c r="IB6" s="57"/>
      <c r="IC6" s="57"/>
      <c r="ID6" s="57"/>
      <c r="IE6" s="57"/>
      <c r="IF6" s="57"/>
      <c r="IG6" s="57"/>
      <c r="IH6" s="57"/>
      <c r="II6" s="57"/>
      <c r="IJ6" s="57"/>
      <c r="IK6" s="57"/>
      <c r="IL6" s="57"/>
      <c r="IM6" s="57"/>
      <c r="IN6" s="57"/>
      <c r="IO6" s="57"/>
    </row>
    <row r="7" spans="2:249">
      <c r="B7" s="58" t="s">
        <v>449</v>
      </c>
      <c r="C7" s="58" t="s">
        <v>450</v>
      </c>
    </row>
    <row r="8" spans="2:249" ht="13.5" thickBot="1">
      <c r="B8" s="59" t="s">
        <v>451</v>
      </c>
      <c r="C8" s="60" t="s">
        <v>507</v>
      </c>
      <c r="D8" s="61"/>
      <c r="E8" s="61"/>
      <c r="F8" s="61"/>
      <c r="G8" s="61"/>
      <c r="H8" s="61"/>
      <c r="I8" s="61"/>
      <c r="J8" s="61"/>
      <c r="K8" s="61"/>
      <c r="L8" s="61"/>
      <c r="M8" s="61"/>
      <c r="N8" s="61"/>
      <c r="O8" s="61"/>
      <c r="P8" s="61"/>
      <c r="Q8" s="61"/>
      <c r="R8" s="61"/>
      <c r="S8" s="61"/>
      <c r="T8" s="61"/>
      <c r="U8" s="61"/>
      <c r="V8" s="61"/>
      <c r="W8" s="61"/>
      <c r="X8" s="61"/>
      <c r="Y8" s="61"/>
      <c r="Z8" s="61"/>
      <c r="AA8" s="61"/>
      <c r="AB8" s="61"/>
      <c r="AC8" s="61"/>
      <c r="AD8" s="61"/>
      <c r="AE8" s="61"/>
      <c r="AF8" s="61"/>
      <c r="AG8" s="61"/>
      <c r="AH8" s="61"/>
      <c r="AI8" s="61"/>
      <c r="AJ8" s="61"/>
      <c r="AK8" s="61"/>
      <c r="AL8" s="61"/>
      <c r="AM8" s="61"/>
      <c r="AN8" s="61"/>
      <c r="AO8" s="61"/>
      <c r="AP8" s="61"/>
      <c r="AQ8" s="61"/>
      <c r="AR8" s="61"/>
      <c r="AS8" s="61"/>
      <c r="AT8" s="61"/>
      <c r="AU8" s="61"/>
      <c r="AV8" s="61"/>
      <c r="AW8" s="61"/>
      <c r="AX8" s="61"/>
      <c r="AY8" s="61"/>
      <c r="AZ8" s="61"/>
      <c r="BA8" s="61"/>
      <c r="BB8" s="61"/>
      <c r="BC8" s="61"/>
      <c r="BD8" s="61"/>
      <c r="BE8" s="61"/>
      <c r="BF8" s="61"/>
      <c r="BG8" s="61"/>
      <c r="BH8" s="61"/>
      <c r="BI8" s="61"/>
      <c r="BJ8" s="61"/>
      <c r="BK8" s="61"/>
      <c r="BL8" s="61"/>
      <c r="BM8" s="61"/>
      <c r="BN8" s="61"/>
      <c r="BO8" s="61"/>
      <c r="BP8" s="61"/>
      <c r="BQ8" s="61"/>
      <c r="BR8" s="61"/>
      <c r="BS8" s="61"/>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c r="DE8" s="61"/>
      <c r="DF8" s="61"/>
      <c r="DG8" s="61"/>
      <c r="DH8" s="61"/>
      <c r="DI8" s="61"/>
      <c r="DJ8" s="61"/>
      <c r="DK8" s="61"/>
      <c r="DL8" s="61"/>
      <c r="DM8" s="61"/>
      <c r="DN8" s="61"/>
      <c r="DO8" s="61"/>
      <c r="DP8" s="61"/>
      <c r="DQ8" s="61"/>
      <c r="DR8" s="61"/>
      <c r="DS8" s="61"/>
      <c r="DT8" s="61"/>
      <c r="DU8" s="61"/>
      <c r="DV8" s="61"/>
      <c r="DW8" s="61"/>
      <c r="DX8" s="61"/>
      <c r="DY8" s="61"/>
      <c r="DZ8" s="61"/>
      <c r="EA8" s="61"/>
      <c r="EB8" s="61"/>
      <c r="EC8" s="61"/>
      <c r="ED8" s="61"/>
      <c r="EE8" s="61"/>
      <c r="EF8" s="61"/>
      <c r="EG8" s="61"/>
      <c r="EH8" s="61"/>
      <c r="EI8" s="61"/>
      <c r="EJ8" s="61"/>
      <c r="EK8" s="61"/>
      <c r="EL8" s="61"/>
      <c r="EM8" s="61"/>
      <c r="EN8" s="61"/>
      <c r="EO8" s="61"/>
      <c r="EP8" s="61"/>
      <c r="EQ8" s="61"/>
      <c r="ER8" s="61"/>
      <c r="ES8" s="61"/>
      <c r="ET8" s="61"/>
      <c r="EU8" s="61"/>
      <c r="EV8" s="61"/>
      <c r="EW8" s="61"/>
      <c r="EX8" s="61"/>
      <c r="EY8" s="61"/>
      <c r="EZ8" s="61"/>
      <c r="FA8" s="61"/>
      <c r="FB8" s="61"/>
      <c r="FC8" s="61"/>
      <c r="FD8" s="61"/>
      <c r="FE8" s="61"/>
      <c r="FF8" s="61"/>
      <c r="FG8" s="61"/>
      <c r="FH8" s="61"/>
      <c r="FI8" s="61"/>
      <c r="FJ8" s="61"/>
      <c r="FK8" s="61"/>
      <c r="FL8" s="61"/>
      <c r="FM8" s="61"/>
      <c r="FN8" s="61"/>
      <c r="FO8" s="61"/>
      <c r="FP8" s="61"/>
      <c r="FQ8" s="61"/>
      <c r="FR8" s="61"/>
      <c r="FS8" s="61"/>
      <c r="FT8" s="61"/>
      <c r="FU8" s="61"/>
      <c r="FV8" s="61"/>
      <c r="FW8" s="61"/>
      <c r="FX8" s="61"/>
      <c r="FY8" s="61"/>
      <c r="FZ8" s="61"/>
      <c r="GA8" s="61"/>
      <c r="GB8" s="61"/>
      <c r="GC8" s="61"/>
      <c r="GD8" s="61"/>
      <c r="GE8" s="61"/>
      <c r="GF8" s="61"/>
      <c r="GG8" s="61"/>
      <c r="GH8" s="61"/>
      <c r="GI8" s="61"/>
      <c r="GJ8" s="61"/>
      <c r="GK8" s="61"/>
      <c r="GL8" s="61"/>
      <c r="GM8" s="61"/>
      <c r="GN8" s="61"/>
      <c r="GO8" s="61"/>
      <c r="GP8" s="61"/>
      <c r="GQ8" s="61"/>
      <c r="GR8" s="61"/>
      <c r="GS8" s="61"/>
      <c r="GT8" s="61"/>
      <c r="GU8" s="61"/>
      <c r="GV8" s="61"/>
      <c r="GW8" s="61"/>
      <c r="GX8" s="61"/>
      <c r="GY8" s="61"/>
      <c r="GZ8" s="61"/>
      <c r="HA8" s="61"/>
      <c r="HB8" s="61"/>
      <c r="HC8" s="61"/>
      <c r="HD8" s="61"/>
      <c r="HE8" s="61"/>
      <c r="HF8" s="61"/>
      <c r="HG8" s="61"/>
      <c r="HH8" s="61"/>
      <c r="HI8" s="61"/>
      <c r="HJ8" s="61"/>
      <c r="HK8" s="61"/>
      <c r="HL8" s="61"/>
      <c r="HM8" s="61"/>
      <c r="HN8" s="61"/>
      <c r="HO8" s="61"/>
      <c r="HP8" s="61"/>
      <c r="HQ8" s="61"/>
      <c r="HR8" s="61"/>
      <c r="HS8" s="61"/>
      <c r="HT8" s="61"/>
      <c r="HU8" s="61"/>
      <c r="HV8" s="61"/>
      <c r="HW8" s="61"/>
      <c r="HX8" s="61"/>
      <c r="HY8" s="61"/>
      <c r="HZ8" s="61"/>
      <c r="IA8" s="61"/>
      <c r="IB8" s="61"/>
      <c r="IC8" s="61"/>
      <c r="ID8" s="61"/>
      <c r="IE8" s="61"/>
      <c r="IF8" s="61"/>
      <c r="IG8" s="61"/>
      <c r="IH8" s="61"/>
      <c r="II8" s="61"/>
      <c r="IJ8" s="61"/>
      <c r="IK8" s="61"/>
      <c r="IL8" s="61"/>
      <c r="IM8" s="61"/>
      <c r="IN8" s="61"/>
      <c r="IO8" s="61"/>
    </row>
    <row r="9" spans="2:249" ht="30" customHeight="1">
      <c r="B9" s="244" t="s">
        <v>526</v>
      </c>
      <c r="C9" s="62" t="s">
        <v>508</v>
      </c>
      <c r="D9" s="63" t="s">
        <v>360</v>
      </c>
      <c r="E9" s="64" t="s">
        <v>360</v>
      </c>
      <c r="F9" s="65" t="s">
        <v>360</v>
      </c>
      <c r="G9" s="66" t="s">
        <v>360</v>
      </c>
      <c r="H9" s="66" t="s">
        <v>360</v>
      </c>
      <c r="I9" s="66" t="s">
        <v>360</v>
      </c>
      <c r="J9" s="66" t="s">
        <v>360</v>
      </c>
      <c r="K9" s="66" t="s">
        <v>360</v>
      </c>
      <c r="L9" s="66" t="s">
        <v>360</v>
      </c>
      <c r="M9" s="65" t="s">
        <v>360</v>
      </c>
      <c r="N9" s="64" t="s">
        <v>360</v>
      </c>
      <c r="O9" s="66" t="s">
        <v>360</v>
      </c>
      <c r="P9" s="66" t="s">
        <v>360</v>
      </c>
      <c r="Q9" s="66" t="s">
        <v>360</v>
      </c>
      <c r="R9" s="65" t="s">
        <v>360</v>
      </c>
      <c r="S9" s="64" t="s">
        <v>360</v>
      </c>
      <c r="T9" s="66" t="s">
        <v>360</v>
      </c>
      <c r="U9" s="66" t="s">
        <v>360</v>
      </c>
      <c r="V9" s="66" t="s">
        <v>360</v>
      </c>
      <c r="W9" s="66" t="s">
        <v>360</v>
      </c>
      <c r="X9" s="66" t="s">
        <v>360</v>
      </c>
      <c r="Y9" s="66" t="s">
        <v>360</v>
      </c>
      <c r="Z9" s="66" t="s">
        <v>360</v>
      </c>
      <c r="AA9" s="66" t="s">
        <v>360</v>
      </c>
      <c r="AB9" s="66" t="s">
        <v>360</v>
      </c>
      <c r="AC9" s="66" t="s">
        <v>360</v>
      </c>
      <c r="AD9" s="66" t="s">
        <v>360</v>
      </c>
      <c r="AE9" s="67" t="s">
        <v>360</v>
      </c>
      <c r="AF9" s="64" t="s">
        <v>360</v>
      </c>
      <c r="AG9" s="66" t="s">
        <v>360</v>
      </c>
      <c r="AH9" s="66" t="s">
        <v>360</v>
      </c>
      <c r="AI9" s="66" t="s">
        <v>360</v>
      </c>
      <c r="AJ9" s="66" t="s">
        <v>360</v>
      </c>
      <c r="AK9" s="67" t="s">
        <v>360</v>
      </c>
      <c r="AL9" s="72"/>
      <c r="AM9" s="72"/>
      <c r="AN9" s="72"/>
      <c r="AO9" s="72"/>
      <c r="AP9" s="72"/>
      <c r="AQ9" s="72"/>
      <c r="AR9" s="72"/>
      <c r="AS9" s="72"/>
      <c r="AT9" s="72"/>
      <c r="AU9" s="72"/>
      <c r="AV9" s="72"/>
      <c r="AW9" s="72"/>
      <c r="AX9" s="72"/>
      <c r="AY9" s="72"/>
      <c r="AZ9" s="72"/>
      <c r="BA9" s="72"/>
      <c r="BB9" s="72"/>
      <c r="BC9" s="72"/>
      <c r="BD9" s="72"/>
      <c r="BE9" s="72"/>
      <c r="BF9" s="72"/>
      <c r="BG9" s="72"/>
      <c r="BH9" s="72"/>
      <c r="BI9" s="72"/>
      <c r="BJ9" s="72"/>
      <c r="BK9" s="72"/>
      <c r="BL9" s="72"/>
      <c r="BM9" s="72"/>
      <c r="BN9" s="72"/>
      <c r="BO9" s="72"/>
      <c r="BP9" s="72"/>
      <c r="BQ9" s="72"/>
      <c r="BR9" s="72"/>
      <c r="BS9" s="72"/>
      <c r="BT9" s="72"/>
      <c r="BU9" s="72"/>
      <c r="BV9" s="72"/>
      <c r="BW9" s="72"/>
      <c r="BX9" s="72"/>
      <c r="BY9" s="72"/>
      <c r="BZ9" s="72"/>
      <c r="CA9" s="72"/>
      <c r="CB9" s="72"/>
      <c r="CC9" s="72"/>
      <c r="CD9" s="72"/>
      <c r="CE9" s="72"/>
      <c r="CF9" s="72"/>
      <c r="CG9" s="72"/>
      <c r="CH9" s="72"/>
      <c r="CI9" s="72"/>
      <c r="CJ9" s="72"/>
      <c r="CK9" s="72"/>
      <c r="CL9" s="72"/>
      <c r="CM9" s="72"/>
      <c r="CN9" s="72"/>
      <c r="CO9" s="72"/>
      <c r="CP9" s="72"/>
      <c r="CQ9" s="72"/>
      <c r="CR9" s="72"/>
      <c r="CS9" s="72"/>
      <c r="CT9" s="72"/>
      <c r="CU9" s="72"/>
      <c r="CV9" s="72"/>
      <c r="CW9" s="72"/>
      <c r="CX9" s="72"/>
      <c r="CY9" s="72"/>
      <c r="CZ9" s="72"/>
      <c r="DA9" s="72"/>
      <c r="DB9" s="72"/>
      <c r="DC9" s="72"/>
      <c r="DD9" s="72"/>
      <c r="DE9" s="72"/>
      <c r="DF9" s="72"/>
      <c r="DG9" s="72"/>
      <c r="DH9" s="72"/>
      <c r="DI9" s="72"/>
      <c r="DJ9" s="72"/>
      <c r="DK9" s="72"/>
      <c r="DL9" s="72"/>
      <c r="DM9" s="72"/>
      <c r="DN9" s="72"/>
      <c r="DO9" s="72"/>
      <c r="DP9" s="72"/>
      <c r="DQ9" s="72"/>
      <c r="DR9" s="72"/>
      <c r="DS9" s="72"/>
      <c r="DT9" s="72"/>
      <c r="DU9" s="72"/>
      <c r="DV9" s="72"/>
      <c r="DW9" s="72"/>
      <c r="DX9" s="72"/>
      <c r="DY9" s="72"/>
      <c r="DZ9" s="72"/>
      <c r="EA9" s="72"/>
      <c r="EB9" s="72"/>
      <c r="EC9" s="72"/>
      <c r="ED9" s="72"/>
      <c r="EE9" s="72"/>
      <c r="EF9" s="72"/>
      <c r="EG9" s="72"/>
      <c r="EH9" s="72"/>
      <c r="EI9" s="72"/>
      <c r="EJ9" s="72"/>
      <c r="EK9" s="72"/>
      <c r="EL9" s="72"/>
      <c r="EM9" s="72"/>
      <c r="EN9" s="72"/>
      <c r="EO9" s="72"/>
      <c r="EP9" s="72"/>
      <c r="EQ9" s="72"/>
      <c r="ER9" s="72"/>
      <c r="ES9" s="72"/>
      <c r="ET9" s="72"/>
      <c r="EU9" s="72"/>
      <c r="EV9" s="72"/>
      <c r="EW9" s="72"/>
      <c r="EX9" s="72"/>
      <c r="EY9" s="72"/>
      <c r="EZ9" s="72"/>
      <c r="FA9" s="72"/>
      <c r="FB9" s="72"/>
      <c r="FC9" s="72"/>
      <c r="FD9" s="72"/>
      <c r="FE9" s="72"/>
      <c r="FF9" s="72"/>
      <c r="FG9" s="72"/>
      <c r="FH9" s="72"/>
      <c r="FI9" s="72"/>
      <c r="FJ9" s="72"/>
      <c r="FK9" s="72"/>
      <c r="FL9" s="72"/>
      <c r="FM9" s="72"/>
      <c r="FN9" s="72"/>
      <c r="FO9" s="72"/>
      <c r="FP9" s="72"/>
      <c r="FQ9" s="72"/>
      <c r="FR9" s="72"/>
      <c r="FS9" s="72"/>
      <c r="FT9" s="72"/>
      <c r="FU9" s="72"/>
      <c r="FV9" s="72"/>
      <c r="FW9" s="72"/>
      <c r="FX9" s="72"/>
      <c r="FY9" s="72"/>
      <c r="FZ9" s="72"/>
      <c r="GA9" s="72"/>
      <c r="GB9" s="72"/>
      <c r="GC9" s="72"/>
      <c r="GD9" s="72"/>
      <c r="GE9" s="72"/>
      <c r="GF9" s="72"/>
      <c r="GG9" s="72"/>
      <c r="GH9" s="72"/>
      <c r="GI9" s="72"/>
      <c r="GJ9" s="72"/>
      <c r="GK9" s="72"/>
      <c r="GL9" s="72"/>
      <c r="GM9" s="72"/>
      <c r="GN9" s="72"/>
      <c r="GO9" s="72"/>
      <c r="GP9" s="72"/>
      <c r="GQ9" s="72"/>
      <c r="GR9" s="72"/>
      <c r="GS9" s="72"/>
      <c r="GT9" s="72"/>
      <c r="GU9" s="72"/>
      <c r="GV9" s="72"/>
      <c r="GW9" s="72"/>
      <c r="GX9" s="72"/>
      <c r="GY9" s="72"/>
      <c r="GZ9" s="72"/>
      <c r="HA9" s="72"/>
      <c r="HB9" s="72"/>
      <c r="HC9" s="72"/>
      <c r="HD9" s="72"/>
      <c r="HE9" s="72"/>
      <c r="HF9" s="72"/>
      <c r="HG9" s="72"/>
      <c r="HH9" s="72"/>
      <c r="HI9" s="72"/>
      <c r="HJ9" s="72"/>
      <c r="HK9" s="72"/>
      <c r="HL9" s="72"/>
      <c r="HM9" s="72"/>
      <c r="HN9" s="72"/>
      <c r="HO9" s="72"/>
      <c r="HP9" s="72"/>
      <c r="HQ9" s="72"/>
      <c r="HR9" s="72"/>
      <c r="HS9" s="72"/>
      <c r="HT9" s="72"/>
      <c r="HU9" s="72"/>
      <c r="HV9" s="72"/>
      <c r="HW9" s="72"/>
      <c r="HX9" s="72"/>
      <c r="HY9" s="72"/>
      <c r="HZ9" s="72"/>
      <c r="IA9" s="72"/>
      <c r="IB9" s="72"/>
      <c r="IC9" s="72"/>
      <c r="ID9" s="72"/>
      <c r="IE9" s="72"/>
      <c r="IF9" s="72"/>
      <c r="IG9" s="72"/>
      <c r="IH9" s="72"/>
      <c r="II9" s="72"/>
      <c r="IJ9" s="72"/>
      <c r="IK9" s="72"/>
      <c r="IL9" s="72"/>
      <c r="IM9" s="72"/>
      <c r="IN9" s="72"/>
      <c r="IO9" s="72"/>
    </row>
    <row r="10" spans="2:249">
      <c r="B10" s="245"/>
      <c r="C10" s="68" t="s">
        <v>509</v>
      </c>
      <c r="D10" s="69"/>
      <c r="E10" s="70"/>
      <c r="F10" s="71"/>
      <c r="G10" s="72"/>
      <c r="H10" s="72"/>
      <c r="I10" s="72"/>
      <c r="J10" s="72"/>
      <c r="K10" s="72"/>
      <c r="L10" s="72"/>
      <c r="M10" s="71"/>
      <c r="N10" s="70"/>
      <c r="O10" s="72"/>
      <c r="P10" s="72"/>
      <c r="Q10" s="72"/>
      <c r="R10" s="71"/>
      <c r="S10" s="70"/>
      <c r="T10" s="72"/>
      <c r="U10" s="72"/>
      <c r="V10" s="72"/>
      <c r="W10" s="72"/>
      <c r="X10" s="72"/>
      <c r="Y10" s="72"/>
      <c r="Z10" s="72"/>
      <c r="AA10" s="72"/>
      <c r="AB10" s="72"/>
      <c r="AC10" s="72"/>
      <c r="AD10" s="72"/>
      <c r="AE10" s="73"/>
      <c r="AF10" s="70"/>
      <c r="AG10" s="72"/>
      <c r="AH10" s="72"/>
      <c r="AI10" s="72"/>
      <c r="AJ10" s="72"/>
      <c r="AK10" s="73"/>
      <c r="AL10" s="72" t="s">
        <v>360</v>
      </c>
      <c r="AM10" s="72" t="s">
        <v>360</v>
      </c>
      <c r="AN10" s="72" t="s">
        <v>360</v>
      </c>
      <c r="AO10" s="72" t="s">
        <v>360</v>
      </c>
      <c r="AP10" s="72" t="s">
        <v>360</v>
      </c>
      <c r="AQ10" s="72" t="s">
        <v>360</v>
      </c>
      <c r="AR10" s="72" t="s">
        <v>360</v>
      </c>
      <c r="AS10" s="72" t="s">
        <v>360</v>
      </c>
      <c r="AT10" s="72" t="s">
        <v>360</v>
      </c>
      <c r="AU10" s="72" t="s">
        <v>360</v>
      </c>
      <c r="AV10" s="72" t="s">
        <v>360</v>
      </c>
      <c r="AW10" s="72" t="s">
        <v>360</v>
      </c>
      <c r="AX10" s="72" t="s">
        <v>360</v>
      </c>
      <c r="AY10" s="72" t="s">
        <v>360</v>
      </c>
      <c r="AZ10" s="72" t="s">
        <v>360</v>
      </c>
      <c r="BA10" s="72" t="s">
        <v>360</v>
      </c>
      <c r="BB10" s="72" t="s">
        <v>360</v>
      </c>
      <c r="BC10" s="72" t="s">
        <v>360</v>
      </c>
      <c r="BD10" s="72" t="s">
        <v>360</v>
      </c>
      <c r="BE10" s="72" t="s">
        <v>360</v>
      </c>
      <c r="BF10" s="72" t="s">
        <v>360</v>
      </c>
      <c r="BG10" s="72" t="s">
        <v>360</v>
      </c>
      <c r="BH10" s="72" t="s">
        <v>360</v>
      </c>
      <c r="BI10" s="72" t="s">
        <v>360</v>
      </c>
      <c r="BJ10" s="72" t="s">
        <v>360</v>
      </c>
      <c r="BK10" s="72" t="s">
        <v>360</v>
      </c>
      <c r="BL10" s="72" t="s">
        <v>360</v>
      </c>
      <c r="BM10" s="72" t="s">
        <v>360</v>
      </c>
      <c r="BN10" s="72" t="s">
        <v>360</v>
      </c>
      <c r="BO10" s="72" t="s">
        <v>360</v>
      </c>
      <c r="BP10" s="72" t="s">
        <v>360</v>
      </c>
      <c r="BQ10" s="72" t="s">
        <v>360</v>
      </c>
      <c r="BR10" s="72" t="s">
        <v>360</v>
      </c>
      <c r="BS10" s="72" t="s">
        <v>360</v>
      </c>
      <c r="BT10" s="72" t="s">
        <v>360</v>
      </c>
      <c r="BU10" s="72" t="s">
        <v>360</v>
      </c>
      <c r="BV10" s="72" t="s">
        <v>360</v>
      </c>
      <c r="BW10" s="72" t="s">
        <v>360</v>
      </c>
      <c r="BX10" s="72" t="s">
        <v>360</v>
      </c>
      <c r="BY10" s="72" t="s">
        <v>360</v>
      </c>
      <c r="BZ10" s="72" t="s">
        <v>360</v>
      </c>
      <c r="CA10" s="72" t="s">
        <v>360</v>
      </c>
      <c r="CB10" s="72" t="s">
        <v>360</v>
      </c>
      <c r="CC10" s="72" t="s">
        <v>360</v>
      </c>
      <c r="CD10" s="72" t="s">
        <v>360</v>
      </c>
      <c r="CE10" s="72"/>
      <c r="CF10" s="72"/>
      <c r="CG10" s="72"/>
      <c r="CH10" s="72"/>
      <c r="CI10" s="72"/>
      <c r="CJ10" s="72"/>
      <c r="CK10" s="72"/>
      <c r="CL10" s="72"/>
      <c r="CM10" s="72"/>
      <c r="CN10" s="72"/>
      <c r="CO10" s="72"/>
      <c r="CP10" s="72"/>
      <c r="CQ10" s="72"/>
      <c r="CR10" s="72"/>
      <c r="CS10" s="72"/>
      <c r="CT10" s="72"/>
      <c r="CU10" s="72"/>
      <c r="CV10" s="72"/>
      <c r="CW10" s="72"/>
      <c r="CX10" s="72"/>
      <c r="CY10" s="72"/>
      <c r="CZ10" s="72"/>
      <c r="DA10" s="72"/>
      <c r="DB10" s="72"/>
      <c r="DC10" s="72"/>
      <c r="DD10" s="72"/>
      <c r="DE10" s="72"/>
      <c r="DF10" s="72"/>
      <c r="DG10" s="72"/>
      <c r="DH10" s="72"/>
      <c r="DI10" s="72"/>
      <c r="DJ10" s="72"/>
      <c r="DK10" s="72"/>
      <c r="DL10" s="72"/>
      <c r="DM10" s="72"/>
      <c r="DN10" s="72"/>
      <c r="DO10" s="72"/>
      <c r="DP10" s="72"/>
      <c r="DQ10" s="72"/>
      <c r="DR10" s="72"/>
      <c r="DS10" s="72"/>
      <c r="DT10" s="72"/>
      <c r="DU10" s="72"/>
      <c r="DV10" s="72"/>
      <c r="DW10" s="72"/>
      <c r="DX10" s="72"/>
      <c r="DY10" s="72"/>
      <c r="DZ10" s="72"/>
      <c r="EA10" s="72"/>
      <c r="EB10" s="72"/>
      <c r="EC10" s="72"/>
      <c r="ED10" s="72"/>
      <c r="EE10" s="72"/>
      <c r="EF10" s="72"/>
      <c r="EG10" s="72"/>
      <c r="EH10" s="72"/>
      <c r="EI10" s="72"/>
      <c r="EJ10" s="72"/>
      <c r="EK10" s="72"/>
      <c r="EL10" s="72"/>
      <c r="EM10" s="72"/>
      <c r="EN10" s="72"/>
      <c r="EO10" s="72"/>
      <c r="EP10" s="72"/>
      <c r="EQ10" s="72"/>
      <c r="ER10" s="72"/>
      <c r="ES10" s="72"/>
      <c r="ET10" s="72"/>
      <c r="EU10" s="72"/>
      <c r="EV10" s="72"/>
      <c r="EW10" s="72"/>
      <c r="EX10" s="72"/>
      <c r="EY10" s="72"/>
      <c r="EZ10" s="72"/>
      <c r="FA10" s="72"/>
      <c r="FB10" s="72"/>
      <c r="FC10" s="72"/>
      <c r="FD10" s="72"/>
      <c r="FE10" s="72"/>
      <c r="FF10" s="72"/>
      <c r="FG10" s="72"/>
      <c r="FH10" s="72"/>
      <c r="FI10" s="72"/>
      <c r="FJ10" s="72"/>
      <c r="FK10" s="72"/>
      <c r="FL10" s="72"/>
      <c r="FM10" s="72"/>
      <c r="FN10" s="72"/>
      <c r="FO10" s="72"/>
      <c r="FP10" s="72"/>
      <c r="FQ10" s="72"/>
      <c r="FR10" s="72"/>
      <c r="FS10" s="72"/>
      <c r="FT10" s="72"/>
      <c r="FU10" s="72"/>
      <c r="FV10" s="72"/>
      <c r="FW10" s="72"/>
      <c r="FX10" s="72"/>
      <c r="FY10" s="72"/>
      <c r="FZ10" s="72"/>
      <c r="GA10" s="72"/>
      <c r="GB10" s="72"/>
      <c r="GC10" s="72"/>
      <c r="GD10" s="72"/>
      <c r="GE10" s="72"/>
      <c r="GF10" s="72"/>
      <c r="GG10" s="72"/>
      <c r="GH10" s="72"/>
      <c r="GI10" s="72"/>
      <c r="GJ10" s="72"/>
      <c r="GK10" s="72"/>
      <c r="GL10" s="72"/>
      <c r="GM10" s="72"/>
      <c r="GN10" s="72"/>
      <c r="GO10" s="72"/>
      <c r="GP10" s="72"/>
      <c r="GQ10" s="72"/>
      <c r="GR10" s="72"/>
      <c r="GS10" s="72"/>
      <c r="GT10" s="72"/>
      <c r="GU10" s="72"/>
      <c r="GV10" s="72"/>
      <c r="GW10" s="72"/>
      <c r="GX10" s="72"/>
      <c r="GY10" s="72"/>
      <c r="GZ10" s="72"/>
      <c r="HA10" s="72"/>
      <c r="HB10" s="72"/>
      <c r="HC10" s="72"/>
      <c r="HD10" s="72"/>
      <c r="HE10" s="72"/>
      <c r="HF10" s="72"/>
      <c r="HG10" s="72"/>
      <c r="HH10" s="72"/>
      <c r="HI10" s="72"/>
      <c r="HJ10" s="72"/>
      <c r="HK10" s="72"/>
      <c r="HL10" s="72"/>
      <c r="HM10" s="72"/>
      <c r="HN10" s="72"/>
      <c r="HO10" s="72"/>
      <c r="HP10" s="72"/>
      <c r="HQ10" s="72"/>
      <c r="HR10" s="72"/>
      <c r="HS10" s="72"/>
      <c r="HT10" s="72"/>
      <c r="HU10" s="72"/>
      <c r="HV10" s="72"/>
      <c r="HW10" s="72"/>
      <c r="HX10" s="72"/>
      <c r="HY10" s="72"/>
      <c r="HZ10" s="72"/>
      <c r="IA10" s="72"/>
      <c r="IB10" s="72"/>
      <c r="IC10" s="72"/>
      <c r="ID10" s="72"/>
      <c r="IE10" s="72"/>
      <c r="IF10" s="72"/>
      <c r="IG10" s="72"/>
      <c r="IH10" s="72"/>
      <c r="II10" s="72"/>
      <c r="IJ10" s="72"/>
      <c r="IK10" s="72"/>
      <c r="IL10" s="72"/>
      <c r="IM10" s="72"/>
      <c r="IN10" s="72"/>
      <c r="IO10" s="72"/>
    </row>
    <row r="11" spans="2:249">
      <c r="B11" s="242" t="s">
        <v>551</v>
      </c>
      <c r="C11" s="243"/>
      <c r="D11" s="74"/>
      <c r="E11" s="75"/>
      <c r="F11" s="76"/>
      <c r="G11" s="77"/>
      <c r="H11" s="77"/>
      <c r="I11" s="77"/>
      <c r="J11" s="77"/>
      <c r="K11" s="77"/>
      <c r="L11" s="77"/>
      <c r="M11" s="76"/>
      <c r="N11" s="75"/>
      <c r="O11" s="77"/>
      <c r="P11" s="77"/>
      <c r="Q11" s="77"/>
      <c r="R11" s="76"/>
      <c r="S11" s="75"/>
      <c r="T11" s="77"/>
      <c r="U11" s="77"/>
      <c r="V11" s="77"/>
      <c r="W11" s="77"/>
      <c r="X11" s="77"/>
      <c r="Y11" s="77"/>
      <c r="Z11" s="77"/>
      <c r="AA11" s="77"/>
      <c r="AB11" s="77"/>
      <c r="AC11" s="77"/>
      <c r="AD11" s="77"/>
      <c r="AE11" s="78"/>
      <c r="AF11" s="101"/>
      <c r="AG11" s="163"/>
      <c r="AH11" s="163"/>
      <c r="AI11" s="163"/>
      <c r="AJ11" s="163"/>
      <c r="AK11" s="221"/>
      <c r="AL11" s="163"/>
      <c r="AM11" s="163"/>
      <c r="AN11" s="163"/>
      <c r="AO11" s="163"/>
      <c r="AP11" s="163"/>
      <c r="AQ11" s="163"/>
      <c r="AR11" s="163"/>
      <c r="AS11" s="163"/>
      <c r="AT11" s="163"/>
      <c r="AU11" s="163"/>
      <c r="AV11" s="163"/>
      <c r="AW11" s="163"/>
      <c r="AX11" s="163"/>
      <c r="AY11" s="163"/>
      <c r="AZ11" s="163"/>
      <c r="BA11" s="163"/>
      <c r="BB11" s="163"/>
      <c r="BC11" s="163"/>
      <c r="BD11" s="163"/>
      <c r="BE11" s="163"/>
      <c r="BF11" s="163"/>
      <c r="BG11" s="163"/>
      <c r="BH11" s="163"/>
      <c r="BI11" s="163"/>
      <c r="BJ11" s="163"/>
      <c r="BK11" s="163"/>
      <c r="BL11" s="163"/>
      <c r="BM11" s="163"/>
      <c r="BN11" s="163"/>
      <c r="BO11" s="163"/>
      <c r="BP11" s="163"/>
      <c r="BQ11" s="163"/>
      <c r="BR11" s="163"/>
      <c r="BS11" s="163"/>
      <c r="BT11" s="163"/>
      <c r="BU11" s="163"/>
      <c r="BV11" s="163"/>
      <c r="BW11" s="163"/>
      <c r="BX11" s="163"/>
      <c r="BY11" s="163"/>
      <c r="BZ11" s="163"/>
      <c r="CA11" s="163"/>
      <c r="CB11" s="163"/>
      <c r="CC11" s="163"/>
      <c r="CD11" s="163"/>
      <c r="CE11" s="163"/>
      <c r="CF11" s="163"/>
      <c r="CG11" s="163"/>
      <c r="CH11" s="163"/>
      <c r="CI11" s="163"/>
      <c r="CJ11" s="163"/>
      <c r="CK11" s="163"/>
      <c r="CL11" s="163"/>
      <c r="CM11" s="163"/>
      <c r="CN11" s="163"/>
      <c r="CO11" s="163"/>
      <c r="CP11" s="163"/>
      <c r="CQ11" s="163"/>
      <c r="CR11" s="163"/>
      <c r="CS11" s="163"/>
      <c r="CT11" s="163"/>
      <c r="CU11" s="163"/>
      <c r="CV11" s="163"/>
      <c r="CW11" s="163"/>
      <c r="CX11" s="163"/>
      <c r="CY11" s="163"/>
      <c r="CZ11" s="163"/>
      <c r="DA11" s="163"/>
      <c r="DB11" s="163"/>
      <c r="DC11" s="163"/>
      <c r="DD11" s="163"/>
      <c r="DE11" s="163"/>
      <c r="DF11" s="163"/>
      <c r="DG11" s="163"/>
      <c r="DH11" s="163"/>
      <c r="DI11" s="163"/>
      <c r="DJ11" s="163"/>
      <c r="DK11" s="163"/>
      <c r="DL11" s="163"/>
      <c r="DM11" s="163"/>
      <c r="DN11" s="163"/>
      <c r="DO11" s="163"/>
      <c r="DP11" s="163"/>
      <c r="DQ11" s="163"/>
      <c r="DR11" s="163"/>
      <c r="DS11" s="163"/>
      <c r="DT11" s="163"/>
      <c r="DU11" s="163"/>
      <c r="DV11" s="163"/>
      <c r="DW11" s="163"/>
      <c r="DX11" s="163"/>
      <c r="DY11" s="163"/>
      <c r="DZ11" s="163"/>
      <c r="EA11" s="163"/>
      <c r="EB11" s="163"/>
      <c r="EC11" s="163"/>
      <c r="ED11" s="163"/>
      <c r="EE11" s="163"/>
      <c r="EF11" s="163"/>
      <c r="EG11" s="163"/>
      <c r="EH11" s="163"/>
      <c r="EI11" s="163"/>
      <c r="EJ11" s="163"/>
      <c r="EK11" s="163"/>
      <c r="EL11" s="163"/>
      <c r="EM11" s="163"/>
      <c r="EN11" s="163"/>
      <c r="EO11" s="163"/>
      <c r="EP11" s="163"/>
      <c r="EQ11" s="163"/>
      <c r="ER11" s="163"/>
      <c r="ES11" s="163"/>
      <c r="ET11" s="163"/>
      <c r="EU11" s="163"/>
      <c r="EV11" s="163"/>
      <c r="EW11" s="163"/>
      <c r="EX11" s="163"/>
      <c r="EY11" s="163"/>
      <c r="EZ11" s="163"/>
      <c r="FA11" s="163"/>
      <c r="FB11" s="163"/>
      <c r="FC11" s="163"/>
      <c r="FD11" s="163"/>
      <c r="FE11" s="163"/>
      <c r="FF11" s="163"/>
      <c r="FG11" s="163"/>
      <c r="FH11" s="163"/>
      <c r="FI11" s="163"/>
      <c r="FJ11" s="163"/>
      <c r="FK11" s="163"/>
      <c r="FL11" s="163"/>
      <c r="FM11" s="163"/>
      <c r="FN11" s="163"/>
      <c r="FO11" s="163"/>
      <c r="FP11" s="163"/>
      <c r="FQ11" s="163"/>
      <c r="FR11" s="163"/>
      <c r="FS11" s="163"/>
      <c r="FT11" s="163"/>
      <c r="FU11" s="163"/>
      <c r="FV11" s="163"/>
      <c r="FW11" s="163"/>
      <c r="FX11" s="163"/>
      <c r="FY11" s="163"/>
      <c r="FZ11" s="163"/>
      <c r="GA11" s="163"/>
      <c r="GB11" s="163"/>
      <c r="GC11" s="163"/>
      <c r="GD11" s="163"/>
      <c r="GE11" s="163"/>
      <c r="GF11" s="163"/>
      <c r="GG11" s="163"/>
      <c r="GH11" s="163"/>
      <c r="GI11" s="163"/>
      <c r="GJ11" s="163"/>
      <c r="GK11" s="163"/>
      <c r="GL11" s="163"/>
      <c r="GM11" s="163"/>
      <c r="GN11" s="163"/>
      <c r="GO11" s="163"/>
      <c r="GP11" s="163"/>
      <c r="GQ11" s="163"/>
      <c r="GR11" s="163"/>
      <c r="GS11" s="163"/>
      <c r="GT11" s="163"/>
      <c r="GU11" s="163"/>
      <c r="GV11" s="163"/>
      <c r="GW11" s="163"/>
      <c r="GX11" s="163"/>
      <c r="GY11" s="163"/>
      <c r="GZ11" s="163"/>
      <c r="HA11" s="163"/>
      <c r="HB11" s="163"/>
      <c r="HC11" s="163"/>
      <c r="HD11" s="163"/>
      <c r="HE11" s="163"/>
      <c r="HF11" s="163"/>
      <c r="HG11" s="163"/>
      <c r="HH11" s="163"/>
      <c r="HI11" s="163"/>
      <c r="HJ11" s="163"/>
      <c r="HK11" s="163"/>
      <c r="HL11" s="163"/>
      <c r="HM11" s="163"/>
      <c r="HN11" s="163"/>
      <c r="HO11" s="163"/>
      <c r="HP11" s="163"/>
      <c r="HQ11" s="163"/>
      <c r="HR11" s="163"/>
      <c r="HS11" s="163"/>
      <c r="HT11" s="163"/>
      <c r="HU11" s="163"/>
      <c r="HV11" s="163"/>
      <c r="HW11" s="163"/>
      <c r="HX11" s="163"/>
      <c r="HY11" s="163"/>
      <c r="HZ11" s="163"/>
      <c r="IA11" s="163"/>
      <c r="IB11" s="163"/>
      <c r="IC11" s="163"/>
      <c r="ID11" s="163"/>
      <c r="IE11" s="163"/>
      <c r="IF11" s="163"/>
      <c r="IG11" s="163"/>
      <c r="IH11" s="163"/>
      <c r="II11" s="163"/>
      <c r="IJ11" s="163"/>
      <c r="IK11" s="163"/>
      <c r="IL11" s="163"/>
      <c r="IM11" s="163"/>
      <c r="IN11" s="163"/>
      <c r="IO11" s="163"/>
    </row>
    <row r="12" spans="2:249">
      <c r="B12" s="79" t="s">
        <v>451</v>
      </c>
      <c r="C12" s="80" t="s">
        <v>510</v>
      </c>
      <c r="D12" s="81"/>
      <c r="E12" s="82"/>
      <c r="F12" s="83"/>
      <c r="G12" s="84"/>
      <c r="H12" s="84"/>
      <c r="I12" s="84"/>
      <c r="J12" s="84"/>
      <c r="K12" s="84"/>
      <c r="L12" s="84"/>
      <c r="M12" s="83"/>
      <c r="N12" s="82"/>
      <c r="O12" s="84"/>
      <c r="P12" s="84"/>
      <c r="Q12" s="84"/>
      <c r="R12" s="83"/>
      <c r="S12" s="82"/>
      <c r="T12" s="84"/>
      <c r="U12" s="84"/>
      <c r="V12" s="84"/>
      <c r="W12" s="84"/>
      <c r="X12" s="84"/>
      <c r="Y12" s="84"/>
      <c r="Z12" s="84"/>
      <c r="AA12" s="84"/>
      <c r="AB12" s="84"/>
      <c r="AC12" s="84"/>
      <c r="AD12" s="84"/>
      <c r="AE12" s="85"/>
      <c r="AF12" s="82"/>
      <c r="AG12" s="84"/>
      <c r="AH12" s="84"/>
      <c r="AI12" s="84"/>
      <c r="AJ12" s="84"/>
      <c r="AK12" s="85"/>
      <c r="AL12" s="84"/>
      <c r="AM12" s="84"/>
      <c r="AN12" s="84"/>
      <c r="AO12" s="84"/>
      <c r="AP12" s="84"/>
      <c r="AQ12" s="84"/>
      <c r="AR12" s="84"/>
      <c r="AS12" s="84"/>
      <c r="AT12" s="84"/>
      <c r="AU12" s="84"/>
      <c r="AV12" s="84"/>
      <c r="AW12" s="84"/>
      <c r="AX12" s="84"/>
      <c r="AY12" s="84"/>
      <c r="AZ12" s="84"/>
      <c r="BA12" s="84"/>
      <c r="BB12" s="84"/>
      <c r="BC12" s="84"/>
      <c r="BD12" s="84"/>
      <c r="BE12" s="84"/>
      <c r="BF12" s="84"/>
      <c r="BG12" s="84"/>
      <c r="BH12" s="84"/>
      <c r="BI12" s="84"/>
      <c r="BJ12" s="84"/>
      <c r="BK12" s="84"/>
      <c r="BL12" s="84"/>
      <c r="BM12" s="84"/>
      <c r="BN12" s="84"/>
      <c r="BO12" s="84"/>
      <c r="BP12" s="84"/>
      <c r="BQ12" s="84"/>
      <c r="BR12" s="84"/>
      <c r="BS12" s="84"/>
      <c r="BT12" s="84"/>
      <c r="BU12" s="84"/>
      <c r="BV12" s="84"/>
      <c r="BW12" s="84"/>
      <c r="BX12" s="84"/>
      <c r="BY12" s="84"/>
      <c r="BZ12" s="84"/>
      <c r="CA12" s="84"/>
      <c r="CB12" s="84"/>
      <c r="CC12" s="84"/>
      <c r="CD12" s="84"/>
      <c r="CE12" s="84"/>
      <c r="CF12" s="84"/>
      <c r="CG12" s="84"/>
      <c r="CH12" s="84"/>
      <c r="CI12" s="84"/>
      <c r="CJ12" s="84"/>
      <c r="CK12" s="84"/>
      <c r="CL12" s="84"/>
      <c r="CM12" s="84"/>
      <c r="CN12" s="84"/>
      <c r="CO12" s="84"/>
      <c r="CP12" s="84"/>
      <c r="CQ12" s="84"/>
      <c r="CR12" s="84"/>
      <c r="CS12" s="84"/>
      <c r="CT12" s="84"/>
      <c r="CU12" s="84"/>
      <c r="CV12" s="84"/>
      <c r="CW12" s="84"/>
      <c r="CX12" s="84"/>
      <c r="CY12" s="84"/>
      <c r="CZ12" s="84"/>
      <c r="DA12" s="84"/>
      <c r="DB12" s="84"/>
      <c r="DC12" s="84"/>
      <c r="DD12" s="84"/>
      <c r="DE12" s="84"/>
      <c r="DF12" s="84"/>
      <c r="DG12" s="84"/>
      <c r="DH12" s="84"/>
      <c r="DI12" s="84"/>
      <c r="DJ12" s="84"/>
      <c r="DK12" s="84"/>
      <c r="DL12" s="84"/>
      <c r="DM12" s="84"/>
      <c r="DN12" s="84"/>
      <c r="DO12" s="84"/>
      <c r="DP12" s="84"/>
      <c r="DQ12" s="84"/>
      <c r="DR12" s="84"/>
      <c r="DS12" s="84"/>
      <c r="DT12" s="84"/>
      <c r="DU12" s="84"/>
      <c r="DV12" s="84"/>
      <c r="DW12" s="84"/>
      <c r="DX12" s="84"/>
      <c r="DY12" s="84"/>
      <c r="DZ12" s="84"/>
      <c r="EA12" s="84"/>
      <c r="EB12" s="84"/>
      <c r="EC12" s="84"/>
      <c r="ED12" s="84"/>
      <c r="EE12" s="84"/>
      <c r="EF12" s="84"/>
      <c r="EG12" s="84"/>
      <c r="EH12" s="84"/>
      <c r="EI12" s="84"/>
      <c r="EJ12" s="84"/>
      <c r="EK12" s="84"/>
      <c r="EL12" s="84"/>
      <c r="EM12" s="84"/>
      <c r="EN12" s="84"/>
      <c r="EO12" s="84"/>
      <c r="EP12" s="84"/>
      <c r="EQ12" s="84"/>
      <c r="ER12" s="84"/>
      <c r="ES12" s="84"/>
      <c r="ET12" s="84"/>
      <c r="EU12" s="84"/>
      <c r="EV12" s="84"/>
      <c r="EW12" s="84"/>
      <c r="EX12" s="84"/>
      <c r="EY12" s="84"/>
      <c r="EZ12" s="84"/>
      <c r="FA12" s="84"/>
      <c r="FB12" s="84"/>
      <c r="FC12" s="84"/>
      <c r="FD12" s="84"/>
      <c r="FE12" s="84"/>
      <c r="FF12" s="84"/>
      <c r="FG12" s="84"/>
      <c r="FH12" s="84"/>
      <c r="FI12" s="84"/>
      <c r="FJ12" s="84"/>
      <c r="FK12" s="84"/>
      <c r="FL12" s="84"/>
      <c r="FM12" s="84"/>
      <c r="FN12" s="84"/>
      <c r="FO12" s="84"/>
      <c r="FP12" s="84"/>
      <c r="FQ12" s="84"/>
      <c r="FR12" s="84"/>
      <c r="FS12" s="84"/>
      <c r="FT12" s="84"/>
      <c r="FU12" s="84"/>
      <c r="FV12" s="84"/>
      <c r="FW12" s="84"/>
      <c r="FX12" s="84"/>
      <c r="FY12" s="84"/>
      <c r="FZ12" s="84"/>
      <c r="GA12" s="84"/>
      <c r="GB12" s="84"/>
      <c r="GC12" s="84"/>
      <c r="GD12" s="84"/>
      <c r="GE12" s="84"/>
      <c r="GF12" s="84"/>
      <c r="GG12" s="84"/>
      <c r="GH12" s="84"/>
      <c r="GI12" s="84"/>
      <c r="GJ12" s="84"/>
      <c r="GK12" s="84"/>
      <c r="GL12" s="84"/>
      <c r="GM12" s="84"/>
      <c r="GN12" s="84"/>
      <c r="GO12" s="84"/>
      <c r="GP12" s="84"/>
      <c r="GQ12" s="84"/>
      <c r="GR12" s="84"/>
      <c r="GS12" s="84"/>
      <c r="GT12" s="84"/>
      <c r="GU12" s="84"/>
      <c r="GV12" s="84"/>
      <c r="GW12" s="84"/>
      <c r="GX12" s="84"/>
      <c r="GY12" s="84"/>
      <c r="GZ12" s="84"/>
      <c r="HA12" s="84"/>
      <c r="HB12" s="84"/>
      <c r="HC12" s="84"/>
      <c r="HD12" s="84"/>
      <c r="HE12" s="84"/>
      <c r="HF12" s="84"/>
      <c r="HG12" s="84"/>
      <c r="HH12" s="84"/>
      <c r="HI12" s="84"/>
      <c r="HJ12" s="84"/>
      <c r="HK12" s="84"/>
      <c r="HL12" s="84"/>
      <c r="HM12" s="84"/>
      <c r="HN12" s="84"/>
      <c r="HO12" s="84"/>
      <c r="HP12" s="84"/>
      <c r="HQ12" s="84"/>
      <c r="HR12" s="84"/>
      <c r="HS12" s="84"/>
      <c r="HT12" s="84"/>
      <c r="HU12" s="84"/>
      <c r="HV12" s="84"/>
      <c r="HW12" s="84"/>
      <c r="HX12" s="84"/>
      <c r="HY12" s="84"/>
      <c r="HZ12" s="84"/>
      <c r="IA12" s="84"/>
      <c r="IB12" s="84"/>
      <c r="IC12" s="84"/>
      <c r="ID12" s="84"/>
      <c r="IE12" s="84"/>
      <c r="IF12" s="84"/>
      <c r="IG12" s="84"/>
      <c r="IH12" s="84"/>
      <c r="II12" s="84"/>
      <c r="IJ12" s="84"/>
      <c r="IK12" s="84"/>
      <c r="IL12" s="84"/>
      <c r="IM12" s="84"/>
      <c r="IN12" s="84"/>
      <c r="IO12" s="84"/>
    </row>
    <row r="13" spans="2:249">
      <c r="B13" s="244" t="s">
        <v>527</v>
      </c>
      <c r="C13" s="86" t="s">
        <v>511</v>
      </c>
      <c r="D13" s="69" t="s">
        <v>360</v>
      </c>
      <c r="E13" s="70" t="s">
        <v>360</v>
      </c>
      <c r="F13" s="71" t="s">
        <v>360</v>
      </c>
      <c r="G13" s="87" t="s">
        <v>360</v>
      </c>
      <c r="H13" s="87" t="s">
        <v>360</v>
      </c>
      <c r="I13" s="87" t="s">
        <v>360</v>
      </c>
      <c r="J13" s="87" t="s">
        <v>360</v>
      </c>
      <c r="K13" s="87" t="s">
        <v>360</v>
      </c>
      <c r="L13" s="87" t="s">
        <v>360</v>
      </c>
      <c r="M13" s="166" t="s">
        <v>360</v>
      </c>
      <c r="N13" s="88" t="s">
        <v>360</v>
      </c>
      <c r="O13" s="87" t="s">
        <v>360</v>
      </c>
      <c r="P13" s="87" t="s">
        <v>360</v>
      </c>
      <c r="Q13" s="87" t="s">
        <v>360</v>
      </c>
      <c r="R13" s="166" t="s">
        <v>360</v>
      </c>
      <c r="S13" s="70" t="s">
        <v>360</v>
      </c>
      <c r="T13" s="72" t="s">
        <v>360</v>
      </c>
      <c r="U13" s="72" t="s">
        <v>360</v>
      </c>
      <c r="V13" s="72" t="s">
        <v>360</v>
      </c>
      <c r="W13" s="72" t="s">
        <v>360</v>
      </c>
      <c r="X13" s="72" t="s">
        <v>360</v>
      </c>
      <c r="Y13" s="72" t="s">
        <v>360</v>
      </c>
      <c r="Z13" s="72" t="s">
        <v>360</v>
      </c>
      <c r="AA13" s="72" t="s">
        <v>360</v>
      </c>
      <c r="AB13" s="72" t="s">
        <v>360</v>
      </c>
      <c r="AC13" s="72" t="s">
        <v>360</v>
      </c>
      <c r="AD13" s="72" t="s">
        <v>360</v>
      </c>
      <c r="AE13" s="73" t="s">
        <v>360</v>
      </c>
      <c r="AF13" s="97" t="s">
        <v>360</v>
      </c>
      <c r="AG13" s="99" t="s">
        <v>360</v>
      </c>
      <c r="AH13" s="72"/>
      <c r="AI13" s="72"/>
      <c r="AJ13" s="72"/>
      <c r="AK13" s="73"/>
      <c r="AL13" s="72" t="s">
        <v>360</v>
      </c>
      <c r="AM13" s="72" t="s">
        <v>360</v>
      </c>
      <c r="AN13" s="72" t="s">
        <v>360</v>
      </c>
      <c r="AO13" s="72" t="s">
        <v>360</v>
      </c>
      <c r="AP13" s="72" t="s">
        <v>360</v>
      </c>
      <c r="AQ13" s="72" t="s">
        <v>360</v>
      </c>
      <c r="AR13" s="72" t="s">
        <v>360</v>
      </c>
      <c r="AS13" s="72" t="s">
        <v>360</v>
      </c>
      <c r="AT13" s="72" t="s">
        <v>360</v>
      </c>
      <c r="AU13" s="72"/>
      <c r="AV13" s="72"/>
      <c r="AW13" s="72"/>
      <c r="AX13" s="72"/>
      <c r="AY13" s="72"/>
      <c r="AZ13" s="72"/>
      <c r="BA13" s="72"/>
      <c r="BB13" s="72"/>
      <c r="BC13" s="72"/>
      <c r="BD13" s="72"/>
      <c r="BE13" s="72"/>
      <c r="BF13" s="72"/>
      <c r="BG13" s="72"/>
      <c r="BH13" s="72"/>
      <c r="BI13" s="72"/>
      <c r="BJ13" s="72"/>
      <c r="BK13" s="72"/>
      <c r="BL13" s="72"/>
      <c r="BM13" s="72"/>
      <c r="BN13" s="72"/>
      <c r="BO13" s="72"/>
      <c r="BP13" s="72"/>
      <c r="BQ13" s="72"/>
      <c r="BR13" s="72"/>
      <c r="BS13" s="72"/>
      <c r="BT13" s="72"/>
      <c r="BU13" s="72"/>
      <c r="BV13" s="72"/>
      <c r="BW13" s="72"/>
      <c r="BX13" s="72"/>
      <c r="BY13" s="72"/>
      <c r="BZ13" s="72"/>
      <c r="CA13" s="72"/>
      <c r="CB13" s="72"/>
      <c r="CC13" s="72"/>
      <c r="CD13" s="72"/>
      <c r="CE13" s="72"/>
      <c r="CF13" s="72"/>
      <c r="CG13" s="72"/>
      <c r="CH13" s="72"/>
      <c r="CI13" s="72"/>
      <c r="CJ13" s="72"/>
      <c r="CK13" s="72"/>
      <c r="CL13" s="72"/>
      <c r="CM13" s="72"/>
      <c r="CN13" s="72"/>
      <c r="CO13" s="72"/>
      <c r="CP13" s="72"/>
      <c r="CQ13" s="72"/>
      <c r="CR13" s="72"/>
      <c r="CS13" s="72"/>
      <c r="CT13" s="72"/>
      <c r="CU13" s="72"/>
      <c r="CV13" s="72"/>
      <c r="CW13" s="72"/>
      <c r="CX13" s="72"/>
      <c r="CY13" s="72"/>
      <c r="CZ13" s="72"/>
      <c r="DA13" s="72"/>
      <c r="DB13" s="72"/>
      <c r="DC13" s="72"/>
      <c r="DD13" s="72"/>
      <c r="DE13" s="72"/>
      <c r="DF13" s="72"/>
      <c r="DG13" s="72"/>
      <c r="DH13" s="72"/>
      <c r="DI13" s="72"/>
      <c r="DJ13" s="72"/>
      <c r="DK13" s="72"/>
      <c r="DL13" s="72"/>
      <c r="DM13" s="72"/>
      <c r="DN13" s="72"/>
      <c r="DO13" s="72"/>
      <c r="DP13" s="72"/>
      <c r="DQ13" s="72"/>
      <c r="DR13" s="72"/>
      <c r="DS13" s="72"/>
      <c r="DT13" s="72"/>
      <c r="DU13" s="72"/>
      <c r="DV13" s="72"/>
      <c r="DW13" s="72"/>
      <c r="DX13" s="72"/>
      <c r="DY13" s="72"/>
      <c r="DZ13" s="72"/>
      <c r="EA13" s="72"/>
      <c r="EB13" s="72"/>
      <c r="EC13" s="72"/>
      <c r="ED13" s="72"/>
      <c r="EE13" s="72"/>
      <c r="EF13" s="72"/>
      <c r="EG13" s="72"/>
      <c r="EH13" s="72"/>
      <c r="EI13" s="72"/>
      <c r="EJ13" s="72"/>
      <c r="EK13" s="72"/>
      <c r="EL13" s="72"/>
      <c r="EM13" s="72"/>
      <c r="EN13" s="72"/>
      <c r="EO13" s="72"/>
      <c r="EP13" s="72"/>
      <c r="EQ13" s="72"/>
      <c r="ER13" s="72"/>
      <c r="ES13" s="72"/>
      <c r="ET13" s="72"/>
      <c r="EU13" s="72"/>
      <c r="EV13" s="72"/>
      <c r="EW13" s="72"/>
      <c r="EX13" s="72"/>
      <c r="EY13" s="72"/>
      <c r="EZ13" s="72"/>
      <c r="FA13" s="72"/>
      <c r="FB13" s="72"/>
      <c r="FC13" s="72"/>
      <c r="FD13" s="72"/>
      <c r="FE13" s="72"/>
      <c r="FF13" s="72"/>
      <c r="FG13" s="72"/>
      <c r="FH13" s="72"/>
      <c r="FI13" s="72"/>
      <c r="FJ13" s="72"/>
      <c r="FK13" s="72"/>
      <c r="FL13" s="72"/>
      <c r="FM13" s="72"/>
      <c r="FN13" s="72"/>
      <c r="FO13" s="72"/>
      <c r="FP13" s="72"/>
      <c r="FQ13" s="72"/>
      <c r="FR13" s="72"/>
      <c r="FS13" s="72"/>
      <c r="FT13" s="72"/>
      <c r="FU13" s="72"/>
      <c r="FV13" s="72"/>
      <c r="FW13" s="72"/>
      <c r="FX13" s="72"/>
      <c r="FY13" s="72"/>
      <c r="FZ13" s="72"/>
      <c r="GA13" s="72"/>
      <c r="GB13" s="72"/>
      <c r="GC13" s="72"/>
      <c r="GD13" s="72"/>
      <c r="GE13" s="72"/>
      <c r="GF13" s="72"/>
      <c r="GG13" s="72"/>
      <c r="GH13" s="72"/>
      <c r="GI13" s="72"/>
      <c r="GJ13" s="72"/>
      <c r="GK13" s="72"/>
      <c r="GL13" s="72"/>
      <c r="GM13" s="72"/>
      <c r="GN13" s="72"/>
      <c r="GO13" s="72"/>
      <c r="GP13" s="72"/>
      <c r="GQ13" s="72"/>
      <c r="GR13" s="72"/>
      <c r="GS13" s="72"/>
      <c r="GT13" s="72"/>
      <c r="GU13" s="72"/>
      <c r="GV13" s="72"/>
      <c r="GW13" s="72"/>
      <c r="GX13" s="72"/>
      <c r="GY13" s="72"/>
      <c r="GZ13" s="72"/>
      <c r="HA13" s="72"/>
      <c r="HB13" s="72"/>
      <c r="HC13" s="72"/>
      <c r="HD13" s="72"/>
      <c r="HE13" s="72"/>
      <c r="HF13" s="72"/>
      <c r="HG13" s="72"/>
      <c r="HH13" s="72"/>
      <c r="HI13" s="72"/>
      <c r="HJ13" s="72"/>
      <c r="HK13" s="72"/>
      <c r="HL13" s="72"/>
      <c r="HM13" s="72"/>
      <c r="HN13" s="72"/>
      <c r="HO13" s="72"/>
      <c r="HP13" s="72"/>
      <c r="HQ13" s="72"/>
      <c r="HR13" s="72"/>
      <c r="HS13" s="72"/>
      <c r="HT13" s="72"/>
      <c r="HU13" s="72"/>
      <c r="HV13" s="72"/>
      <c r="HW13" s="72"/>
      <c r="HX13" s="72"/>
      <c r="HY13" s="72"/>
      <c r="HZ13" s="72"/>
      <c r="IA13" s="72"/>
      <c r="IB13" s="72"/>
      <c r="IC13" s="72"/>
      <c r="ID13" s="72"/>
      <c r="IE13" s="72"/>
      <c r="IF13" s="72"/>
      <c r="IG13" s="72"/>
      <c r="IH13" s="72"/>
      <c r="II13" s="72"/>
      <c r="IJ13" s="72"/>
      <c r="IK13" s="72"/>
      <c r="IL13" s="72"/>
      <c r="IM13" s="72"/>
      <c r="IN13" s="72"/>
      <c r="IO13" s="72"/>
    </row>
    <row r="14" spans="2:249">
      <c r="B14" s="245"/>
      <c r="C14" s="86" t="s">
        <v>517</v>
      </c>
      <c r="D14" s="69"/>
      <c r="E14" s="70"/>
      <c r="F14" s="71"/>
      <c r="G14" s="72"/>
      <c r="H14" s="72"/>
      <c r="I14" s="72"/>
      <c r="J14" s="72"/>
      <c r="K14" s="72"/>
      <c r="L14" s="72"/>
      <c r="M14" s="71"/>
      <c r="N14" s="70"/>
      <c r="O14" s="72"/>
      <c r="P14" s="72"/>
      <c r="Q14" s="72"/>
      <c r="R14" s="71"/>
      <c r="S14" s="70"/>
      <c r="T14" s="72"/>
      <c r="U14" s="72"/>
      <c r="V14" s="72"/>
      <c r="W14" s="72"/>
      <c r="X14" s="72"/>
      <c r="Y14" s="72"/>
      <c r="Z14" s="72"/>
      <c r="AA14" s="72"/>
      <c r="AB14" s="72"/>
      <c r="AC14" s="72"/>
      <c r="AD14" s="72"/>
      <c r="AE14" s="73"/>
      <c r="AF14" s="70"/>
      <c r="AG14" s="72"/>
      <c r="AH14" s="72"/>
      <c r="AI14" s="72"/>
      <c r="AJ14" s="72"/>
      <c r="AK14" s="73"/>
      <c r="AL14" s="72"/>
      <c r="AM14" s="72"/>
      <c r="AN14" s="72"/>
      <c r="AO14" s="72"/>
      <c r="AP14" s="72"/>
      <c r="AQ14" s="72"/>
      <c r="AR14" s="72"/>
      <c r="AS14" s="72"/>
      <c r="AT14" s="72"/>
      <c r="AU14" s="72" t="s">
        <v>360</v>
      </c>
      <c r="AV14" s="72" t="s">
        <v>360</v>
      </c>
      <c r="AW14" s="72" t="s">
        <v>360</v>
      </c>
      <c r="AX14" s="72" t="s">
        <v>360</v>
      </c>
      <c r="AY14" s="72" t="s">
        <v>360</v>
      </c>
      <c r="AZ14" s="72" t="s">
        <v>360</v>
      </c>
      <c r="BA14" s="72" t="s">
        <v>360</v>
      </c>
      <c r="BB14" s="72" t="s">
        <v>360</v>
      </c>
      <c r="BC14" s="72" t="s">
        <v>360</v>
      </c>
      <c r="BD14" s="72"/>
      <c r="BE14" s="72"/>
      <c r="BF14" s="72"/>
      <c r="BG14" s="72"/>
      <c r="BH14" s="72"/>
      <c r="BI14" s="72"/>
      <c r="BJ14" s="72"/>
      <c r="BK14" s="72"/>
      <c r="BL14" s="72"/>
      <c r="BM14" s="72"/>
      <c r="BN14" s="72"/>
      <c r="BO14" s="72"/>
      <c r="BP14" s="72"/>
      <c r="BQ14" s="72"/>
      <c r="BR14" s="72"/>
      <c r="BS14" s="72"/>
      <c r="BT14" s="72"/>
      <c r="BU14" s="72"/>
      <c r="BV14" s="72"/>
      <c r="BW14" s="72"/>
      <c r="BX14" s="72"/>
      <c r="BY14" s="72"/>
      <c r="BZ14" s="72"/>
      <c r="CA14" s="72"/>
      <c r="CB14" s="72"/>
      <c r="CC14" s="72"/>
      <c r="CD14" s="72"/>
      <c r="CE14" s="72"/>
      <c r="CF14" s="72"/>
      <c r="CG14" s="72"/>
      <c r="CH14" s="72"/>
      <c r="CI14" s="72"/>
      <c r="CJ14" s="72"/>
      <c r="CK14" s="72"/>
      <c r="CL14" s="72"/>
      <c r="CM14" s="72"/>
      <c r="CN14" s="72"/>
      <c r="CO14" s="72"/>
      <c r="CP14" s="72"/>
      <c r="CQ14" s="72"/>
      <c r="CR14" s="72"/>
      <c r="CS14" s="72"/>
      <c r="CT14" s="72"/>
      <c r="CU14" s="72"/>
      <c r="CV14" s="72"/>
      <c r="CW14" s="72"/>
      <c r="CX14" s="72"/>
      <c r="CY14" s="72"/>
      <c r="CZ14" s="72"/>
      <c r="DA14" s="72"/>
      <c r="DB14" s="72"/>
      <c r="DC14" s="72"/>
      <c r="DD14" s="72"/>
      <c r="DE14" s="72"/>
      <c r="DF14" s="72"/>
      <c r="DG14" s="72"/>
      <c r="DH14" s="72"/>
      <c r="DI14" s="72"/>
      <c r="DJ14" s="72"/>
      <c r="DK14" s="72"/>
      <c r="DL14" s="72"/>
      <c r="DM14" s="72"/>
      <c r="DN14" s="72"/>
      <c r="DO14" s="72"/>
      <c r="DP14" s="72"/>
      <c r="DQ14" s="72"/>
      <c r="DR14" s="72"/>
      <c r="DS14" s="72"/>
      <c r="DT14" s="72"/>
      <c r="DU14" s="72"/>
      <c r="DV14" s="72"/>
      <c r="DW14" s="72"/>
      <c r="DX14" s="72"/>
      <c r="DY14" s="72"/>
      <c r="DZ14" s="72"/>
      <c r="EA14" s="72"/>
      <c r="EB14" s="72"/>
      <c r="EC14" s="72"/>
      <c r="ED14" s="72"/>
      <c r="EE14" s="72"/>
      <c r="EF14" s="72"/>
      <c r="EG14" s="72"/>
      <c r="EH14" s="72"/>
      <c r="EI14" s="72"/>
      <c r="EJ14" s="72"/>
      <c r="EK14" s="72"/>
      <c r="EL14" s="72"/>
      <c r="EM14" s="72"/>
      <c r="EN14" s="72"/>
      <c r="EO14" s="72"/>
      <c r="EP14" s="72"/>
      <c r="EQ14" s="72"/>
      <c r="ER14" s="72"/>
      <c r="ES14" s="72"/>
      <c r="ET14" s="72"/>
      <c r="EU14" s="72"/>
      <c r="EV14" s="72"/>
      <c r="EW14" s="72"/>
      <c r="EX14" s="72"/>
      <c r="EY14" s="72"/>
      <c r="EZ14" s="72"/>
      <c r="FA14" s="72"/>
      <c r="FB14" s="72"/>
      <c r="FC14" s="72"/>
      <c r="FD14" s="72"/>
      <c r="FE14" s="72"/>
      <c r="FF14" s="72"/>
      <c r="FG14" s="72"/>
      <c r="FH14" s="72"/>
      <c r="FI14" s="72"/>
      <c r="FJ14" s="72"/>
      <c r="FK14" s="72"/>
      <c r="FL14" s="72"/>
      <c r="FM14" s="72"/>
      <c r="FN14" s="72"/>
      <c r="FO14" s="72"/>
      <c r="FP14" s="72"/>
      <c r="FQ14" s="72"/>
      <c r="FR14" s="72"/>
      <c r="FS14" s="72"/>
      <c r="FT14" s="72"/>
      <c r="FU14" s="72"/>
      <c r="FV14" s="72"/>
      <c r="FW14" s="72"/>
      <c r="FX14" s="72"/>
      <c r="FY14" s="72"/>
      <c r="FZ14" s="72"/>
      <c r="GA14" s="72"/>
      <c r="GB14" s="72"/>
      <c r="GC14" s="72"/>
      <c r="GD14" s="72"/>
      <c r="GE14" s="72"/>
      <c r="GF14" s="72"/>
      <c r="GG14" s="72"/>
      <c r="GH14" s="72"/>
      <c r="GI14" s="72"/>
      <c r="GJ14" s="72"/>
      <c r="GK14" s="72"/>
      <c r="GL14" s="72"/>
      <c r="GM14" s="72"/>
      <c r="GN14" s="72"/>
      <c r="GO14" s="72"/>
      <c r="GP14" s="72"/>
      <c r="GQ14" s="72"/>
      <c r="GR14" s="72"/>
      <c r="GS14" s="72"/>
      <c r="GT14" s="72"/>
      <c r="GU14" s="72"/>
      <c r="GV14" s="72"/>
      <c r="GW14" s="72"/>
      <c r="GX14" s="72"/>
      <c r="GY14" s="72"/>
      <c r="GZ14" s="72"/>
      <c r="HA14" s="72"/>
      <c r="HB14" s="72"/>
      <c r="HC14" s="72"/>
      <c r="HD14" s="72"/>
      <c r="HE14" s="72"/>
      <c r="HF14" s="72"/>
      <c r="HG14" s="72"/>
      <c r="HH14" s="72"/>
      <c r="HI14" s="72"/>
      <c r="HJ14" s="72"/>
      <c r="HK14" s="72"/>
      <c r="HL14" s="72"/>
      <c r="HM14" s="72"/>
      <c r="HN14" s="72"/>
      <c r="HO14" s="72"/>
      <c r="HP14" s="72"/>
      <c r="HQ14" s="72"/>
      <c r="HR14" s="72"/>
      <c r="HS14" s="72"/>
      <c r="HT14" s="72"/>
      <c r="HU14" s="72"/>
      <c r="HV14" s="72"/>
      <c r="HW14" s="72"/>
      <c r="HX14" s="72"/>
      <c r="HY14" s="72"/>
      <c r="HZ14" s="72"/>
      <c r="IA14" s="72"/>
      <c r="IB14" s="72"/>
      <c r="IC14" s="72"/>
      <c r="ID14" s="72"/>
      <c r="IE14" s="72"/>
      <c r="IF14" s="72"/>
      <c r="IG14" s="72"/>
      <c r="IH14" s="72"/>
      <c r="II14" s="72"/>
      <c r="IJ14" s="72"/>
      <c r="IK14" s="72"/>
      <c r="IL14" s="72"/>
      <c r="IM14" s="72"/>
      <c r="IN14" s="72"/>
      <c r="IO14" s="72"/>
    </row>
    <row r="15" spans="2:249">
      <c r="B15" s="245"/>
      <c r="C15" s="86" t="s">
        <v>518</v>
      </c>
      <c r="D15" s="69"/>
      <c r="E15" s="70"/>
      <c r="F15" s="71"/>
      <c r="G15" s="72"/>
      <c r="H15" s="72"/>
      <c r="I15" s="72"/>
      <c r="J15" s="72"/>
      <c r="K15" s="72"/>
      <c r="L15" s="72"/>
      <c r="M15" s="71"/>
      <c r="N15" s="70"/>
      <c r="O15" s="72"/>
      <c r="P15" s="72"/>
      <c r="Q15" s="72"/>
      <c r="R15" s="71"/>
      <c r="S15" s="70"/>
      <c r="T15" s="72"/>
      <c r="U15" s="72"/>
      <c r="V15" s="72"/>
      <c r="W15" s="72"/>
      <c r="X15" s="72"/>
      <c r="Y15" s="72"/>
      <c r="Z15" s="72"/>
      <c r="AA15" s="72"/>
      <c r="AB15" s="72"/>
      <c r="AC15" s="72"/>
      <c r="AD15" s="72"/>
      <c r="AE15" s="73"/>
      <c r="AF15" s="70"/>
      <c r="AG15" s="72"/>
      <c r="AH15" s="99" t="s">
        <v>360</v>
      </c>
      <c r="AI15" s="72"/>
      <c r="AJ15" s="99" t="s">
        <v>360</v>
      </c>
      <c r="AK15" s="73"/>
      <c r="AL15" s="72"/>
      <c r="AM15" s="72"/>
      <c r="AN15" s="72"/>
      <c r="AO15" s="72"/>
      <c r="AP15" s="72"/>
      <c r="AQ15" s="72"/>
      <c r="AR15" s="72"/>
      <c r="AS15" s="72"/>
      <c r="AT15" s="72"/>
      <c r="AU15" s="72"/>
      <c r="AV15" s="72"/>
      <c r="AW15" s="72"/>
      <c r="AX15" s="72"/>
      <c r="AY15" s="72"/>
      <c r="AZ15" s="72"/>
      <c r="BA15" s="72"/>
      <c r="BB15" s="72"/>
      <c r="BC15" s="72"/>
      <c r="BD15" s="72" t="s">
        <v>360</v>
      </c>
      <c r="BE15" s="72" t="s">
        <v>360</v>
      </c>
      <c r="BF15" s="72" t="s">
        <v>360</v>
      </c>
      <c r="BG15" s="72" t="s">
        <v>360</v>
      </c>
      <c r="BH15" s="72" t="s">
        <v>360</v>
      </c>
      <c r="BI15" s="72" t="s">
        <v>360</v>
      </c>
      <c r="BJ15" s="72" t="s">
        <v>360</v>
      </c>
      <c r="BK15" s="72" t="s">
        <v>360</v>
      </c>
      <c r="BL15" s="72" t="s">
        <v>360</v>
      </c>
      <c r="BM15" s="72"/>
      <c r="BN15" s="72"/>
      <c r="BO15" s="72"/>
      <c r="BP15" s="72"/>
      <c r="BQ15" s="72"/>
      <c r="BR15" s="72"/>
      <c r="BS15" s="72"/>
      <c r="BT15" s="72"/>
      <c r="BU15" s="72"/>
      <c r="BV15" s="72"/>
      <c r="BW15" s="72"/>
      <c r="BX15" s="72"/>
      <c r="BY15" s="72"/>
      <c r="BZ15" s="72"/>
      <c r="CA15" s="72"/>
      <c r="CB15" s="72"/>
      <c r="CC15" s="72"/>
      <c r="CD15" s="72"/>
      <c r="CE15" s="72"/>
      <c r="CF15" s="72"/>
      <c r="CG15" s="72"/>
      <c r="CH15" s="72"/>
      <c r="CI15" s="72"/>
      <c r="CJ15" s="72"/>
      <c r="CK15" s="72"/>
      <c r="CL15" s="72"/>
      <c r="CM15" s="72"/>
      <c r="CN15" s="72"/>
      <c r="CO15" s="72"/>
      <c r="CP15" s="72"/>
      <c r="CQ15" s="72"/>
      <c r="CR15" s="72"/>
      <c r="CS15" s="72"/>
      <c r="CT15" s="72"/>
      <c r="CU15" s="72"/>
      <c r="CV15" s="72"/>
      <c r="CW15" s="72"/>
      <c r="CX15" s="72"/>
      <c r="CY15" s="72"/>
      <c r="CZ15" s="72"/>
      <c r="DA15" s="72"/>
      <c r="DB15" s="72"/>
      <c r="DC15" s="72"/>
      <c r="DD15" s="72"/>
      <c r="DE15" s="72"/>
      <c r="DF15" s="72"/>
      <c r="DG15" s="72"/>
      <c r="DH15" s="72"/>
      <c r="DI15" s="72"/>
      <c r="DJ15" s="72"/>
      <c r="DK15" s="72"/>
      <c r="DL15" s="72"/>
      <c r="DM15" s="72"/>
      <c r="DN15" s="72"/>
      <c r="DO15" s="72"/>
      <c r="DP15" s="72"/>
      <c r="DQ15" s="72"/>
      <c r="DR15" s="72"/>
      <c r="DS15" s="72"/>
      <c r="DT15" s="72"/>
      <c r="DU15" s="72"/>
      <c r="DV15" s="72"/>
      <c r="DW15" s="72"/>
      <c r="DX15" s="72"/>
      <c r="DY15" s="72"/>
      <c r="DZ15" s="72"/>
      <c r="EA15" s="72"/>
      <c r="EB15" s="72"/>
      <c r="EC15" s="72"/>
      <c r="ED15" s="72"/>
      <c r="EE15" s="72"/>
      <c r="EF15" s="72"/>
      <c r="EG15" s="72"/>
      <c r="EH15" s="72"/>
      <c r="EI15" s="72"/>
      <c r="EJ15" s="72"/>
      <c r="EK15" s="72"/>
      <c r="EL15" s="72"/>
      <c r="EM15" s="72"/>
      <c r="EN15" s="72"/>
      <c r="EO15" s="72"/>
      <c r="EP15" s="72"/>
      <c r="EQ15" s="72"/>
      <c r="ER15" s="72"/>
      <c r="ES15" s="72"/>
      <c r="ET15" s="72"/>
      <c r="EU15" s="72"/>
      <c r="EV15" s="72"/>
      <c r="EW15" s="72"/>
      <c r="EX15" s="72"/>
      <c r="EY15" s="72"/>
      <c r="EZ15" s="72"/>
      <c r="FA15" s="72"/>
      <c r="FB15" s="72"/>
      <c r="FC15" s="72"/>
      <c r="FD15" s="72"/>
      <c r="FE15" s="72"/>
      <c r="FF15" s="72"/>
      <c r="FG15" s="72"/>
      <c r="FH15" s="72"/>
      <c r="FI15" s="72"/>
      <c r="FJ15" s="72"/>
      <c r="FK15" s="72"/>
      <c r="FL15" s="72"/>
      <c r="FM15" s="72"/>
      <c r="FN15" s="72"/>
      <c r="FO15" s="72"/>
      <c r="FP15" s="72"/>
      <c r="FQ15" s="72"/>
      <c r="FR15" s="72"/>
      <c r="FS15" s="72"/>
      <c r="FT15" s="72"/>
      <c r="FU15" s="72"/>
      <c r="FV15" s="72"/>
      <c r="FW15" s="72"/>
      <c r="FX15" s="72"/>
      <c r="FY15" s="72"/>
      <c r="FZ15" s="72"/>
      <c r="GA15" s="72"/>
      <c r="GB15" s="72"/>
      <c r="GC15" s="72"/>
      <c r="GD15" s="72"/>
      <c r="GE15" s="72"/>
      <c r="GF15" s="72"/>
      <c r="GG15" s="72"/>
      <c r="GH15" s="72"/>
      <c r="GI15" s="72"/>
      <c r="GJ15" s="72"/>
      <c r="GK15" s="72"/>
      <c r="GL15" s="72"/>
      <c r="GM15" s="72"/>
      <c r="GN15" s="72"/>
      <c r="GO15" s="72"/>
      <c r="GP15" s="72"/>
      <c r="GQ15" s="72"/>
      <c r="GR15" s="72"/>
      <c r="GS15" s="72"/>
      <c r="GT15" s="72"/>
      <c r="GU15" s="72"/>
      <c r="GV15" s="72"/>
      <c r="GW15" s="72"/>
      <c r="GX15" s="72"/>
      <c r="GY15" s="72"/>
      <c r="GZ15" s="72"/>
      <c r="HA15" s="72"/>
      <c r="HB15" s="72"/>
      <c r="HC15" s="72"/>
      <c r="HD15" s="72"/>
      <c r="HE15" s="72"/>
      <c r="HF15" s="72"/>
      <c r="HG15" s="72"/>
      <c r="HH15" s="72"/>
      <c r="HI15" s="72"/>
      <c r="HJ15" s="72"/>
      <c r="HK15" s="72"/>
      <c r="HL15" s="72"/>
      <c r="HM15" s="72"/>
      <c r="HN15" s="72"/>
      <c r="HO15" s="72"/>
      <c r="HP15" s="72"/>
      <c r="HQ15" s="72"/>
      <c r="HR15" s="72"/>
      <c r="HS15" s="72"/>
      <c r="HT15" s="72"/>
      <c r="HU15" s="72"/>
      <c r="HV15" s="72"/>
      <c r="HW15" s="72"/>
      <c r="HX15" s="72"/>
      <c r="HY15" s="72"/>
      <c r="HZ15" s="72"/>
      <c r="IA15" s="72"/>
      <c r="IB15" s="72"/>
      <c r="IC15" s="72"/>
      <c r="ID15" s="72"/>
      <c r="IE15" s="72"/>
      <c r="IF15" s="72"/>
      <c r="IG15" s="72"/>
      <c r="IH15" s="72"/>
      <c r="II15" s="72"/>
      <c r="IJ15" s="72"/>
      <c r="IK15" s="72"/>
      <c r="IL15" s="72"/>
      <c r="IM15" s="72"/>
      <c r="IN15" s="72"/>
      <c r="IO15" s="72"/>
    </row>
    <row r="16" spans="2:249">
      <c r="B16" s="245"/>
      <c r="C16" s="86" t="s">
        <v>519</v>
      </c>
      <c r="D16" s="69"/>
      <c r="E16" s="70"/>
      <c r="F16" s="71"/>
      <c r="G16" s="72"/>
      <c r="H16" s="72"/>
      <c r="I16" s="72"/>
      <c r="J16" s="72"/>
      <c r="K16" s="72"/>
      <c r="L16" s="72"/>
      <c r="M16" s="71"/>
      <c r="N16" s="70"/>
      <c r="O16" s="72"/>
      <c r="P16" s="72"/>
      <c r="Q16" s="72"/>
      <c r="R16" s="71"/>
      <c r="S16" s="70"/>
      <c r="T16" s="72"/>
      <c r="U16" s="72"/>
      <c r="V16" s="72"/>
      <c r="W16" s="72"/>
      <c r="X16" s="72"/>
      <c r="Y16" s="72"/>
      <c r="Z16" s="72"/>
      <c r="AA16" s="72"/>
      <c r="AB16" s="72"/>
      <c r="AC16" s="72"/>
      <c r="AD16" s="72"/>
      <c r="AE16" s="73"/>
      <c r="AF16" s="70"/>
      <c r="AG16" s="72"/>
      <c r="AH16" s="72"/>
      <c r="AI16" s="99" t="s">
        <v>360</v>
      </c>
      <c r="AJ16" s="72"/>
      <c r="AK16" s="100" t="s">
        <v>360</v>
      </c>
      <c r="AL16" s="72"/>
      <c r="AM16" s="72"/>
      <c r="AN16" s="72"/>
      <c r="AO16" s="72"/>
      <c r="AP16" s="72"/>
      <c r="AQ16" s="72"/>
      <c r="AR16" s="72"/>
      <c r="AS16" s="72"/>
      <c r="AT16" s="72"/>
      <c r="AU16" s="72"/>
      <c r="AV16" s="72"/>
      <c r="AW16" s="72"/>
      <c r="AX16" s="72"/>
      <c r="AY16" s="72"/>
      <c r="AZ16" s="72"/>
      <c r="BA16" s="72"/>
      <c r="BB16" s="72"/>
      <c r="BC16" s="72"/>
      <c r="BD16" s="72"/>
      <c r="BE16" s="72"/>
      <c r="BF16" s="72"/>
      <c r="BG16" s="72"/>
      <c r="BH16" s="72"/>
      <c r="BI16" s="72"/>
      <c r="BJ16" s="72"/>
      <c r="BK16" s="72"/>
      <c r="BL16" s="72"/>
      <c r="BM16" s="72" t="s">
        <v>360</v>
      </c>
      <c r="BN16" s="72" t="s">
        <v>360</v>
      </c>
      <c r="BO16" s="72" t="s">
        <v>360</v>
      </c>
      <c r="BP16" s="72" t="s">
        <v>360</v>
      </c>
      <c r="BQ16" s="72" t="s">
        <v>360</v>
      </c>
      <c r="BR16" s="72" t="s">
        <v>360</v>
      </c>
      <c r="BS16" s="72" t="s">
        <v>360</v>
      </c>
      <c r="BT16" s="72" t="s">
        <v>360</v>
      </c>
      <c r="BU16" s="72" t="s">
        <v>360</v>
      </c>
      <c r="BV16" s="72"/>
      <c r="BW16" s="72"/>
      <c r="BX16" s="72"/>
      <c r="BY16" s="72"/>
      <c r="BZ16" s="72"/>
      <c r="CA16" s="72"/>
      <c r="CB16" s="72"/>
      <c r="CC16" s="72"/>
      <c r="CD16" s="72"/>
      <c r="CE16" s="87"/>
      <c r="CF16" s="87"/>
      <c r="CG16" s="87"/>
      <c r="CH16" s="87"/>
      <c r="CI16" s="87"/>
      <c r="CJ16" s="87"/>
      <c r="CK16" s="87"/>
      <c r="CL16" s="87"/>
      <c r="CM16" s="87"/>
      <c r="CN16" s="87"/>
      <c r="CO16" s="87"/>
      <c r="CP16" s="87"/>
      <c r="CQ16" s="87"/>
      <c r="CR16" s="87"/>
      <c r="CS16" s="87"/>
      <c r="CT16" s="87"/>
      <c r="CU16" s="87"/>
      <c r="CV16" s="87"/>
      <c r="CW16" s="87"/>
      <c r="CX16" s="87"/>
      <c r="CY16" s="87"/>
      <c r="CZ16" s="87"/>
      <c r="DA16" s="87"/>
      <c r="DB16" s="87"/>
      <c r="DC16" s="87"/>
      <c r="DD16" s="87"/>
      <c r="DE16" s="87"/>
      <c r="DF16" s="87"/>
      <c r="DG16" s="87"/>
      <c r="DH16" s="87"/>
      <c r="DI16" s="87"/>
      <c r="DJ16" s="87"/>
      <c r="DK16" s="87"/>
      <c r="DL16" s="87"/>
      <c r="DM16" s="87"/>
      <c r="DN16" s="87"/>
      <c r="DO16" s="87"/>
      <c r="DP16" s="87"/>
      <c r="DQ16" s="87"/>
      <c r="DR16" s="87"/>
      <c r="DS16" s="87"/>
      <c r="DT16" s="87"/>
      <c r="DU16" s="87"/>
      <c r="DV16" s="87"/>
      <c r="DW16" s="87"/>
      <c r="DX16" s="87"/>
      <c r="DY16" s="87"/>
      <c r="DZ16" s="87"/>
      <c r="EA16" s="87"/>
      <c r="EB16" s="87"/>
      <c r="EC16" s="87"/>
      <c r="ED16" s="87"/>
      <c r="EE16" s="87"/>
      <c r="EF16" s="87"/>
      <c r="EG16" s="87"/>
      <c r="EH16" s="87"/>
      <c r="EI16" s="87"/>
      <c r="EJ16" s="87"/>
      <c r="EK16" s="87"/>
      <c r="EL16" s="87"/>
      <c r="EM16" s="87"/>
      <c r="EN16" s="87"/>
      <c r="EO16" s="87"/>
      <c r="EP16" s="87"/>
      <c r="EQ16" s="87"/>
      <c r="ER16" s="87"/>
      <c r="ES16" s="87"/>
      <c r="ET16" s="87"/>
      <c r="EU16" s="87"/>
      <c r="EV16" s="87"/>
      <c r="EW16" s="87"/>
      <c r="EX16" s="87"/>
      <c r="EY16" s="87"/>
      <c r="EZ16" s="87"/>
      <c r="FA16" s="87"/>
      <c r="FB16" s="87"/>
      <c r="FC16" s="87"/>
      <c r="FD16" s="87"/>
      <c r="FE16" s="87"/>
      <c r="FF16" s="87"/>
      <c r="FG16" s="87"/>
      <c r="FH16" s="87"/>
      <c r="FI16" s="87"/>
      <c r="FJ16" s="87"/>
      <c r="FK16" s="87"/>
      <c r="FL16" s="87"/>
      <c r="FM16" s="87"/>
      <c r="FN16" s="87"/>
      <c r="FO16" s="87"/>
      <c r="FP16" s="87"/>
      <c r="FQ16" s="87"/>
      <c r="FR16" s="87"/>
      <c r="FS16" s="87"/>
      <c r="FT16" s="87"/>
      <c r="FU16" s="87"/>
      <c r="FV16" s="87"/>
      <c r="FW16" s="87"/>
      <c r="FX16" s="87"/>
      <c r="FY16" s="87"/>
      <c r="FZ16" s="87"/>
      <c r="GA16" s="87"/>
      <c r="GB16" s="87"/>
      <c r="GC16" s="87"/>
      <c r="GD16" s="87"/>
      <c r="GE16" s="87"/>
      <c r="GF16" s="87"/>
      <c r="GG16" s="87"/>
      <c r="GH16" s="87"/>
      <c r="GI16" s="87"/>
      <c r="GJ16" s="87"/>
      <c r="GK16" s="87"/>
      <c r="GL16" s="87"/>
      <c r="GM16" s="87"/>
      <c r="GN16" s="87"/>
      <c r="GO16" s="87"/>
      <c r="GP16" s="87"/>
      <c r="GQ16" s="87"/>
      <c r="GR16" s="87"/>
      <c r="GS16" s="87"/>
      <c r="GT16" s="87"/>
      <c r="GU16" s="87"/>
      <c r="GV16" s="87"/>
      <c r="GW16" s="87"/>
      <c r="GX16" s="87"/>
      <c r="GY16" s="87"/>
      <c r="GZ16" s="87"/>
      <c r="HA16" s="87"/>
      <c r="HB16" s="87"/>
      <c r="HC16" s="87"/>
      <c r="HD16" s="87"/>
      <c r="HE16" s="87"/>
      <c r="HF16" s="87"/>
      <c r="HG16" s="87"/>
      <c r="HH16" s="87"/>
      <c r="HI16" s="87"/>
      <c r="HJ16" s="87"/>
      <c r="HK16" s="87"/>
      <c r="HL16" s="87"/>
      <c r="HM16" s="87"/>
      <c r="HN16" s="87"/>
      <c r="HO16" s="87"/>
      <c r="HP16" s="87"/>
      <c r="HQ16" s="87"/>
      <c r="HR16" s="87"/>
      <c r="HS16" s="87"/>
      <c r="HT16" s="87"/>
      <c r="HU16" s="87"/>
      <c r="HV16" s="87"/>
      <c r="HW16" s="87"/>
      <c r="HX16" s="87"/>
      <c r="HY16" s="87"/>
      <c r="HZ16" s="87"/>
      <c r="IA16" s="87"/>
      <c r="IB16" s="87"/>
      <c r="IC16" s="87"/>
      <c r="ID16" s="87"/>
      <c r="IE16" s="87"/>
      <c r="IF16" s="87"/>
      <c r="IG16" s="87"/>
      <c r="IH16" s="87"/>
      <c r="II16" s="87"/>
      <c r="IJ16" s="87"/>
      <c r="IK16" s="87"/>
      <c r="IL16" s="87"/>
      <c r="IM16" s="87"/>
      <c r="IN16" s="87"/>
      <c r="IO16" s="87"/>
    </row>
    <row r="17" spans="2:249">
      <c r="B17" s="89"/>
      <c r="C17" s="86" t="s">
        <v>534</v>
      </c>
      <c r="D17" s="69"/>
      <c r="E17" s="70"/>
      <c r="F17" s="71"/>
      <c r="G17" s="72"/>
      <c r="H17" s="72"/>
      <c r="I17" s="72"/>
      <c r="J17" s="72"/>
      <c r="K17" s="72"/>
      <c r="L17" s="72"/>
      <c r="M17" s="71"/>
      <c r="N17" s="70"/>
      <c r="O17" s="72"/>
      <c r="P17" s="72"/>
      <c r="Q17" s="72"/>
      <c r="R17" s="71"/>
      <c r="S17" s="70"/>
      <c r="T17" s="72"/>
      <c r="U17" s="72"/>
      <c r="V17" s="72"/>
      <c r="W17" s="72"/>
      <c r="X17" s="72"/>
      <c r="Y17" s="72"/>
      <c r="Z17" s="72"/>
      <c r="AA17" s="72"/>
      <c r="AB17" s="72"/>
      <c r="AC17" s="72"/>
      <c r="AD17" s="72"/>
      <c r="AE17" s="73"/>
      <c r="AF17" s="70"/>
      <c r="AG17" s="72"/>
      <c r="AH17" s="72"/>
      <c r="AI17" s="72"/>
      <c r="AJ17" s="72"/>
      <c r="AK17" s="73"/>
      <c r="AL17" s="72"/>
      <c r="AM17" s="72"/>
      <c r="AN17" s="72"/>
      <c r="AO17" s="72"/>
      <c r="AP17" s="72"/>
      <c r="AQ17" s="72"/>
      <c r="AR17" s="72"/>
      <c r="AS17" s="72"/>
      <c r="AT17" s="72"/>
      <c r="AU17" s="72"/>
      <c r="AV17" s="72"/>
      <c r="AW17" s="72"/>
      <c r="AX17" s="72"/>
      <c r="AY17" s="72"/>
      <c r="AZ17" s="72"/>
      <c r="BA17" s="72"/>
      <c r="BB17" s="72"/>
      <c r="BC17" s="72"/>
      <c r="BD17" s="72"/>
      <c r="BE17" s="72"/>
      <c r="BF17" s="72"/>
      <c r="BG17" s="72"/>
      <c r="BH17" s="72"/>
      <c r="BI17" s="72"/>
      <c r="BJ17" s="72"/>
      <c r="BK17" s="72"/>
      <c r="BL17" s="72"/>
      <c r="BM17" s="72"/>
      <c r="BN17" s="72"/>
      <c r="BO17" s="72"/>
      <c r="BP17" s="72"/>
      <c r="BQ17" s="72"/>
      <c r="BR17" s="72"/>
      <c r="BS17" s="72"/>
      <c r="BT17" s="72"/>
      <c r="BU17" s="72"/>
      <c r="BV17" s="72" t="s">
        <v>360</v>
      </c>
      <c r="BW17" s="72" t="s">
        <v>360</v>
      </c>
      <c r="BX17" s="72" t="s">
        <v>360</v>
      </c>
      <c r="BY17" s="72" t="s">
        <v>360</v>
      </c>
      <c r="BZ17" s="72" t="s">
        <v>360</v>
      </c>
      <c r="CA17" s="72" t="s">
        <v>360</v>
      </c>
      <c r="CB17" s="72" t="s">
        <v>360</v>
      </c>
      <c r="CC17" s="72" t="s">
        <v>360</v>
      </c>
      <c r="CD17" s="72" t="s">
        <v>360</v>
      </c>
      <c r="CE17" s="72"/>
      <c r="CF17" s="72"/>
      <c r="CG17" s="72"/>
      <c r="CH17" s="72"/>
      <c r="CI17" s="72"/>
      <c r="CJ17" s="72"/>
      <c r="CK17" s="72"/>
      <c r="CL17" s="72"/>
      <c r="CM17" s="72"/>
      <c r="CN17" s="72"/>
      <c r="CO17" s="72"/>
      <c r="CP17" s="72"/>
      <c r="CQ17" s="72"/>
      <c r="CR17" s="72"/>
      <c r="CS17" s="72"/>
      <c r="CT17" s="72"/>
      <c r="CU17" s="72"/>
      <c r="CV17" s="72"/>
      <c r="CW17" s="72"/>
      <c r="CX17" s="72"/>
      <c r="CY17" s="72"/>
      <c r="CZ17" s="72"/>
      <c r="DA17" s="72"/>
      <c r="DB17" s="72"/>
      <c r="DC17" s="72"/>
      <c r="DD17" s="72"/>
      <c r="DE17" s="72"/>
      <c r="DF17" s="72"/>
      <c r="DG17" s="72"/>
      <c r="DH17" s="72"/>
      <c r="DI17" s="72"/>
      <c r="DJ17" s="72"/>
      <c r="DK17" s="72"/>
      <c r="DL17" s="72"/>
      <c r="DM17" s="72"/>
      <c r="DN17" s="72"/>
      <c r="DO17" s="72"/>
      <c r="DP17" s="72"/>
      <c r="DQ17" s="72"/>
      <c r="DR17" s="72"/>
      <c r="DS17" s="72"/>
      <c r="DT17" s="72"/>
      <c r="DU17" s="72"/>
      <c r="DV17" s="72"/>
      <c r="DW17" s="72"/>
      <c r="DX17" s="72"/>
      <c r="DY17" s="72"/>
      <c r="DZ17" s="72"/>
      <c r="EA17" s="72"/>
      <c r="EB17" s="72"/>
      <c r="EC17" s="72"/>
      <c r="ED17" s="72"/>
      <c r="EE17" s="72"/>
      <c r="EF17" s="72"/>
      <c r="EG17" s="72"/>
      <c r="EH17" s="72"/>
      <c r="EI17" s="72"/>
      <c r="EJ17" s="72"/>
      <c r="EK17" s="72"/>
      <c r="EL17" s="72"/>
      <c r="EM17" s="72"/>
      <c r="EN17" s="72"/>
      <c r="EO17" s="72"/>
      <c r="EP17" s="72"/>
      <c r="EQ17" s="72"/>
      <c r="ER17" s="72"/>
      <c r="ES17" s="72"/>
      <c r="ET17" s="72"/>
      <c r="EU17" s="72"/>
      <c r="EV17" s="72"/>
      <c r="EW17" s="72"/>
      <c r="EX17" s="72"/>
      <c r="EY17" s="72"/>
      <c r="EZ17" s="72"/>
      <c r="FA17" s="72"/>
      <c r="FB17" s="72"/>
      <c r="FC17" s="72"/>
      <c r="FD17" s="72"/>
      <c r="FE17" s="72"/>
      <c r="FF17" s="72"/>
      <c r="FG17" s="72"/>
      <c r="FH17" s="72"/>
      <c r="FI17" s="72"/>
      <c r="FJ17" s="72"/>
      <c r="FK17" s="72"/>
      <c r="FL17" s="72"/>
      <c r="FM17" s="72"/>
      <c r="FN17" s="72"/>
      <c r="FO17" s="72"/>
      <c r="FP17" s="72"/>
      <c r="FQ17" s="72"/>
      <c r="FR17" s="72"/>
      <c r="FS17" s="72"/>
      <c r="FT17" s="72"/>
      <c r="FU17" s="72"/>
      <c r="FV17" s="72"/>
      <c r="FW17" s="72"/>
      <c r="FX17" s="72"/>
      <c r="FY17" s="72"/>
      <c r="FZ17" s="72"/>
      <c r="GA17" s="72"/>
      <c r="GB17" s="72"/>
      <c r="GC17" s="72"/>
      <c r="GD17" s="72"/>
      <c r="GE17" s="72"/>
      <c r="GF17" s="72"/>
      <c r="GG17" s="72"/>
      <c r="GH17" s="72"/>
      <c r="GI17" s="72"/>
      <c r="GJ17" s="72"/>
      <c r="GK17" s="72"/>
      <c r="GL17" s="72"/>
      <c r="GM17" s="72"/>
      <c r="GN17" s="72"/>
      <c r="GO17" s="72"/>
      <c r="GP17" s="72"/>
      <c r="GQ17" s="72"/>
      <c r="GR17" s="72"/>
      <c r="GS17" s="72"/>
      <c r="GT17" s="72"/>
      <c r="GU17" s="72"/>
      <c r="GV17" s="72"/>
      <c r="GW17" s="72"/>
      <c r="GX17" s="72"/>
      <c r="GY17" s="72"/>
      <c r="GZ17" s="72"/>
      <c r="HA17" s="72"/>
      <c r="HB17" s="72"/>
      <c r="HC17" s="72"/>
      <c r="HD17" s="72"/>
      <c r="HE17" s="72"/>
      <c r="HF17" s="72"/>
      <c r="HG17" s="72"/>
      <c r="HH17" s="72"/>
      <c r="HI17" s="72"/>
      <c r="HJ17" s="72"/>
      <c r="HK17" s="72"/>
      <c r="HL17" s="72"/>
      <c r="HM17" s="72"/>
      <c r="HN17" s="72"/>
      <c r="HO17" s="72"/>
      <c r="HP17" s="72"/>
      <c r="HQ17" s="72"/>
      <c r="HR17" s="72"/>
      <c r="HS17" s="72"/>
      <c r="HT17" s="72"/>
      <c r="HU17" s="72"/>
      <c r="HV17" s="72"/>
      <c r="HW17" s="72"/>
      <c r="HX17" s="72"/>
      <c r="HY17" s="72"/>
      <c r="HZ17" s="72"/>
      <c r="IA17" s="72"/>
      <c r="IB17" s="72"/>
      <c r="IC17" s="72"/>
      <c r="ID17" s="72"/>
      <c r="IE17" s="72"/>
      <c r="IF17" s="72"/>
      <c r="IG17" s="72"/>
      <c r="IH17" s="72"/>
      <c r="II17" s="72"/>
      <c r="IJ17" s="72"/>
      <c r="IK17" s="72"/>
      <c r="IL17" s="72"/>
      <c r="IM17" s="72"/>
      <c r="IN17" s="72"/>
      <c r="IO17" s="72"/>
    </row>
    <row r="18" spans="2:249">
      <c r="B18" s="59" t="s">
        <v>452</v>
      </c>
      <c r="C18" s="59" t="s">
        <v>553</v>
      </c>
      <c r="D18" s="91"/>
      <c r="E18" s="92"/>
      <c r="F18" s="93"/>
      <c r="G18" s="94"/>
      <c r="H18" s="94"/>
      <c r="I18" s="94"/>
      <c r="J18" s="94"/>
      <c r="K18" s="94"/>
      <c r="L18" s="94"/>
      <c r="M18" s="93"/>
      <c r="N18" s="92"/>
      <c r="O18" s="94"/>
      <c r="P18" s="94"/>
      <c r="Q18" s="94"/>
      <c r="R18" s="93"/>
      <c r="S18" s="92"/>
      <c r="T18" s="94"/>
      <c r="U18" s="94"/>
      <c r="V18" s="94"/>
      <c r="W18" s="94"/>
      <c r="X18" s="94"/>
      <c r="Y18" s="94"/>
      <c r="Z18" s="94"/>
      <c r="AA18" s="94"/>
      <c r="AB18" s="94"/>
      <c r="AC18" s="94"/>
      <c r="AD18" s="94"/>
      <c r="AE18" s="95"/>
      <c r="AF18" s="92"/>
      <c r="AG18" s="94"/>
      <c r="AH18" s="94"/>
      <c r="AI18" s="94"/>
      <c r="AJ18" s="94"/>
      <c r="AK18" s="95"/>
      <c r="AL18" s="94"/>
      <c r="AM18" s="94"/>
      <c r="AN18" s="94"/>
      <c r="AO18" s="94"/>
      <c r="AP18" s="94"/>
      <c r="AQ18" s="94"/>
      <c r="AR18" s="94"/>
      <c r="AS18" s="94"/>
      <c r="AT18" s="94"/>
      <c r="AU18" s="94"/>
      <c r="AV18" s="94"/>
      <c r="AW18" s="94"/>
      <c r="AX18" s="94"/>
      <c r="AY18" s="94"/>
      <c r="AZ18" s="94"/>
      <c r="BA18" s="94"/>
      <c r="BB18" s="94"/>
      <c r="BC18" s="94"/>
      <c r="BD18" s="94"/>
      <c r="BE18" s="94"/>
      <c r="BF18" s="94"/>
      <c r="BG18" s="94"/>
      <c r="BH18" s="94"/>
      <c r="BI18" s="94"/>
      <c r="BJ18" s="94"/>
      <c r="BK18" s="94"/>
      <c r="BL18" s="94"/>
      <c r="BM18" s="94"/>
      <c r="BN18" s="94"/>
      <c r="BO18" s="94"/>
      <c r="BP18" s="94"/>
      <c r="BQ18" s="94"/>
      <c r="BR18" s="94"/>
      <c r="BS18" s="94"/>
      <c r="BT18" s="94"/>
      <c r="BU18" s="94"/>
      <c r="BV18" s="94"/>
      <c r="BW18" s="94"/>
      <c r="BX18" s="94"/>
      <c r="BY18" s="94"/>
      <c r="BZ18" s="94"/>
      <c r="CA18" s="94"/>
      <c r="CB18" s="94"/>
      <c r="CC18" s="94"/>
      <c r="CD18" s="94"/>
      <c r="CE18" s="94"/>
      <c r="CF18" s="94"/>
      <c r="CG18" s="94"/>
      <c r="CH18" s="94"/>
      <c r="CI18" s="94"/>
      <c r="CJ18" s="94"/>
      <c r="CK18" s="94"/>
      <c r="CL18" s="94"/>
      <c r="CM18" s="94"/>
      <c r="CN18" s="94"/>
      <c r="CO18" s="94"/>
      <c r="CP18" s="94"/>
      <c r="CQ18" s="94"/>
      <c r="CR18" s="94"/>
      <c r="CS18" s="94"/>
      <c r="CT18" s="94"/>
      <c r="CU18" s="94"/>
      <c r="CV18" s="94"/>
      <c r="CW18" s="94"/>
      <c r="CX18" s="94"/>
      <c r="CY18" s="94"/>
      <c r="CZ18" s="94"/>
      <c r="DA18" s="94"/>
      <c r="DB18" s="94"/>
      <c r="DC18" s="94"/>
      <c r="DD18" s="94"/>
      <c r="DE18" s="94"/>
      <c r="DF18" s="94"/>
      <c r="DG18" s="94"/>
      <c r="DH18" s="94"/>
      <c r="DI18" s="94"/>
      <c r="DJ18" s="94"/>
      <c r="DK18" s="94"/>
      <c r="DL18" s="94"/>
      <c r="DM18" s="94"/>
      <c r="DN18" s="94"/>
      <c r="DO18" s="94"/>
      <c r="DP18" s="94"/>
      <c r="DQ18" s="94"/>
      <c r="DR18" s="94"/>
      <c r="DS18" s="94"/>
      <c r="DT18" s="94"/>
      <c r="DU18" s="94"/>
      <c r="DV18" s="94"/>
      <c r="DW18" s="94"/>
      <c r="DX18" s="94"/>
      <c r="DY18" s="94"/>
      <c r="DZ18" s="94"/>
      <c r="EA18" s="94"/>
      <c r="EB18" s="94"/>
      <c r="EC18" s="94"/>
      <c r="ED18" s="94"/>
      <c r="EE18" s="94"/>
      <c r="EF18" s="94"/>
      <c r="EG18" s="94"/>
      <c r="EH18" s="94"/>
      <c r="EI18" s="94"/>
      <c r="EJ18" s="94"/>
      <c r="EK18" s="94"/>
      <c r="EL18" s="94"/>
      <c r="EM18" s="94"/>
      <c r="EN18" s="94"/>
      <c r="EO18" s="94"/>
      <c r="EP18" s="94"/>
      <c r="EQ18" s="94"/>
      <c r="ER18" s="94"/>
      <c r="ES18" s="94"/>
      <c r="ET18" s="94"/>
      <c r="EU18" s="94"/>
      <c r="EV18" s="94"/>
      <c r="EW18" s="94"/>
      <c r="EX18" s="94"/>
      <c r="EY18" s="94"/>
      <c r="EZ18" s="94"/>
      <c r="FA18" s="94"/>
      <c r="FB18" s="94"/>
      <c r="FC18" s="94"/>
      <c r="FD18" s="94"/>
      <c r="FE18" s="94"/>
      <c r="FF18" s="94"/>
      <c r="FG18" s="94"/>
      <c r="FH18" s="94"/>
      <c r="FI18" s="94"/>
      <c r="FJ18" s="94"/>
      <c r="FK18" s="94"/>
      <c r="FL18" s="94"/>
      <c r="FM18" s="94"/>
      <c r="FN18" s="94"/>
      <c r="FO18" s="94"/>
      <c r="FP18" s="94"/>
      <c r="FQ18" s="94"/>
      <c r="FR18" s="94"/>
      <c r="FS18" s="94"/>
      <c r="FT18" s="94"/>
      <c r="FU18" s="94"/>
      <c r="FV18" s="94"/>
      <c r="FW18" s="94"/>
      <c r="FX18" s="94"/>
      <c r="FY18" s="94"/>
      <c r="FZ18" s="94"/>
      <c r="GA18" s="94"/>
      <c r="GB18" s="94"/>
      <c r="GC18" s="94"/>
      <c r="GD18" s="94"/>
      <c r="GE18" s="94"/>
      <c r="GF18" s="94"/>
      <c r="GG18" s="94"/>
      <c r="GH18" s="94"/>
      <c r="GI18" s="94"/>
      <c r="GJ18" s="94"/>
      <c r="GK18" s="94"/>
      <c r="GL18" s="94"/>
      <c r="GM18" s="94"/>
      <c r="GN18" s="94"/>
      <c r="GO18" s="94"/>
      <c r="GP18" s="94"/>
      <c r="GQ18" s="94"/>
      <c r="GR18" s="94"/>
      <c r="GS18" s="94"/>
      <c r="GT18" s="94"/>
      <c r="GU18" s="94"/>
      <c r="GV18" s="94"/>
      <c r="GW18" s="94"/>
      <c r="GX18" s="94"/>
      <c r="GY18" s="94"/>
      <c r="GZ18" s="94"/>
      <c r="HA18" s="94"/>
      <c r="HB18" s="94"/>
      <c r="HC18" s="94"/>
      <c r="HD18" s="94"/>
      <c r="HE18" s="94"/>
      <c r="HF18" s="94"/>
      <c r="HG18" s="94"/>
      <c r="HH18" s="94"/>
      <c r="HI18" s="94"/>
      <c r="HJ18" s="94"/>
      <c r="HK18" s="94"/>
      <c r="HL18" s="94"/>
      <c r="HM18" s="94"/>
      <c r="HN18" s="94"/>
      <c r="HO18" s="94"/>
      <c r="HP18" s="94"/>
      <c r="HQ18" s="94"/>
      <c r="HR18" s="94"/>
      <c r="HS18" s="94"/>
      <c r="HT18" s="94"/>
      <c r="HU18" s="94"/>
      <c r="HV18" s="94"/>
      <c r="HW18" s="94"/>
      <c r="HX18" s="94"/>
      <c r="HY18" s="94"/>
      <c r="HZ18" s="94"/>
      <c r="IA18" s="94"/>
      <c r="IB18" s="94"/>
      <c r="IC18" s="94"/>
      <c r="ID18" s="94"/>
      <c r="IE18" s="94"/>
      <c r="IF18" s="94"/>
      <c r="IG18" s="94"/>
      <c r="IH18" s="94"/>
      <c r="II18" s="94"/>
      <c r="IJ18" s="94"/>
      <c r="IK18" s="94"/>
      <c r="IL18" s="94"/>
      <c r="IM18" s="94"/>
      <c r="IN18" s="94"/>
      <c r="IO18" s="94"/>
    </row>
    <row r="19" spans="2:249">
      <c r="B19" s="244" t="s">
        <v>554</v>
      </c>
      <c r="C19" s="62" t="s">
        <v>555</v>
      </c>
      <c r="D19" s="96" t="s">
        <v>360</v>
      </c>
      <c r="E19" s="70"/>
      <c r="F19" s="71"/>
      <c r="G19" s="87" t="s">
        <v>360</v>
      </c>
      <c r="H19" s="87" t="s">
        <v>360</v>
      </c>
      <c r="I19" s="87" t="s">
        <v>360</v>
      </c>
      <c r="J19" s="87" t="s">
        <v>360</v>
      </c>
      <c r="K19" s="87" t="s">
        <v>360</v>
      </c>
      <c r="L19" s="87" t="s">
        <v>360</v>
      </c>
      <c r="M19" s="166" t="s">
        <v>360</v>
      </c>
      <c r="N19" s="88" t="s">
        <v>360</v>
      </c>
      <c r="O19" s="87" t="s">
        <v>360</v>
      </c>
      <c r="P19" s="87" t="s">
        <v>360</v>
      </c>
      <c r="Q19" s="87" t="s">
        <v>360</v>
      </c>
      <c r="R19" s="166" t="s">
        <v>360</v>
      </c>
      <c r="S19" s="70" t="s">
        <v>360</v>
      </c>
      <c r="T19" s="72" t="s">
        <v>360</v>
      </c>
      <c r="U19" s="72" t="s">
        <v>360</v>
      </c>
      <c r="V19" s="72" t="s">
        <v>360</v>
      </c>
      <c r="W19" s="72" t="s">
        <v>360</v>
      </c>
      <c r="X19" s="72" t="s">
        <v>360</v>
      </c>
      <c r="Y19" s="72" t="s">
        <v>360</v>
      </c>
      <c r="Z19" s="72" t="s">
        <v>360</v>
      </c>
      <c r="AA19" s="72" t="s">
        <v>360</v>
      </c>
      <c r="AB19" s="72" t="s">
        <v>360</v>
      </c>
      <c r="AC19" s="72" t="s">
        <v>360</v>
      </c>
      <c r="AD19" s="72" t="s">
        <v>360</v>
      </c>
      <c r="AE19" s="73" t="s">
        <v>360</v>
      </c>
      <c r="AF19" s="88" t="s">
        <v>360</v>
      </c>
      <c r="AG19" s="87" t="s">
        <v>360</v>
      </c>
      <c r="AH19" s="87" t="s">
        <v>360</v>
      </c>
      <c r="AI19" s="87" t="s">
        <v>360</v>
      </c>
      <c r="AJ19" s="87" t="s">
        <v>360</v>
      </c>
      <c r="AK19" s="222" t="s">
        <v>360</v>
      </c>
      <c r="AL19" s="72" t="s">
        <v>360</v>
      </c>
      <c r="AM19" s="72"/>
      <c r="AN19" s="72"/>
      <c r="AO19" s="72" t="s">
        <v>360</v>
      </c>
      <c r="AP19" s="72" t="s">
        <v>360</v>
      </c>
      <c r="AQ19" s="72" t="s">
        <v>360</v>
      </c>
      <c r="AR19" s="72" t="s">
        <v>360</v>
      </c>
      <c r="AS19" s="72" t="s">
        <v>360</v>
      </c>
      <c r="AT19" s="72" t="s">
        <v>360</v>
      </c>
      <c r="AU19" s="72"/>
      <c r="AV19" s="72"/>
      <c r="AW19" s="72" t="s">
        <v>360</v>
      </c>
      <c r="AX19" s="72" t="s">
        <v>360</v>
      </c>
      <c r="AY19" s="72" t="s">
        <v>360</v>
      </c>
      <c r="AZ19" s="72" t="s">
        <v>360</v>
      </c>
      <c r="BA19" s="72" t="s">
        <v>360</v>
      </c>
      <c r="BB19" s="72" t="s">
        <v>360</v>
      </c>
      <c r="BC19" s="72" t="s">
        <v>360</v>
      </c>
      <c r="BD19" s="72"/>
      <c r="BE19" s="72"/>
      <c r="BF19" s="72" t="s">
        <v>360</v>
      </c>
      <c r="BG19" s="72" t="s">
        <v>360</v>
      </c>
      <c r="BH19" s="72" t="s">
        <v>360</v>
      </c>
      <c r="BI19" s="72" t="s">
        <v>360</v>
      </c>
      <c r="BJ19" s="72" t="s">
        <v>360</v>
      </c>
      <c r="BK19" s="72" t="s">
        <v>360</v>
      </c>
      <c r="BL19" s="72" t="s">
        <v>360</v>
      </c>
      <c r="BM19" s="72"/>
      <c r="BN19" s="72"/>
      <c r="BO19" s="72" t="s">
        <v>360</v>
      </c>
      <c r="BP19" s="72" t="s">
        <v>360</v>
      </c>
      <c r="BQ19" s="72" t="s">
        <v>360</v>
      </c>
      <c r="BR19" s="72" t="s">
        <v>360</v>
      </c>
      <c r="BS19" s="72" t="s">
        <v>360</v>
      </c>
      <c r="BT19" s="72" t="s">
        <v>360</v>
      </c>
      <c r="BU19" s="72" t="s">
        <v>360</v>
      </c>
      <c r="BV19" s="72"/>
      <c r="BW19" s="72"/>
      <c r="BX19" s="72" t="s">
        <v>360</v>
      </c>
      <c r="BY19" s="72" t="s">
        <v>360</v>
      </c>
      <c r="BZ19" s="72" t="s">
        <v>360</v>
      </c>
      <c r="CA19" s="72" t="s">
        <v>360</v>
      </c>
      <c r="CB19" s="72" t="s">
        <v>360</v>
      </c>
      <c r="CC19" s="72" t="s">
        <v>360</v>
      </c>
      <c r="CD19" s="72" t="s">
        <v>360</v>
      </c>
      <c r="CE19" s="87"/>
      <c r="CF19" s="87"/>
      <c r="CG19" s="87"/>
      <c r="CH19" s="87"/>
      <c r="CI19" s="87"/>
      <c r="CJ19" s="87"/>
      <c r="CK19" s="87"/>
      <c r="CL19" s="87"/>
      <c r="CM19" s="87"/>
      <c r="CN19" s="87"/>
      <c r="CO19" s="87"/>
      <c r="CP19" s="87"/>
      <c r="CQ19" s="87"/>
      <c r="CR19" s="87"/>
      <c r="CS19" s="87"/>
      <c r="CT19" s="87"/>
      <c r="CU19" s="87"/>
      <c r="CV19" s="87"/>
      <c r="CW19" s="87"/>
      <c r="CX19" s="87"/>
      <c r="CY19" s="87"/>
      <c r="CZ19" s="87"/>
      <c r="DA19" s="87"/>
      <c r="DB19" s="87"/>
      <c r="DC19" s="87"/>
      <c r="DD19" s="87"/>
      <c r="DE19" s="87"/>
      <c r="DF19" s="87"/>
      <c r="DG19" s="87"/>
      <c r="DH19" s="87"/>
      <c r="DI19" s="87"/>
      <c r="DJ19" s="87"/>
      <c r="DK19" s="87"/>
      <c r="DL19" s="87"/>
      <c r="DM19" s="87"/>
      <c r="DN19" s="87"/>
      <c r="DO19" s="87"/>
      <c r="DP19" s="87"/>
      <c r="DQ19" s="87"/>
      <c r="DR19" s="87"/>
      <c r="DS19" s="87"/>
      <c r="DT19" s="87"/>
      <c r="DU19" s="87"/>
      <c r="DV19" s="87"/>
      <c r="DW19" s="87"/>
      <c r="DX19" s="87"/>
      <c r="DY19" s="87"/>
      <c r="DZ19" s="87"/>
      <c r="EA19" s="87"/>
      <c r="EB19" s="87"/>
      <c r="EC19" s="87"/>
      <c r="ED19" s="87"/>
      <c r="EE19" s="87"/>
      <c r="EF19" s="87"/>
      <c r="EG19" s="87"/>
      <c r="EH19" s="87"/>
      <c r="EI19" s="87"/>
      <c r="EJ19" s="87"/>
      <c r="EK19" s="87"/>
      <c r="EL19" s="87"/>
      <c r="EM19" s="87"/>
      <c r="EN19" s="87"/>
      <c r="EO19" s="87"/>
      <c r="EP19" s="87"/>
      <c r="EQ19" s="87"/>
      <c r="ER19" s="87"/>
      <c r="ES19" s="87"/>
      <c r="ET19" s="87"/>
      <c r="EU19" s="87"/>
      <c r="EV19" s="87"/>
      <c r="EW19" s="87"/>
      <c r="EX19" s="87"/>
      <c r="EY19" s="87"/>
      <c r="EZ19" s="87"/>
      <c r="FA19" s="87"/>
      <c r="FB19" s="87"/>
      <c r="FC19" s="87"/>
      <c r="FD19" s="87"/>
      <c r="FE19" s="87"/>
      <c r="FF19" s="87"/>
      <c r="FG19" s="87"/>
      <c r="FH19" s="87"/>
      <c r="FI19" s="87"/>
      <c r="FJ19" s="87"/>
      <c r="FK19" s="87"/>
      <c r="FL19" s="87"/>
      <c r="FM19" s="87"/>
      <c r="FN19" s="87"/>
      <c r="FO19" s="87"/>
      <c r="FP19" s="87"/>
      <c r="FQ19" s="87"/>
      <c r="FR19" s="87"/>
      <c r="FS19" s="87"/>
      <c r="FT19" s="87"/>
      <c r="FU19" s="87"/>
      <c r="FV19" s="87"/>
      <c r="FW19" s="87"/>
      <c r="FX19" s="87"/>
      <c r="FY19" s="87"/>
      <c r="FZ19" s="87"/>
      <c r="GA19" s="87"/>
      <c r="GB19" s="87"/>
      <c r="GC19" s="87"/>
      <c r="GD19" s="87"/>
      <c r="GE19" s="87"/>
      <c r="GF19" s="87"/>
      <c r="GG19" s="87"/>
      <c r="GH19" s="87"/>
      <c r="GI19" s="87"/>
      <c r="GJ19" s="87"/>
      <c r="GK19" s="87"/>
      <c r="GL19" s="87"/>
      <c r="GM19" s="87"/>
      <c r="GN19" s="87"/>
      <c r="GO19" s="87"/>
      <c r="GP19" s="87"/>
      <c r="GQ19" s="87"/>
      <c r="GR19" s="87"/>
      <c r="GS19" s="87"/>
      <c r="GT19" s="87"/>
      <c r="GU19" s="87"/>
      <c r="GV19" s="87"/>
      <c r="GW19" s="87"/>
      <c r="GX19" s="87"/>
      <c r="GY19" s="87"/>
      <c r="GZ19" s="87"/>
      <c r="HA19" s="87"/>
      <c r="HB19" s="87"/>
      <c r="HC19" s="87"/>
      <c r="HD19" s="87"/>
      <c r="HE19" s="87"/>
      <c r="HF19" s="87"/>
      <c r="HG19" s="87"/>
      <c r="HH19" s="87"/>
      <c r="HI19" s="87"/>
      <c r="HJ19" s="87"/>
      <c r="HK19" s="87"/>
      <c r="HL19" s="87"/>
      <c r="HM19" s="87"/>
      <c r="HN19" s="87"/>
      <c r="HO19" s="87"/>
      <c r="HP19" s="87"/>
      <c r="HQ19" s="87"/>
      <c r="HR19" s="87"/>
      <c r="HS19" s="87"/>
      <c r="HT19" s="87"/>
      <c r="HU19" s="87"/>
      <c r="HV19" s="87"/>
      <c r="HW19" s="87"/>
      <c r="HX19" s="87"/>
      <c r="HY19" s="87"/>
      <c r="HZ19" s="87"/>
      <c r="IA19" s="87"/>
      <c r="IB19" s="87"/>
      <c r="IC19" s="87"/>
      <c r="ID19" s="87"/>
      <c r="IE19" s="87"/>
      <c r="IF19" s="87"/>
      <c r="IG19" s="87"/>
      <c r="IH19" s="87"/>
      <c r="II19" s="87"/>
      <c r="IJ19" s="87"/>
      <c r="IK19" s="87"/>
      <c r="IL19" s="87"/>
      <c r="IM19" s="87"/>
      <c r="IN19" s="87"/>
      <c r="IO19" s="87"/>
    </row>
    <row r="20" spans="2:249">
      <c r="B20" s="245"/>
      <c r="C20" s="68" t="s">
        <v>556</v>
      </c>
      <c r="D20" s="69"/>
      <c r="E20" s="97" t="s">
        <v>360</v>
      </c>
      <c r="F20" s="71"/>
      <c r="G20" s="72"/>
      <c r="H20" s="72"/>
      <c r="I20" s="72"/>
      <c r="J20" s="72"/>
      <c r="K20" s="72"/>
      <c r="L20" s="72"/>
      <c r="M20" s="71"/>
      <c r="N20" s="70"/>
      <c r="O20" s="72"/>
      <c r="P20" s="72"/>
      <c r="Q20" s="72"/>
      <c r="R20" s="71"/>
      <c r="S20" s="70"/>
      <c r="T20" s="72"/>
      <c r="U20" s="72"/>
      <c r="V20" s="72"/>
      <c r="W20" s="72"/>
      <c r="X20" s="72"/>
      <c r="Y20" s="72"/>
      <c r="Z20" s="72"/>
      <c r="AA20" s="72"/>
      <c r="AB20" s="72"/>
      <c r="AC20" s="72"/>
      <c r="AD20" s="72"/>
      <c r="AE20" s="73"/>
      <c r="AF20" s="70"/>
      <c r="AG20" s="72"/>
      <c r="AH20" s="72"/>
      <c r="AI20" s="72"/>
      <c r="AJ20" s="72"/>
      <c r="AK20" s="73"/>
      <c r="AL20" s="72"/>
      <c r="AM20" s="72" t="s">
        <v>360</v>
      </c>
      <c r="AN20" s="72"/>
      <c r="AO20" s="72"/>
      <c r="AP20" s="72"/>
      <c r="AQ20" s="72"/>
      <c r="AR20" s="72"/>
      <c r="AS20" s="72"/>
      <c r="AT20" s="72"/>
      <c r="AU20" s="72" t="s">
        <v>360</v>
      </c>
      <c r="AV20" s="72"/>
      <c r="AW20" s="72"/>
      <c r="AX20" s="72"/>
      <c r="AY20" s="72"/>
      <c r="AZ20" s="72"/>
      <c r="BA20" s="72"/>
      <c r="BB20" s="72"/>
      <c r="BC20" s="72"/>
      <c r="BD20" s="72" t="s">
        <v>360</v>
      </c>
      <c r="BE20" s="72"/>
      <c r="BF20" s="72"/>
      <c r="BG20" s="72"/>
      <c r="BH20" s="72"/>
      <c r="BI20" s="72"/>
      <c r="BJ20" s="72"/>
      <c r="BK20" s="72"/>
      <c r="BL20" s="72"/>
      <c r="BM20" s="72" t="s">
        <v>360</v>
      </c>
      <c r="BN20" s="72"/>
      <c r="BO20" s="72"/>
      <c r="BP20" s="72"/>
      <c r="BQ20" s="72"/>
      <c r="BR20" s="72"/>
      <c r="BS20" s="72"/>
      <c r="BT20" s="72"/>
      <c r="BU20" s="72"/>
      <c r="BV20" s="72" t="s">
        <v>360</v>
      </c>
      <c r="BW20" s="72"/>
      <c r="BX20" s="72"/>
      <c r="BY20" s="72"/>
      <c r="BZ20" s="72"/>
      <c r="CA20" s="72"/>
      <c r="CB20" s="72"/>
      <c r="CC20" s="72"/>
      <c r="CD20" s="72"/>
      <c r="CE20" s="72"/>
      <c r="CF20" s="72"/>
      <c r="CG20" s="72"/>
      <c r="CH20" s="72"/>
      <c r="CI20" s="72"/>
      <c r="CJ20" s="72"/>
      <c r="CK20" s="72"/>
      <c r="CL20" s="72"/>
      <c r="CM20" s="72"/>
      <c r="CN20" s="72"/>
      <c r="CO20" s="72"/>
      <c r="CP20" s="72"/>
      <c r="CQ20" s="72"/>
      <c r="CR20" s="72"/>
      <c r="CS20" s="72"/>
      <c r="CT20" s="72"/>
      <c r="CU20" s="72"/>
      <c r="CV20" s="72"/>
      <c r="CW20" s="72"/>
      <c r="CX20" s="72"/>
      <c r="CY20" s="72"/>
      <c r="CZ20" s="72"/>
      <c r="DA20" s="72"/>
      <c r="DB20" s="72"/>
      <c r="DC20" s="72"/>
      <c r="DD20" s="72"/>
      <c r="DE20" s="72"/>
      <c r="DF20" s="72"/>
      <c r="DG20" s="72"/>
      <c r="DH20" s="72"/>
      <c r="DI20" s="72"/>
      <c r="DJ20" s="72"/>
      <c r="DK20" s="72"/>
      <c r="DL20" s="72"/>
      <c r="DM20" s="72"/>
      <c r="DN20" s="72"/>
      <c r="DO20" s="72"/>
      <c r="DP20" s="72"/>
      <c r="DQ20" s="72"/>
      <c r="DR20" s="72"/>
      <c r="DS20" s="72"/>
      <c r="DT20" s="72"/>
      <c r="DU20" s="72"/>
      <c r="DV20" s="72"/>
      <c r="DW20" s="72"/>
      <c r="DX20" s="72"/>
      <c r="DY20" s="72"/>
      <c r="DZ20" s="72"/>
      <c r="EA20" s="72"/>
      <c r="EB20" s="72"/>
      <c r="EC20" s="72"/>
      <c r="ED20" s="72"/>
      <c r="EE20" s="72"/>
      <c r="EF20" s="72"/>
      <c r="EG20" s="72"/>
      <c r="EH20" s="72"/>
      <c r="EI20" s="72"/>
      <c r="EJ20" s="72"/>
      <c r="EK20" s="72"/>
      <c r="EL20" s="72"/>
      <c r="EM20" s="72"/>
      <c r="EN20" s="72"/>
      <c r="EO20" s="72"/>
      <c r="EP20" s="72"/>
      <c r="EQ20" s="72"/>
      <c r="ER20" s="72"/>
      <c r="ES20" s="72"/>
      <c r="ET20" s="72"/>
      <c r="EU20" s="72"/>
      <c r="EV20" s="72"/>
      <c r="EW20" s="72"/>
      <c r="EX20" s="72"/>
      <c r="EY20" s="72"/>
      <c r="EZ20" s="72"/>
      <c r="FA20" s="72"/>
      <c r="FB20" s="72"/>
      <c r="FC20" s="72"/>
      <c r="FD20" s="72"/>
      <c r="FE20" s="72"/>
      <c r="FF20" s="72"/>
      <c r="FG20" s="72"/>
      <c r="FH20" s="72"/>
      <c r="FI20" s="72"/>
      <c r="FJ20" s="72"/>
      <c r="FK20" s="72"/>
      <c r="FL20" s="72"/>
      <c r="FM20" s="72"/>
      <c r="FN20" s="72"/>
      <c r="FO20" s="72"/>
      <c r="FP20" s="72"/>
      <c r="FQ20" s="72"/>
      <c r="FR20" s="72"/>
      <c r="FS20" s="72"/>
      <c r="FT20" s="72"/>
      <c r="FU20" s="72"/>
      <c r="FV20" s="72"/>
      <c r="FW20" s="72"/>
      <c r="FX20" s="72"/>
      <c r="FY20" s="72"/>
      <c r="FZ20" s="72"/>
      <c r="GA20" s="72"/>
      <c r="GB20" s="72"/>
      <c r="GC20" s="72"/>
      <c r="GD20" s="72"/>
      <c r="GE20" s="72"/>
      <c r="GF20" s="72"/>
      <c r="GG20" s="72"/>
      <c r="GH20" s="72"/>
      <c r="GI20" s="72"/>
      <c r="GJ20" s="72"/>
      <c r="GK20" s="72"/>
      <c r="GL20" s="72"/>
      <c r="GM20" s="72"/>
      <c r="GN20" s="72"/>
      <c r="GO20" s="72"/>
      <c r="GP20" s="72"/>
      <c r="GQ20" s="72"/>
      <c r="GR20" s="72"/>
      <c r="GS20" s="72"/>
      <c r="GT20" s="72"/>
      <c r="GU20" s="72"/>
      <c r="GV20" s="72"/>
      <c r="GW20" s="72"/>
      <c r="GX20" s="72"/>
      <c r="GY20" s="72"/>
      <c r="GZ20" s="72"/>
      <c r="HA20" s="72"/>
      <c r="HB20" s="72"/>
      <c r="HC20" s="72"/>
      <c r="HD20" s="72"/>
      <c r="HE20" s="72"/>
      <c r="HF20" s="72"/>
      <c r="HG20" s="72"/>
      <c r="HH20" s="72"/>
      <c r="HI20" s="72"/>
      <c r="HJ20" s="72"/>
      <c r="HK20" s="72"/>
      <c r="HL20" s="72"/>
      <c r="HM20" s="72"/>
      <c r="HN20" s="72"/>
      <c r="HO20" s="72"/>
      <c r="HP20" s="72"/>
      <c r="HQ20" s="72"/>
      <c r="HR20" s="72"/>
      <c r="HS20" s="72"/>
      <c r="HT20" s="72"/>
      <c r="HU20" s="72"/>
      <c r="HV20" s="72"/>
      <c r="HW20" s="72"/>
      <c r="HX20" s="72"/>
      <c r="HY20" s="72"/>
      <c r="HZ20" s="72"/>
      <c r="IA20" s="72"/>
      <c r="IB20" s="72"/>
      <c r="IC20" s="72"/>
      <c r="ID20" s="72"/>
      <c r="IE20" s="72"/>
      <c r="IF20" s="72"/>
      <c r="IG20" s="72"/>
      <c r="IH20" s="72"/>
      <c r="II20" s="72"/>
      <c r="IJ20" s="72"/>
      <c r="IK20" s="72"/>
      <c r="IL20" s="72"/>
      <c r="IM20" s="72"/>
      <c r="IN20" s="72"/>
      <c r="IO20" s="72"/>
    </row>
    <row r="21" spans="2:249">
      <c r="B21" s="246"/>
      <c r="C21" s="68" t="s">
        <v>557</v>
      </c>
      <c r="D21" s="69"/>
      <c r="E21" s="70"/>
      <c r="F21" s="98" t="s">
        <v>360</v>
      </c>
      <c r="G21" s="72"/>
      <c r="H21" s="72"/>
      <c r="I21" s="72"/>
      <c r="J21" s="72"/>
      <c r="K21" s="72"/>
      <c r="L21" s="72"/>
      <c r="M21" s="71"/>
      <c r="N21" s="70"/>
      <c r="O21" s="72"/>
      <c r="P21" s="72"/>
      <c r="Q21" s="72"/>
      <c r="R21" s="71"/>
      <c r="S21" s="70"/>
      <c r="T21" s="72"/>
      <c r="U21" s="72"/>
      <c r="V21" s="72"/>
      <c r="W21" s="72"/>
      <c r="X21" s="72"/>
      <c r="Y21" s="72"/>
      <c r="Z21" s="72"/>
      <c r="AA21" s="72"/>
      <c r="AB21" s="72"/>
      <c r="AC21" s="72"/>
      <c r="AD21" s="72"/>
      <c r="AE21" s="73"/>
      <c r="AF21" s="70"/>
      <c r="AG21" s="72"/>
      <c r="AH21" s="72"/>
      <c r="AI21" s="72"/>
      <c r="AJ21" s="72"/>
      <c r="AK21" s="73"/>
      <c r="AL21" s="72"/>
      <c r="AM21" s="72"/>
      <c r="AN21" s="72" t="s">
        <v>360</v>
      </c>
      <c r="AO21" s="72"/>
      <c r="AP21" s="72"/>
      <c r="AQ21" s="72"/>
      <c r="AR21" s="72"/>
      <c r="AS21" s="72"/>
      <c r="AT21" s="72"/>
      <c r="AU21" s="72"/>
      <c r="AV21" s="72" t="s">
        <v>360</v>
      </c>
      <c r="AW21" s="72"/>
      <c r="AX21" s="72"/>
      <c r="AY21" s="72"/>
      <c r="AZ21" s="72"/>
      <c r="BA21" s="72"/>
      <c r="BB21" s="72"/>
      <c r="BC21" s="72"/>
      <c r="BD21" s="72"/>
      <c r="BE21" s="72" t="s">
        <v>360</v>
      </c>
      <c r="BF21" s="72"/>
      <c r="BG21" s="72"/>
      <c r="BH21" s="72"/>
      <c r="BI21" s="72"/>
      <c r="BJ21" s="72"/>
      <c r="BK21" s="72"/>
      <c r="BL21" s="72"/>
      <c r="BM21" s="72"/>
      <c r="BN21" s="72" t="s">
        <v>360</v>
      </c>
      <c r="BO21" s="72"/>
      <c r="BP21" s="72"/>
      <c r="BQ21" s="72"/>
      <c r="BR21" s="72"/>
      <c r="BS21" s="72"/>
      <c r="BT21" s="72"/>
      <c r="BU21" s="72"/>
      <c r="BV21" s="72"/>
      <c r="BW21" s="72" t="s">
        <v>360</v>
      </c>
      <c r="BX21" s="72"/>
      <c r="BY21" s="72"/>
      <c r="BZ21" s="72"/>
      <c r="CA21" s="72"/>
      <c r="CB21" s="72"/>
      <c r="CC21" s="72"/>
      <c r="CD21" s="72"/>
      <c r="CE21" s="72"/>
      <c r="CF21" s="72"/>
      <c r="CG21" s="72"/>
      <c r="CH21" s="72"/>
      <c r="CI21" s="72"/>
      <c r="CJ21" s="72"/>
      <c r="CK21" s="72"/>
      <c r="CL21" s="72"/>
      <c r="CM21" s="72"/>
      <c r="CN21" s="72"/>
      <c r="CO21" s="72"/>
      <c r="CP21" s="72"/>
      <c r="CQ21" s="72"/>
      <c r="CR21" s="72"/>
      <c r="CS21" s="72"/>
      <c r="CT21" s="72"/>
      <c r="CU21" s="72"/>
      <c r="CV21" s="72"/>
      <c r="CW21" s="72"/>
      <c r="CX21" s="72"/>
      <c r="CY21" s="72"/>
      <c r="CZ21" s="72"/>
      <c r="DA21" s="72"/>
      <c r="DB21" s="72"/>
      <c r="DC21" s="72"/>
      <c r="DD21" s="72"/>
      <c r="DE21" s="72"/>
      <c r="DF21" s="72"/>
      <c r="DG21" s="72"/>
      <c r="DH21" s="72"/>
      <c r="DI21" s="72"/>
      <c r="DJ21" s="72"/>
      <c r="DK21" s="72"/>
      <c r="DL21" s="72"/>
      <c r="DM21" s="72"/>
      <c r="DN21" s="72"/>
      <c r="DO21" s="72"/>
      <c r="DP21" s="72"/>
      <c r="DQ21" s="72"/>
      <c r="DR21" s="72"/>
      <c r="DS21" s="72"/>
      <c r="DT21" s="72"/>
      <c r="DU21" s="72"/>
      <c r="DV21" s="72"/>
      <c r="DW21" s="72"/>
      <c r="DX21" s="72"/>
      <c r="DY21" s="72"/>
      <c r="DZ21" s="72"/>
      <c r="EA21" s="72"/>
      <c r="EB21" s="72"/>
      <c r="EC21" s="72"/>
      <c r="ED21" s="72"/>
      <c r="EE21" s="72"/>
      <c r="EF21" s="72"/>
      <c r="EG21" s="72"/>
      <c r="EH21" s="72"/>
      <c r="EI21" s="72"/>
      <c r="EJ21" s="72"/>
      <c r="EK21" s="72"/>
      <c r="EL21" s="72"/>
      <c r="EM21" s="72"/>
      <c r="EN21" s="72"/>
      <c r="EO21" s="72"/>
      <c r="EP21" s="72"/>
      <c r="EQ21" s="72"/>
      <c r="ER21" s="72"/>
      <c r="ES21" s="72"/>
      <c r="ET21" s="72"/>
      <c r="EU21" s="72"/>
      <c r="EV21" s="72"/>
      <c r="EW21" s="72"/>
      <c r="EX21" s="72"/>
      <c r="EY21" s="72"/>
      <c r="EZ21" s="72"/>
      <c r="FA21" s="72"/>
      <c r="FB21" s="72"/>
      <c r="FC21" s="72"/>
      <c r="FD21" s="72"/>
      <c r="FE21" s="72"/>
      <c r="FF21" s="72"/>
      <c r="FG21" s="72"/>
      <c r="FH21" s="72"/>
      <c r="FI21" s="72"/>
      <c r="FJ21" s="72"/>
      <c r="FK21" s="72"/>
      <c r="FL21" s="72"/>
      <c r="FM21" s="72"/>
      <c r="FN21" s="72"/>
      <c r="FO21" s="72"/>
      <c r="FP21" s="72"/>
      <c r="FQ21" s="72"/>
      <c r="FR21" s="72"/>
      <c r="FS21" s="72"/>
      <c r="FT21" s="72"/>
      <c r="FU21" s="72"/>
      <c r="FV21" s="72"/>
      <c r="FW21" s="72"/>
      <c r="FX21" s="72"/>
      <c r="FY21" s="72"/>
      <c r="FZ21" s="72"/>
      <c r="GA21" s="72"/>
      <c r="GB21" s="72"/>
      <c r="GC21" s="72"/>
      <c r="GD21" s="72"/>
      <c r="GE21" s="72"/>
      <c r="GF21" s="72"/>
      <c r="GG21" s="72"/>
      <c r="GH21" s="72"/>
      <c r="GI21" s="72"/>
      <c r="GJ21" s="72"/>
      <c r="GK21" s="72"/>
      <c r="GL21" s="72"/>
      <c r="GM21" s="72"/>
      <c r="GN21" s="72"/>
      <c r="GO21" s="72"/>
      <c r="GP21" s="72"/>
      <c r="GQ21" s="72"/>
      <c r="GR21" s="72"/>
      <c r="GS21" s="72"/>
      <c r="GT21" s="72"/>
      <c r="GU21" s="72"/>
      <c r="GV21" s="72"/>
      <c r="GW21" s="72"/>
      <c r="GX21" s="72"/>
      <c r="GY21" s="72"/>
      <c r="GZ21" s="72"/>
      <c r="HA21" s="72"/>
      <c r="HB21" s="72"/>
      <c r="HC21" s="72"/>
      <c r="HD21" s="72"/>
      <c r="HE21" s="72"/>
      <c r="HF21" s="72"/>
      <c r="HG21" s="72"/>
      <c r="HH21" s="72"/>
      <c r="HI21" s="72"/>
      <c r="HJ21" s="72"/>
      <c r="HK21" s="72"/>
      <c r="HL21" s="72"/>
      <c r="HM21" s="72"/>
      <c r="HN21" s="72"/>
      <c r="HO21" s="72"/>
      <c r="HP21" s="72"/>
      <c r="HQ21" s="72"/>
      <c r="HR21" s="72"/>
      <c r="HS21" s="72"/>
      <c r="HT21" s="72"/>
      <c r="HU21" s="72"/>
      <c r="HV21" s="72"/>
      <c r="HW21" s="72"/>
      <c r="HX21" s="72"/>
      <c r="HY21" s="72"/>
      <c r="HZ21" s="72"/>
      <c r="IA21" s="72"/>
      <c r="IB21" s="72"/>
      <c r="IC21" s="72"/>
      <c r="ID21" s="72"/>
      <c r="IE21" s="72"/>
      <c r="IF21" s="72"/>
      <c r="IG21" s="72"/>
      <c r="IH21" s="72"/>
      <c r="II21" s="72"/>
      <c r="IJ21" s="72"/>
      <c r="IK21" s="72"/>
      <c r="IL21" s="72"/>
      <c r="IM21" s="72"/>
      <c r="IN21" s="72"/>
      <c r="IO21" s="72"/>
    </row>
    <row r="22" spans="2:249">
      <c r="B22" s="59" t="s">
        <v>453</v>
      </c>
      <c r="C22" s="59" t="s">
        <v>558</v>
      </c>
      <c r="D22" s="91"/>
      <c r="E22" s="92"/>
      <c r="F22" s="93"/>
      <c r="G22" s="94"/>
      <c r="H22" s="94"/>
      <c r="I22" s="94"/>
      <c r="J22" s="94"/>
      <c r="K22" s="94"/>
      <c r="L22" s="94"/>
      <c r="M22" s="93"/>
      <c r="N22" s="92"/>
      <c r="O22" s="94"/>
      <c r="P22" s="94"/>
      <c r="Q22" s="94"/>
      <c r="R22" s="93"/>
      <c r="S22" s="92"/>
      <c r="T22" s="94"/>
      <c r="U22" s="94"/>
      <c r="V22" s="94"/>
      <c r="W22" s="94"/>
      <c r="X22" s="94"/>
      <c r="Y22" s="94"/>
      <c r="Z22" s="94"/>
      <c r="AA22" s="94"/>
      <c r="AB22" s="94"/>
      <c r="AC22" s="94"/>
      <c r="AD22" s="94"/>
      <c r="AE22" s="95"/>
      <c r="AF22" s="92"/>
      <c r="AG22" s="94"/>
      <c r="AH22" s="94"/>
      <c r="AI22" s="94"/>
      <c r="AJ22" s="94"/>
      <c r="AK22" s="95"/>
      <c r="AL22" s="94"/>
      <c r="AM22" s="94"/>
      <c r="AN22" s="94"/>
      <c r="AO22" s="94"/>
      <c r="AP22" s="94"/>
      <c r="AQ22" s="94"/>
      <c r="AR22" s="94"/>
      <c r="AS22" s="94"/>
      <c r="AT22" s="94"/>
      <c r="AU22" s="94"/>
      <c r="AV22" s="94"/>
      <c r="AW22" s="94"/>
      <c r="AX22" s="94"/>
      <c r="AY22" s="94"/>
      <c r="AZ22" s="94"/>
      <c r="BA22" s="94"/>
      <c r="BB22" s="94"/>
      <c r="BC22" s="94"/>
      <c r="BD22" s="94"/>
      <c r="BE22" s="94"/>
      <c r="BF22" s="94"/>
      <c r="BG22" s="94"/>
      <c r="BH22" s="94"/>
      <c r="BI22" s="94"/>
      <c r="BJ22" s="94"/>
      <c r="BK22" s="94"/>
      <c r="BL22" s="94"/>
      <c r="BM22" s="94"/>
      <c r="BN22" s="94"/>
      <c r="BO22" s="94"/>
      <c r="BP22" s="94"/>
      <c r="BQ22" s="94"/>
      <c r="BR22" s="94"/>
      <c r="BS22" s="94"/>
      <c r="BT22" s="94"/>
      <c r="BU22" s="94"/>
      <c r="BV22" s="94"/>
      <c r="BW22" s="94"/>
      <c r="BX22" s="94"/>
      <c r="BY22" s="94"/>
      <c r="BZ22" s="94"/>
      <c r="CA22" s="94"/>
      <c r="CB22" s="94"/>
      <c r="CC22" s="94"/>
      <c r="CD22" s="94"/>
      <c r="CE22" s="94"/>
      <c r="CF22" s="94"/>
      <c r="CG22" s="94"/>
      <c r="CH22" s="94"/>
      <c r="CI22" s="94"/>
      <c r="CJ22" s="94"/>
      <c r="CK22" s="94"/>
      <c r="CL22" s="94"/>
      <c r="CM22" s="94"/>
      <c r="CN22" s="94"/>
      <c r="CO22" s="94"/>
      <c r="CP22" s="94"/>
      <c r="CQ22" s="94"/>
      <c r="CR22" s="94"/>
      <c r="CS22" s="94"/>
      <c r="CT22" s="94"/>
      <c r="CU22" s="94"/>
      <c r="CV22" s="94"/>
      <c r="CW22" s="94"/>
      <c r="CX22" s="94"/>
      <c r="CY22" s="94"/>
      <c r="CZ22" s="94"/>
      <c r="DA22" s="94"/>
      <c r="DB22" s="94"/>
      <c r="DC22" s="94"/>
      <c r="DD22" s="94"/>
      <c r="DE22" s="94"/>
      <c r="DF22" s="94"/>
      <c r="DG22" s="94"/>
      <c r="DH22" s="94"/>
      <c r="DI22" s="94"/>
      <c r="DJ22" s="94"/>
      <c r="DK22" s="94"/>
      <c r="DL22" s="94"/>
      <c r="DM22" s="94"/>
      <c r="DN22" s="94"/>
      <c r="DO22" s="94"/>
      <c r="DP22" s="94"/>
      <c r="DQ22" s="94"/>
      <c r="DR22" s="94"/>
      <c r="DS22" s="94"/>
      <c r="DT22" s="94"/>
      <c r="DU22" s="94"/>
      <c r="DV22" s="94"/>
      <c r="DW22" s="94"/>
      <c r="DX22" s="94"/>
      <c r="DY22" s="94"/>
      <c r="DZ22" s="94"/>
      <c r="EA22" s="94"/>
      <c r="EB22" s="94"/>
      <c r="EC22" s="94"/>
      <c r="ED22" s="94"/>
      <c r="EE22" s="94"/>
      <c r="EF22" s="94"/>
      <c r="EG22" s="94"/>
      <c r="EH22" s="94"/>
      <c r="EI22" s="94"/>
      <c r="EJ22" s="94"/>
      <c r="EK22" s="94"/>
      <c r="EL22" s="94"/>
      <c r="EM22" s="94"/>
      <c r="EN22" s="94"/>
      <c r="EO22" s="94"/>
      <c r="EP22" s="94"/>
      <c r="EQ22" s="94"/>
      <c r="ER22" s="94"/>
      <c r="ES22" s="94"/>
      <c r="ET22" s="94"/>
      <c r="EU22" s="94"/>
      <c r="EV22" s="94"/>
      <c r="EW22" s="94"/>
      <c r="EX22" s="94"/>
      <c r="EY22" s="94"/>
      <c r="EZ22" s="94"/>
      <c r="FA22" s="94"/>
      <c r="FB22" s="94"/>
      <c r="FC22" s="94"/>
      <c r="FD22" s="94"/>
      <c r="FE22" s="94"/>
      <c r="FF22" s="94"/>
      <c r="FG22" s="94"/>
      <c r="FH22" s="94"/>
      <c r="FI22" s="94"/>
      <c r="FJ22" s="94"/>
      <c r="FK22" s="94"/>
      <c r="FL22" s="94"/>
      <c r="FM22" s="94"/>
      <c r="FN22" s="94"/>
      <c r="FO22" s="94"/>
      <c r="FP22" s="94"/>
      <c r="FQ22" s="94"/>
      <c r="FR22" s="94"/>
      <c r="FS22" s="94"/>
      <c r="FT22" s="94"/>
      <c r="FU22" s="94"/>
      <c r="FV22" s="94"/>
      <c r="FW22" s="94"/>
      <c r="FX22" s="94"/>
      <c r="FY22" s="94"/>
      <c r="FZ22" s="94"/>
      <c r="GA22" s="94"/>
      <c r="GB22" s="94"/>
      <c r="GC22" s="94"/>
      <c r="GD22" s="94"/>
      <c r="GE22" s="94"/>
      <c r="GF22" s="94"/>
      <c r="GG22" s="94"/>
      <c r="GH22" s="94"/>
      <c r="GI22" s="94"/>
      <c r="GJ22" s="94"/>
      <c r="GK22" s="94"/>
      <c r="GL22" s="94"/>
      <c r="GM22" s="94"/>
      <c r="GN22" s="94"/>
      <c r="GO22" s="94"/>
      <c r="GP22" s="94"/>
      <c r="GQ22" s="94"/>
      <c r="GR22" s="94"/>
      <c r="GS22" s="94"/>
      <c r="GT22" s="94"/>
      <c r="GU22" s="94"/>
      <c r="GV22" s="94"/>
      <c r="GW22" s="94"/>
      <c r="GX22" s="94"/>
      <c r="GY22" s="94"/>
      <c r="GZ22" s="94"/>
      <c r="HA22" s="94"/>
      <c r="HB22" s="94"/>
      <c r="HC22" s="94"/>
      <c r="HD22" s="94"/>
      <c r="HE22" s="94"/>
      <c r="HF22" s="94"/>
      <c r="HG22" s="94"/>
      <c r="HH22" s="94"/>
      <c r="HI22" s="94"/>
      <c r="HJ22" s="94"/>
      <c r="HK22" s="94"/>
      <c r="HL22" s="94"/>
      <c r="HM22" s="94"/>
      <c r="HN22" s="94"/>
      <c r="HO22" s="94"/>
      <c r="HP22" s="94"/>
      <c r="HQ22" s="94"/>
      <c r="HR22" s="94"/>
      <c r="HS22" s="94"/>
      <c r="HT22" s="94"/>
      <c r="HU22" s="94"/>
      <c r="HV22" s="94"/>
      <c r="HW22" s="94"/>
      <c r="HX22" s="94"/>
      <c r="HY22" s="94"/>
      <c r="HZ22" s="94"/>
      <c r="IA22" s="94"/>
      <c r="IB22" s="94"/>
      <c r="IC22" s="94"/>
      <c r="ID22" s="94"/>
      <c r="IE22" s="94"/>
      <c r="IF22" s="94"/>
      <c r="IG22" s="94"/>
      <c r="IH22" s="94"/>
      <c r="II22" s="94"/>
      <c r="IJ22" s="94"/>
      <c r="IK22" s="94"/>
      <c r="IL22" s="94"/>
      <c r="IM22" s="94"/>
      <c r="IN22" s="94"/>
      <c r="IO22" s="94"/>
    </row>
    <row r="23" spans="2:249">
      <c r="B23" s="244" t="s">
        <v>559</v>
      </c>
      <c r="C23" s="62" t="s">
        <v>555</v>
      </c>
      <c r="D23" s="69" t="s">
        <v>360</v>
      </c>
      <c r="E23" s="70" t="s">
        <v>360</v>
      </c>
      <c r="F23" s="71" t="s">
        <v>360</v>
      </c>
      <c r="G23" s="219" t="s">
        <v>360</v>
      </c>
      <c r="H23" s="87" t="s">
        <v>360</v>
      </c>
      <c r="I23" s="87" t="s">
        <v>360</v>
      </c>
      <c r="J23" s="72"/>
      <c r="K23" s="72"/>
      <c r="L23" s="72"/>
      <c r="M23" s="71"/>
      <c r="N23" s="88" t="s">
        <v>360</v>
      </c>
      <c r="O23" s="87" t="s">
        <v>360</v>
      </c>
      <c r="P23" s="87" t="s">
        <v>360</v>
      </c>
      <c r="Q23" s="87" t="s">
        <v>360</v>
      </c>
      <c r="R23" s="166" t="s">
        <v>360</v>
      </c>
      <c r="S23" s="70" t="s">
        <v>360</v>
      </c>
      <c r="T23" s="72" t="s">
        <v>360</v>
      </c>
      <c r="U23" s="72" t="s">
        <v>360</v>
      </c>
      <c r="V23" s="72" t="s">
        <v>360</v>
      </c>
      <c r="W23" s="72" t="s">
        <v>360</v>
      </c>
      <c r="X23" s="72" t="s">
        <v>360</v>
      </c>
      <c r="Y23" s="72" t="s">
        <v>360</v>
      </c>
      <c r="Z23" s="72" t="s">
        <v>360</v>
      </c>
      <c r="AA23" s="72" t="s">
        <v>360</v>
      </c>
      <c r="AB23" s="72" t="s">
        <v>360</v>
      </c>
      <c r="AC23" s="72" t="s">
        <v>360</v>
      </c>
      <c r="AD23" s="72" t="s">
        <v>360</v>
      </c>
      <c r="AE23" s="73" t="s">
        <v>360</v>
      </c>
      <c r="AF23" s="70" t="s">
        <v>360</v>
      </c>
      <c r="AG23" s="72" t="s">
        <v>360</v>
      </c>
      <c r="AH23" s="72" t="s">
        <v>360</v>
      </c>
      <c r="AI23" s="72" t="s">
        <v>360</v>
      </c>
      <c r="AJ23" s="72" t="s">
        <v>360</v>
      </c>
      <c r="AK23" s="73" t="s">
        <v>360</v>
      </c>
      <c r="AL23" s="72" t="s">
        <v>360</v>
      </c>
      <c r="AM23" s="72" t="s">
        <v>360</v>
      </c>
      <c r="AN23" s="72" t="s">
        <v>360</v>
      </c>
      <c r="AO23" s="72"/>
      <c r="AP23" s="72" t="s">
        <v>360</v>
      </c>
      <c r="AQ23" s="72" t="s">
        <v>360</v>
      </c>
      <c r="AR23" s="72" t="s">
        <v>360</v>
      </c>
      <c r="AS23" s="72" t="s">
        <v>360</v>
      </c>
      <c r="AT23" s="72" t="s">
        <v>360</v>
      </c>
      <c r="AU23" s="72" t="s">
        <v>360</v>
      </c>
      <c r="AV23" s="72" t="s">
        <v>360</v>
      </c>
      <c r="AW23" s="72"/>
      <c r="AX23" s="72" t="s">
        <v>360</v>
      </c>
      <c r="AY23" s="72" t="s">
        <v>360</v>
      </c>
      <c r="AZ23" s="72" t="s">
        <v>360</v>
      </c>
      <c r="BA23" s="72" t="s">
        <v>360</v>
      </c>
      <c r="BB23" s="72" t="s">
        <v>360</v>
      </c>
      <c r="BC23" s="72" t="s">
        <v>360</v>
      </c>
      <c r="BD23" s="72" t="s">
        <v>360</v>
      </c>
      <c r="BE23" s="72" t="s">
        <v>360</v>
      </c>
      <c r="BF23" s="72"/>
      <c r="BG23" s="72" t="s">
        <v>360</v>
      </c>
      <c r="BH23" s="72" t="s">
        <v>360</v>
      </c>
      <c r="BI23" s="72" t="s">
        <v>360</v>
      </c>
      <c r="BJ23" s="72" t="s">
        <v>360</v>
      </c>
      <c r="BK23" s="72" t="s">
        <v>360</v>
      </c>
      <c r="BL23" s="72" t="s">
        <v>360</v>
      </c>
      <c r="BM23" s="72" t="s">
        <v>360</v>
      </c>
      <c r="BN23" s="72" t="s">
        <v>360</v>
      </c>
      <c r="BO23" s="72"/>
      <c r="BP23" s="72" t="s">
        <v>360</v>
      </c>
      <c r="BQ23" s="72" t="s">
        <v>360</v>
      </c>
      <c r="BR23" s="72" t="s">
        <v>360</v>
      </c>
      <c r="BS23" s="72" t="s">
        <v>360</v>
      </c>
      <c r="BT23" s="72" t="s">
        <v>360</v>
      </c>
      <c r="BU23" s="72" t="s">
        <v>360</v>
      </c>
      <c r="BV23" s="72" t="s">
        <v>360</v>
      </c>
      <c r="BW23" s="72" t="s">
        <v>360</v>
      </c>
      <c r="BX23" s="72"/>
      <c r="BY23" s="72" t="s">
        <v>360</v>
      </c>
      <c r="BZ23" s="72" t="s">
        <v>360</v>
      </c>
      <c r="CA23" s="72" t="s">
        <v>360</v>
      </c>
      <c r="CB23" s="72" t="s">
        <v>360</v>
      </c>
      <c r="CC23" s="72" t="s">
        <v>360</v>
      </c>
      <c r="CD23" s="72" t="s">
        <v>360</v>
      </c>
      <c r="CE23" s="72"/>
      <c r="CF23" s="72"/>
      <c r="CG23" s="72"/>
      <c r="CH23" s="72"/>
      <c r="CI23" s="72"/>
      <c r="CJ23" s="72"/>
      <c r="CK23" s="72"/>
      <c r="CL23" s="72"/>
      <c r="CM23" s="72"/>
      <c r="CN23" s="72"/>
      <c r="CO23" s="72"/>
      <c r="CP23" s="72"/>
      <c r="CQ23" s="72"/>
      <c r="CR23" s="72"/>
      <c r="CS23" s="72"/>
      <c r="CT23" s="72"/>
      <c r="CU23" s="72"/>
      <c r="CV23" s="72"/>
      <c r="CW23" s="72"/>
      <c r="CX23" s="72"/>
      <c r="CY23" s="72"/>
      <c r="CZ23" s="72"/>
      <c r="DA23" s="72"/>
      <c r="DB23" s="72"/>
      <c r="DC23" s="72"/>
      <c r="DD23" s="72"/>
      <c r="DE23" s="72"/>
      <c r="DF23" s="72"/>
      <c r="DG23" s="72"/>
      <c r="DH23" s="72"/>
      <c r="DI23" s="72"/>
      <c r="DJ23" s="72"/>
      <c r="DK23" s="72"/>
      <c r="DL23" s="72"/>
      <c r="DM23" s="72"/>
      <c r="DN23" s="72"/>
      <c r="DO23" s="72"/>
      <c r="DP23" s="72"/>
      <c r="DQ23" s="72"/>
      <c r="DR23" s="72"/>
      <c r="DS23" s="72"/>
      <c r="DT23" s="72"/>
      <c r="DU23" s="72"/>
      <c r="DV23" s="72"/>
      <c r="DW23" s="72"/>
      <c r="DX23" s="72"/>
      <c r="DY23" s="72"/>
      <c r="DZ23" s="72"/>
      <c r="EA23" s="72"/>
      <c r="EB23" s="72"/>
      <c r="EC23" s="72"/>
      <c r="ED23" s="72"/>
      <c r="EE23" s="72"/>
      <c r="EF23" s="72"/>
      <c r="EG23" s="72"/>
      <c r="EH23" s="72"/>
      <c r="EI23" s="72"/>
      <c r="EJ23" s="72"/>
      <c r="EK23" s="72"/>
      <c r="EL23" s="72"/>
      <c r="EM23" s="72"/>
      <c r="EN23" s="72"/>
      <c r="EO23" s="72"/>
      <c r="EP23" s="72"/>
      <c r="EQ23" s="72"/>
      <c r="ER23" s="72"/>
      <c r="ES23" s="72"/>
      <c r="ET23" s="72"/>
      <c r="EU23" s="72"/>
      <c r="EV23" s="72"/>
      <c r="EW23" s="72"/>
      <c r="EX23" s="72"/>
      <c r="EY23" s="72"/>
      <c r="EZ23" s="72"/>
      <c r="FA23" s="72"/>
      <c r="FB23" s="72"/>
      <c r="FC23" s="72"/>
      <c r="FD23" s="72"/>
      <c r="FE23" s="72"/>
      <c r="FF23" s="72"/>
      <c r="FG23" s="72"/>
      <c r="FH23" s="72"/>
      <c r="FI23" s="72"/>
      <c r="FJ23" s="72"/>
      <c r="FK23" s="72"/>
      <c r="FL23" s="72"/>
      <c r="FM23" s="72"/>
      <c r="FN23" s="72"/>
      <c r="FO23" s="72"/>
      <c r="FP23" s="72"/>
      <c r="FQ23" s="72"/>
      <c r="FR23" s="72"/>
      <c r="FS23" s="72"/>
      <c r="FT23" s="72"/>
      <c r="FU23" s="72"/>
      <c r="FV23" s="72"/>
      <c r="FW23" s="72"/>
      <c r="FX23" s="72"/>
      <c r="FY23" s="72"/>
      <c r="FZ23" s="72"/>
      <c r="GA23" s="72"/>
      <c r="GB23" s="72"/>
      <c r="GC23" s="72"/>
      <c r="GD23" s="72"/>
      <c r="GE23" s="72"/>
      <c r="GF23" s="72"/>
      <c r="GG23" s="72"/>
      <c r="GH23" s="72"/>
      <c r="GI23" s="72"/>
      <c r="GJ23" s="72"/>
      <c r="GK23" s="72"/>
      <c r="GL23" s="72"/>
      <c r="GM23" s="72"/>
      <c r="GN23" s="72"/>
      <c r="GO23" s="72"/>
      <c r="GP23" s="72"/>
      <c r="GQ23" s="72"/>
      <c r="GR23" s="72"/>
      <c r="GS23" s="72"/>
      <c r="GT23" s="72"/>
      <c r="GU23" s="72"/>
      <c r="GV23" s="72"/>
      <c r="GW23" s="72"/>
      <c r="GX23" s="72"/>
      <c r="GY23" s="72"/>
      <c r="GZ23" s="72"/>
      <c r="HA23" s="72"/>
      <c r="HB23" s="72"/>
      <c r="HC23" s="72"/>
      <c r="HD23" s="72"/>
      <c r="HE23" s="72"/>
      <c r="HF23" s="72"/>
      <c r="HG23" s="72"/>
      <c r="HH23" s="72"/>
      <c r="HI23" s="72"/>
      <c r="HJ23" s="72"/>
      <c r="HK23" s="72"/>
      <c r="HL23" s="72"/>
      <c r="HM23" s="72"/>
      <c r="HN23" s="72"/>
      <c r="HO23" s="72"/>
      <c r="HP23" s="72"/>
      <c r="HQ23" s="72"/>
      <c r="HR23" s="72"/>
      <c r="HS23" s="72"/>
      <c r="HT23" s="72"/>
      <c r="HU23" s="72"/>
      <c r="HV23" s="72"/>
      <c r="HW23" s="72"/>
      <c r="HX23" s="72"/>
      <c r="HY23" s="72"/>
      <c r="HZ23" s="72"/>
      <c r="IA23" s="72"/>
      <c r="IB23" s="72"/>
      <c r="IC23" s="72"/>
      <c r="ID23" s="72"/>
      <c r="IE23" s="72"/>
      <c r="IF23" s="72"/>
      <c r="IG23" s="72"/>
      <c r="IH23" s="72"/>
      <c r="II23" s="72"/>
      <c r="IJ23" s="72"/>
      <c r="IK23" s="72"/>
      <c r="IL23" s="72"/>
      <c r="IM23" s="72"/>
      <c r="IN23" s="72"/>
      <c r="IO23" s="72"/>
    </row>
    <row r="24" spans="2:249">
      <c r="B24" s="246"/>
      <c r="C24" s="68" t="s">
        <v>557</v>
      </c>
      <c r="D24" s="69"/>
      <c r="E24" s="70"/>
      <c r="F24" s="71"/>
      <c r="G24" s="87"/>
      <c r="H24" s="72"/>
      <c r="I24" s="72"/>
      <c r="J24" s="99" t="s">
        <v>360</v>
      </c>
      <c r="K24" s="87" t="s">
        <v>360</v>
      </c>
      <c r="L24" s="87" t="s">
        <v>360</v>
      </c>
      <c r="M24" s="166" t="s">
        <v>360</v>
      </c>
      <c r="N24" s="70"/>
      <c r="O24" s="72"/>
      <c r="P24" s="72"/>
      <c r="Q24" s="72"/>
      <c r="R24" s="71"/>
      <c r="S24" s="70"/>
      <c r="T24" s="72"/>
      <c r="U24" s="72"/>
      <c r="V24" s="72"/>
      <c r="W24" s="72"/>
      <c r="X24" s="72"/>
      <c r="Y24" s="72"/>
      <c r="Z24" s="72"/>
      <c r="AA24" s="72"/>
      <c r="AB24" s="72"/>
      <c r="AC24" s="72"/>
      <c r="AD24" s="72"/>
      <c r="AE24" s="73"/>
      <c r="AF24" s="70"/>
      <c r="AG24" s="72"/>
      <c r="AH24" s="72"/>
      <c r="AI24" s="72"/>
      <c r="AJ24" s="72"/>
      <c r="AK24" s="73"/>
      <c r="AL24" s="72"/>
      <c r="AM24" s="72"/>
      <c r="AN24" s="72"/>
      <c r="AO24" s="72" t="s">
        <v>360</v>
      </c>
      <c r="AP24" s="72"/>
      <c r="AQ24" s="72"/>
      <c r="AR24" s="72"/>
      <c r="AS24" s="72"/>
      <c r="AT24" s="72"/>
      <c r="AU24" s="72"/>
      <c r="AV24" s="72"/>
      <c r="AW24" s="72" t="s">
        <v>360</v>
      </c>
      <c r="AX24" s="72"/>
      <c r="AY24" s="72"/>
      <c r="AZ24" s="72"/>
      <c r="BA24" s="72"/>
      <c r="BB24" s="72"/>
      <c r="BC24" s="72"/>
      <c r="BD24" s="72"/>
      <c r="BE24" s="72"/>
      <c r="BF24" s="72" t="s">
        <v>360</v>
      </c>
      <c r="BG24" s="72"/>
      <c r="BH24" s="72"/>
      <c r="BI24" s="72"/>
      <c r="BJ24" s="72"/>
      <c r="BK24" s="72"/>
      <c r="BL24" s="72"/>
      <c r="BM24" s="72"/>
      <c r="BN24" s="72"/>
      <c r="BO24" s="72" t="s">
        <v>360</v>
      </c>
      <c r="BP24" s="72"/>
      <c r="BQ24" s="72"/>
      <c r="BR24" s="72"/>
      <c r="BS24" s="72"/>
      <c r="BT24" s="72"/>
      <c r="BU24" s="72"/>
      <c r="BV24" s="72"/>
      <c r="BW24" s="72"/>
      <c r="BX24" s="72" t="s">
        <v>360</v>
      </c>
      <c r="BY24" s="72"/>
      <c r="BZ24" s="72"/>
      <c r="CA24" s="72"/>
      <c r="CB24" s="72"/>
      <c r="CC24" s="72"/>
      <c r="CD24" s="72"/>
      <c r="CE24" s="72"/>
      <c r="CF24" s="72"/>
      <c r="CG24" s="72"/>
      <c r="CH24" s="72"/>
      <c r="CI24" s="72"/>
      <c r="CJ24" s="72"/>
      <c r="CK24" s="72"/>
      <c r="CL24" s="72"/>
      <c r="CM24" s="72"/>
      <c r="CN24" s="72"/>
      <c r="CO24" s="72"/>
      <c r="CP24" s="72"/>
      <c r="CQ24" s="72"/>
      <c r="CR24" s="72"/>
      <c r="CS24" s="72"/>
      <c r="CT24" s="72"/>
      <c r="CU24" s="72"/>
      <c r="CV24" s="72"/>
      <c r="CW24" s="72"/>
      <c r="CX24" s="72"/>
      <c r="CY24" s="72"/>
      <c r="CZ24" s="72"/>
      <c r="DA24" s="72"/>
      <c r="DB24" s="72"/>
      <c r="DC24" s="72"/>
      <c r="DD24" s="72"/>
      <c r="DE24" s="72"/>
      <c r="DF24" s="72"/>
      <c r="DG24" s="72"/>
      <c r="DH24" s="72"/>
      <c r="DI24" s="72"/>
      <c r="DJ24" s="72"/>
      <c r="DK24" s="72"/>
      <c r="DL24" s="72"/>
      <c r="DM24" s="72"/>
      <c r="DN24" s="72"/>
      <c r="DO24" s="72"/>
      <c r="DP24" s="72"/>
      <c r="DQ24" s="72"/>
      <c r="DR24" s="72"/>
      <c r="DS24" s="72"/>
      <c r="DT24" s="72"/>
      <c r="DU24" s="72"/>
      <c r="DV24" s="72"/>
      <c r="DW24" s="72"/>
      <c r="DX24" s="72"/>
      <c r="DY24" s="72"/>
      <c r="DZ24" s="72"/>
      <c r="EA24" s="72"/>
      <c r="EB24" s="72"/>
      <c r="EC24" s="72"/>
      <c r="ED24" s="72"/>
      <c r="EE24" s="72"/>
      <c r="EF24" s="72"/>
      <c r="EG24" s="72"/>
      <c r="EH24" s="72"/>
      <c r="EI24" s="72"/>
      <c r="EJ24" s="72"/>
      <c r="EK24" s="72"/>
      <c r="EL24" s="72"/>
      <c r="EM24" s="72"/>
      <c r="EN24" s="72"/>
      <c r="EO24" s="72"/>
      <c r="EP24" s="72"/>
      <c r="EQ24" s="72"/>
      <c r="ER24" s="72"/>
      <c r="ES24" s="72"/>
      <c r="ET24" s="72"/>
      <c r="EU24" s="72"/>
      <c r="EV24" s="72"/>
      <c r="EW24" s="72"/>
      <c r="EX24" s="72"/>
      <c r="EY24" s="72"/>
      <c r="EZ24" s="72"/>
      <c r="FA24" s="72"/>
      <c r="FB24" s="72"/>
      <c r="FC24" s="72"/>
      <c r="FD24" s="72"/>
      <c r="FE24" s="72"/>
      <c r="FF24" s="72"/>
      <c r="FG24" s="72"/>
      <c r="FH24" s="72"/>
      <c r="FI24" s="72"/>
      <c r="FJ24" s="72"/>
      <c r="FK24" s="72"/>
      <c r="FL24" s="72"/>
      <c r="FM24" s="72"/>
      <c r="FN24" s="72"/>
      <c r="FO24" s="72"/>
      <c r="FP24" s="72"/>
      <c r="FQ24" s="72"/>
      <c r="FR24" s="72"/>
      <c r="FS24" s="72"/>
      <c r="FT24" s="72"/>
      <c r="FU24" s="72"/>
      <c r="FV24" s="72"/>
      <c r="FW24" s="72"/>
      <c r="FX24" s="72"/>
      <c r="FY24" s="72"/>
      <c r="FZ24" s="72"/>
      <c r="GA24" s="72"/>
      <c r="GB24" s="72"/>
      <c r="GC24" s="72"/>
      <c r="GD24" s="72"/>
      <c r="GE24" s="72"/>
      <c r="GF24" s="72"/>
      <c r="GG24" s="72"/>
      <c r="GH24" s="72"/>
      <c r="GI24" s="72"/>
      <c r="GJ24" s="72"/>
      <c r="GK24" s="72"/>
      <c r="GL24" s="72"/>
      <c r="GM24" s="72"/>
      <c r="GN24" s="72"/>
      <c r="GO24" s="72"/>
      <c r="GP24" s="72"/>
      <c r="GQ24" s="72"/>
      <c r="GR24" s="72"/>
      <c r="GS24" s="72"/>
      <c r="GT24" s="72"/>
      <c r="GU24" s="72"/>
      <c r="GV24" s="72"/>
      <c r="GW24" s="72"/>
      <c r="GX24" s="72"/>
      <c r="GY24" s="72"/>
      <c r="GZ24" s="72"/>
      <c r="HA24" s="72"/>
      <c r="HB24" s="72"/>
      <c r="HC24" s="72"/>
      <c r="HD24" s="72"/>
      <c r="HE24" s="72"/>
      <c r="HF24" s="72"/>
      <c r="HG24" s="72"/>
      <c r="HH24" s="72"/>
      <c r="HI24" s="72"/>
      <c r="HJ24" s="72"/>
      <c r="HK24" s="72"/>
      <c r="HL24" s="72"/>
      <c r="HM24" s="72"/>
      <c r="HN24" s="72"/>
      <c r="HO24" s="72"/>
      <c r="HP24" s="72"/>
      <c r="HQ24" s="72"/>
      <c r="HR24" s="72"/>
      <c r="HS24" s="72"/>
      <c r="HT24" s="72"/>
      <c r="HU24" s="72"/>
      <c r="HV24" s="72"/>
      <c r="HW24" s="72"/>
      <c r="HX24" s="72"/>
      <c r="HY24" s="72"/>
      <c r="HZ24" s="72"/>
      <c r="IA24" s="72"/>
      <c r="IB24" s="72"/>
      <c r="IC24" s="72"/>
      <c r="ID24" s="72"/>
      <c r="IE24" s="72"/>
      <c r="IF24" s="72"/>
      <c r="IG24" s="72"/>
      <c r="IH24" s="72"/>
      <c r="II24" s="72"/>
      <c r="IJ24" s="72"/>
      <c r="IK24" s="72"/>
      <c r="IL24" s="72"/>
      <c r="IM24" s="72"/>
      <c r="IN24" s="72"/>
      <c r="IO24" s="72"/>
    </row>
    <row r="25" spans="2:249">
      <c r="B25" s="59" t="s">
        <v>468</v>
      </c>
      <c r="C25" s="59" t="s">
        <v>567</v>
      </c>
      <c r="D25" s="91"/>
      <c r="E25" s="92"/>
      <c r="F25" s="93"/>
      <c r="G25" s="94"/>
      <c r="H25" s="94"/>
      <c r="I25" s="94"/>
      <c r="J25" s="94"/>
      <c r="K25" s="94"/>
      <c r="L25" s="94"/>
      <c r="M25" s="93"/>
      <c r="N25" s="92"/>
      <c r="O25" s="94"/>
      <c r="P25" s="94"/>
      <c r="Q25" s="94"/>
      <c r="R25" s="93"/>
      <c r="S25" s="92"/>
      <c r="T25" s="94"/>
      <c r="U25" s="94"/>
      <c r="V25" s="94"/>
      <c r="W25" s="94"/>
      <c r="X25" s="94"/>
      <c r="Y25" s="94"/>
      <c r="Z25" s="94"/>
      <c r="AA25" s="94"/>
      <c r="AB25" s="94"/>
      <c r="AC25" s="94"/>
      <c r="AD25" s="94"/>
      <c r="AE25" s="95"/>
      <c r="AF25" s="92"/>
      <c r="AG25" s="94"/>
      <c r="AH25" s="94"/>
      <c r="AI25" s="94"/>
      <c r="AJ25" s="94"/>
      <c r="AK25" s="95"/>
      <c r="AL25" s="94"/>
      <c r="AM25" s="94"/>
      <c r="AN25" s="94"/>
      <c r="AO25" s="94"/>
      <c r="AP25" s="94"/>
      <c r="AQ25" s="94"/>
      <c r="AR25" s="94"/>
      <c r="AS25" s="94"/>
      <c r="AT25" s="94"/>
      <c r="AU25" s="94"/>
      <c r="AV25" s="94"/>
      <c r="AW25" s="94"/>
      <c r="AX25" s="94"/>
      <c r="AY25" s="94"/>
      <c r="AZ25" s="94"/>
      <c r="BA25" s="94"/>
      <c r="BB25" s="94"/>
      <c r="BC25" s="94"/>
      <c r="BD25" s="94"/>
      <c r="BE25" s="94"/>
      <c r="BF25" s="94"/>
      <c r="BG25" s="94"/>
      <c r="BH25" s="94"/>
      <c r="BI25" s="94"/>
      <c r="BJ25" s="94"/>
      <c r="BK25" s="94"/>
      <c r="BL25" s="94"/>
      <c r="BM25" s="94"/>
      <c r="BN25" s="94"/>
      <c r="BO25" s="94"/>
      <c r="BP25" s="94"/>
      <c r="BQ25" s="94"/>
      <c r="BR25" s="94"/>
      <c r="BS25" s="94"/>
      <c r="BT25" s="94"/>
      <c r="BU25" s="94"/>
      <c r="BV25" s="94"/>
      <c r="BW25" s="94"/>
      <c r="BX25" s="94"/>
      <c r="BY25" s="94"/>
      <c r="BZ25" s="94"/>
      <c r="CA25" s="94"/>
      <c r="CB25" s="94"/>
      <c r="CC25" s="94"/>
      <c r="CD25" s="94"/>
      <c r="CE25" s="94"/>
      <c r="CF25" s="94"/>
      <c r="CG25" s="94"/>
      <c r="CH25" s="94"/>
      <c r="CI25" s="94"/>
      <c r="CJ25" s="94"/>
      <c r="CK25" s="94"/>
      <c r="CL25" s="94"/>
      <c r="CM25" s="94"/>
      <c r="CN25" s="94"/>
      <c r="CO25" s="94"/>
      <c r="CP25" s="94"/>
      <c r="CQ25" s="94"/>
      <c r="CR25" s="94"/>
      <c r="CS25" s="94"/>
      <c r="CT25" s="94"/>
      <c r="CU25" s="94"/>
      <c r="CV25" s="94"/>
      <c r="CW25" s="94"/>
      <c r="CX25" s="94"/>
      <c r="CY25" s="94"/>
      <c r="CZ25" s="94"/>
      <c r="DA25" s="94"/>
      <c r="DB25" s="94"/>
      <c r="DC25" s="94"/>
      <c r="DD25" s="94"/>
      <c r="DE25" s="94"/>
      <c r="DF25" s="94"/>
      <c r="DG25" s="94"/>
      <c r="DH25" s="94"/>
      <c r="DI25" s="94"/>
      <c r="DJ25" s="94"/>
      <c r="DK25" s="94"/>
      <c r="DL25" s="94"/>
      <c r="DM25" s="94"/>
      <c r="DN25" s="94"/>
      <c r="DO25" s="94"/>
      <c r="DP25" s="94"/>
      <c r="DQ25" s="94"/>
      <c r="DR25" s="94"/>
      <c r="DS25" s="94"/>
      <c r="DT25" s="94"/>
      <c r="DU25" s="94"/>
      <c r="DV25" s="94"/>
      <c r="DW25" s="94"/>
      <c r="DX25" s="94"/>
      <c r="DY25" s="94"/>
      <c r="DZ25" s="94"/>
      <c r="EA25" s="94"/>
      <c r="EB25" s="94"/>
      <c r="EC25" s="94"/>
      <c r="ED25" s="94"/>
      <c r="EE25" s="94"/>
      <c r="EF25" s="94"/>
      <c r="EG25" s="94"/>
      <c r="EH25" s="94"/>
      <c r="EI25" s="94"/>
      <c r="EJ25" s="94"/>
      <c r="EK25" s="94"/>
      <c r="EL25" s="94"/>
      <c r="EM25" s="94"/>
      <c r="EN25" s="94"/>
      <c r="EO25" s="94"/>
      <c r="EP25" s="94"/>
      <c r="EQ25" s="94"/>
      <c r="ER25" s="94"/>
      <c r="ES25" s="94"/>
      <c r="ET25" s="94"/>
      <c r="EU25" s="94"/>
      <c r="EV25" s="94"/>
      <c r="EW25" s="94"/>
      <c r="EX25" s="94"/>
      <c r="EY25" s="94"/>
      <c r="EZ25" s="94"/>
      <c r="FA25" s="94"/>
      <c r="FB25" s="94"/>
      <c r="FC25" s="94"/>
      <c r="FD25" s="94"/>
      <c r="FE25" s="94"/>
      <c r="FF25" s="94"/>
      <c r="FG25" s="94"/>
      <c r="FH25" s="94"/>
      <c r="FI25" s="94"/>
      <c r="FJ25" s="94"/>
      <c r="FK25" s="94"/>
      <c r="FL25" s="94"/>
      <c r="FM25" s="94"/>
      <c r="FN25" s="94"/>
      <c r="FO25" s="94"/>
      <c r="FP25" s="94"/>
      <c r="FQ25" s="94"/>
      <c r="FR25" s="94"/>
      <c r="FS25" s="94"/>
      <c r="FT25" s="94"/>
      <c r="FU25" s="94"/>
      <c r="FV25" s="94"/>
      <c r="FW25" s="94"/>
      <c r="FX25" s="94"/>
      <c r="FY25" s="94"/>
      <c r="FZ25" s="94"/>
      <c r="GA25" s="94"/>
      <c r="GB25" s="94"/>
      <c r="GC25" s="94"/>
      <c r="GD25" s="94"/>
      <c r="GE25" s="94"/>
      <c r="GF25" s="94"/>
      <c r="GG25" s="94"/>
      <c r="GH25" s="94"/>
      <c r="GI25" s="94"/>
      <c r="GJ25" s="94"/>
      <c r="GK25" s="94"/>
      <c r="GL25" s="94"/>
      <c r="GM25" s="94"/>
      <c r="GN25" s="94"/>
      <c r="GO25" s="94"/>
      <c r="GP25" s="94"/>
      <c r="GQ25" s="94"/>
      <c r="GR25" s="94"/>
      <c r="GS25" s="94"/>
      <c r="GT25" s="94"/>
      <c r="GU25" s="94"/>
      <c r="GV25" s="94"/>
      <c r="GW25" s="94"/>
      <c r="GX25" s="94"/>
      <c r="GY25" s="94"/>
      <c r="GZ25" s="94"/>
      <c r="HA25" s="94"/>
      <c r="HB25" s="94"/>
      <c r="HC25" s="94"/>
      <c r="HD25" s="94"/>
      <c r="HE25" s="94"/>
      <c r="HF25" s="94"/>
      <c r="HG25" s="94"/>
      <c r="HH25" s="94"/>
      <c r="HI25" s="94"/>
      <c r="HJ25" s="94"/>
      <c r="HK25" s="94"/>
      <c r="HL25" s="94"/>
      <c r="HM25" s="94"/>
      <c r="HN25" s="94"/>
      <c r="HO25" s="94"/>
      <c r="HP25" s="94"/>
      <c r="HQ25" s="94"/>
      <c r="HR25" s="94"/>
      <c r="HS25" s="94"/>
      <c r="HT25" s="94"/>
      <c r="HU25" s="94"/>
      <c r="HV25" s="94"/>
      <c r="HW25" s="94"/>
      <c r="HX25" s="94"/>
      <c r="HY25" s="94"/>
      <c r="HZ25" s="94"/>
      <c r="IA25" s="94"/>
      <c r="IB25" s="94"/>
      <c r="IC25" s="94"/>
      <c r="ID25" s="94"/>
      <c r="IE25" s="94"/>
      <c r="IF25" s="94"/>
      <c r="IG25" s="94"/>
      <c r="IH25" s="94"/>
      <c r="II25" s="94"/>
      <c r="IJ25" s="94"/>
      <c r="IK25" s="94"/>
      <c r="IL25" s="94"/>
      <c r="IM25" s="94"/>
      <c r="IN25" s="94"/>
      <c r="IO25" s="94"/>
    </row>
    <row r="26" spans="2:249">
      <c r="B26" s="244" t="s">
        <v>568</v>
      </c>
      <c r="C26" s="68" t="s">
        <v>572</v>
      </c>
      <c r="D26" s="69" t="s">
        <v>360</v>
      </c>
      <c r="E26" s="70" t="s">
        <v>360</v>
      </c>
      <c r="F26" s="71" t="s">
        <v>360</v>
      </c>
      <c r="G26" s="87" t="s">
        <v>360</v>
      </c>
      <c r="H26" s="87" t="s">
        <v>360</v>
      </c>
      <c r="I26" s="87" t="s">
        <v>360</v>
      </c>
      <c r="J26" s="87" t="s">
        <v>360</v>
      </c>
      <c r="K26" s="87" t="s">
        <v>360</v>
      </c>
      <c r="L26" s="87" t="s">
        <v>360</v>
      </c>
      <c r="M26" s="166" t="s">
        <v>360</v>
      </c>
      <c r="N26" s="97" t="s">
        <v>360</v>
      </c>
      <c r="O26" s="72" t="s">
        <v>360</v>
      </c>
      <c r="P26" s="72"/>
      <c r="Q26" s="72"/>
      <c r="R26" s="71"/>
      <c r="S26" s="70" t="s">
        <v>360</v>
      </c>
      <c r="T26" s="72" t="s">
        <v>360</v>
      </c>
      <c r="U26" s="72" t="s">
        <v>360</v>
      </c>
      <c r="V26" s="72" t="s">
        <v>360</v>
      </c>
      <c r="W26" s="72" t="s">
        <v>360</v>
      </c>
      <c r="X26" s="72" t="s">
        <v>360</v>
      </c>
      <c r="Y26" s="72" t="s">
        <v>360</v>
      </c>
      <c r="Z26" s="72" t="s">
        <v>360</v>
      </c>
      <c r="AA26" s="72" t="s">
        <v>360</v>
      </c>
      <c r="AB26" s="72" t="s">
        <v>360</v>
      </c>
      <c r="AC26" s="72" t="s">
        <v>360</v>
      </c>
      <c r="AD26" s="72" t="s">
        <v>360</v>
      </c>
      <c r="AE26" s="73" t="s">
        <v>360</v>
      </c>
      <c r="AF26" s="70" t="s">
        <v>360</v>
      </c>
      <c r="AG26" s="72" t="s">
        <v>360</v>
      </c>
      <c r="AH26" s="72" t="s">
        <v>360</v>
      </c>
      <c r="AI26" s="72" t="s">
        <v>360</v>
      </c>
      <c r="AJ26" s="72" t="s">
        <v>360</v>
      </c>
      <c r="AK26" s="73" t="s">
        <v>360</v>
      </c>
      <c r="AL26" s="72" t="s">
        <v>360</v>
      </c>
      <c r="AM26" s="72" t="s">
        <v>360</v>
      </c>
      <c r="AN26" s="72" t="s">
        <v>360</v>
      </c>
      <c r="AO26" s="72" t="s">
        <v>360</v>
      </c>
      <c r="AP26" s="72"/>
      <c r="AQ26" s="72" t="s">
        <v>360</v>
      </c>
      <c r="AR26" s="72" t="s">
        <v>360</v>
      </c>
      <c r="AS26" s="72" t="s">
        <v>360</v>
      </c>
      <c r="AT26" s="72" t="s">
        <v>360</v>
      </c>
      <c r="AU26" s="72" t="s">
        <v>360</v>
      </c>
      <c r="AV26" s="72" t="s">
        <v>360</v>
      </c>
      <c r="AW26" s="72" t="s">
        <v>360</v>
      </c>
      <c r="AX26" s="72"/>
      <c r="AY26" s="72" t="s">
        <v>360</v>
      </c>
      <c r="AZ26" s="72" t="s">
        <v>360</v>
      </c>
      <c r="BA26" s="72" t="s">
        <v>360</v>
      </c>
      <c r="BB26" s="72" t="s">
        <v>360</v>
      </c>
      <c r="BC26" s="72" t="s">
        <v>360</v>
      </c>
      <c r="BD26" s="72" t="s">
        <v>360</v>
      </c>
      <c r="BE26" s="72" t="s">
        <v>360</v>
      </c>
      <c r="BF26" s="72" t="s">
        <v>360</v>
      </c>
      <c r="BG26" s="72"/>
      <c r="BH26" s="72" t="s">
        <v>360</v>
      </c>
      <c r="BI26" s="72" t="s">
        <v>360</v>
      </c>
      <c r="BJ26" s="72" t="s">
        <v>360</v>
      </c>
      <c r="BK26" s="72" t="s">
        <v>360</v>
      </c>
      <c r="BL26" s="72" t="s">
        <v>360</v>
      </c>
      <c r="BM26" s="72" t="s">
        <v>360</v>
      </c>
      <c r="BN26" s="72" t="s">
        <v>360</v>
      </c>
      <c r="BO26" s="72" t="s">
        <v>360</v>
      </c>
      <c r="BP26" s="72"/>
      <c r="BQ26" s="72" t="s">
        <v>360</v>
      </c>
      <c r="BR26" s="72" t="s">
        <v>360</v>
      </c>
      <c r="BS26" s="72" t="s">
        <v>360</v>
      </c>
      <c r="BT26" s="72" t="s">
        <v>360</v>
      </c>
      <c r="BU26" s="72" t="s">
        <v>360</v>
      </c>
      <c r="BV26" s="72" t="s">
        <v>360</v>
      </c>
      <c r="BW26" s="72" t="s">
        <v>360</v>
      </c>
      <c r="BX26" s="72" t="s">
        <v>360</v>
      </c>
      <c r="BY26" s="72"/>
      <c r="BZ26" s="72" t="s">
        <v>360</v>
      </c>
      <c r="CA26" s="72" t="s">
        <v>360</v>
      </c>
      <c r="CB26" s="72" t="s">
        <v>360</v>
      </c>
      <c r="CC26" s="72" t="s">
        <v>360</v>
      </c>
      <c r="CD26" s="72" t="s">
        <v>360</v>
      </c>
      <c r="CE26" s="72"/>
      <c r="CF26" s="72"/>
      <c r="CG26" s="72"/>
      <c r="CH26" s="72"/>
      <c r="CI26" s="72"/>
      <c r="CJ26" s="72"/>
      <c r="CK26" s="72"/>
      <c r="CL26" s="72"/>
      <c r="CM26" s="72"/>
      <c r="CN26" s="72"/>
      <c r="CO26" s="72"/>
      <c r="CP26" s="72"/>
      <c r="CQ26" s="72"/>
      <c r="CR26" s="72"/>
      <c r="CS26" s="72"/>
      <c r="CT26" s="72"/>
      <c r="CU26" s="72"/>
      <c r="CV26" s="72"/>
      <c r="CW26" s="72"/>
      <c r="CX26" s="72"/>
      <c r="CY26" s="72"/>
      <c r="CZ26" s="72"/>
      <c r="DA26" s="72"/>
      <c r="DB26" s="72"/>
      <c r="DC26" s="72"/>
      <c r="DD26" s="72"/>
      <c r="DE26" s="72"/>
      <c r="DF26" s="72"/>
      <c r="DG26" s="72"/>
      <c r="DH26" s="72"/>
      <c r="DI26" s="72"/>
      <c r="DJ26" s="72"/>
      <c r="DK26" s="72"/>
      <c r="DL26" s="72"/>
      <c r="DM26" s="72"/>
      <c r="DN26" s="72"/>
      <c r="DO26" s="72"/>
      <c r="DP26" s="72"/>
      <c r="DQ26" s="72"/>
      <c r="DR26" s="72"/>
      <c r="DS26" s="72"/>
      <c r="DT26" s="72"/>
      <c r="DU26" s="72"/>
      <c r="DV26" s="72"/>
      <c r="DW26" s="72"/>
      <c r="DX26" s="72"/>
      <c r="DY26" s="72"/>
      <c r="DZ26" s="72"/>
      <c r="EA26" s="72"/>
      <c r="EB26" s="72"/>
      <c r="EC26" s="72"/>
      <c r="ED26" s="72"/>
      <c r="EE26" s="72"/>
      <c r="EF26" s="72"/>
      <c r="EG26" s="72"/>
      <c r="EH26" s="72"/>
      <c r="EI26" s="72"/>
      <c r="EJ26" s="72"/>
      <c r="EK26" s="72"/>
      <c r="EL26" s="72"/>
      <c r="EM26" s="72"/>
      <c r="EN26" s="72"/>
      <c r="EO26" s="72"/>
      <c r="EP26" s="72"/>
      <c r="EQ26" s="72"/>
      <c r="ER26" s="72"/>
      <c r="ES26" s="72"/>
      <c r="ET26" s="72"/>
      <c r="EU26" s="72"/>
      <c r="EV26" s="72"/>
      <c r="EW26" s="72"/>
      <c r="EX26" s="72"/>
      <c r="EY26" s="72"/>
      <c r="EZ26" s="72"/>
      <c r="FA26" s="72"/>
      <c r="FB26" s="72"/>
      <c r="FC26" s="72"/>
      <c r="FD26" s="72"/>
      <c r="FE26" s="72"/>
      <c r="FF26" s="72"/>
      <c r="FG26" s="72"/>
      <c r="FH26" s="72"/>
      <c r="FI26" s="72"/>
      <c r="FJ26" s="72"/>
      <c r="FK26" s="72"/>
      <c r="FL26" s="72"/>
      <c r="FM26" s="72"/>
      <c r="FN26" s="72"/>
      <c r="FO26" s="72"/>
      <c r="FP26" s="72"/>
      <c r="FQ26" s="72"/>
      <c r="FR26" s="72"/>
      <c r="FS26" s="72"/>
      <c r="FT26" s="72"/>
      <c r="FU26" s="72"/>
      <c r="FV26" s="72"/>
      <c r="FW26" s="72"/>
      <c r="FX26" s="72"/>
      <c r="FY26" s="72"/>
      <c r="FZ26" s="72"/>
      <c r="GA26" s="72"/>
      <c r="GB26" s="72"/>
      <c r="GC26" s="72"/>
      <c r="GD26" s="72"/>
      <c r="GE26" s="72"/>
      <c r="GF26" s="72"/>
      <c r="GG26" s="72"/>
      <c r="GH26" s="72"/>
      <c r="GI26" s="72"/>
      <c r="GJ26" s="72"/>
      <c r="GK26" s="72"/>
      <c r="GL26" s="72"/>
      <c r="GM26" s="72"/>
      <c r="GN26" s="72"/>
      <c r="GO26" s="72"/>
      <c r="GP26" s="72"/>
      <c r="GQ26" s="72"/>
      <c r="GR26" s="72"/>
      <c r="GS26" s="72"/>
      <c r="GT26" s="72"/>
      <c r="GU26" s="72"/>
      <c r="GV26" s="72"/>
      <c r="GW26" s="72"/>
      <c r="GX26" s="72"/>
      <c r="GY26" s="72"/>
      <c r="GZ26" s="72"/>
      <c r="HA26" s="72"/>
      <c r="HB26" s="72"/>
      <c r="HC26" s="72"/>
      <c r="HD26" s="72"/>
      <c r="HE26" s="72"/>
      <c r="HF26" s="72"/>
      <c r="HG26" s="72"/>
      <c r="HH26" s="72"/>
      <c r="HI26" s="72"/>
      <c r="HJ26" s="72"/>
      <c r="HK26" s="72"/>
      <c r="HL26" s="72"/>
      <c r="HM26" s="72"/>
      <c r="HN26" s="72"/>
      <c r="HO26" s="72"/>
      <c r="HP26" s="72"/>
      <c r="HQ26" s="72"/>
      <c r="HR26" s="72"/>
      <c r="HS26" s="72"/>
      <c r="HT26" s="72"/>
      <c r="HU26" s="72"/>
      <c r="HV26" s="72"/>
      <c r="HW26" s="72"/>
      <c r="HX26" s="72"/>
      <c r="HY26" s="72"/>
      <c r="HZ26" s="72"/>
      <c r="IA26" s="72"/>
      <c r="IB26" s="72"/>
      <c r="IC26" s="72"/>
      <c r="ID26" s="72"/>
      <c r="IE26" s="72"/>
      <c r="IF26" s="72"/>
      <c r="IG26" s="72"/>
      <c r="IH26" s="72"/>
      <c r="II26" s="72"/>
      <c r="IJ26" s="72"/>
      <c r="IK26" s="72"/>
      <c r="IL26" s="72"/>
      <c r="IM26" s="72"/>
      <c r="IN26" s="72"/>
      <c r="IO26" s="72"/>
    </row>
    <row r="27" spans="2:249">
      <c r="B27" s="246"/>
      <c r="C27" s="68" t="s">
        <v>573</v>
      </c>
      <c r="D27" s="69"/>
      <c r="E27" s="70"/>
      <c r="F27" s="71"/>
      <c r="G27" s="72"/>
      <c r="H27" s="72"/>
      <c r="I27" s="72"/>
      <c r="J27" s="72"/>
      <c r="K27" s="72"/>
      <c r="L27" s="72"/>
      <c r="M27" s="71"/>
      <c r="N27" s="88"/>
      <c r="O27" s="87"/>
      <c r="P27" s="99" t="s">
        <v>360</v>
      </c>
      <c r="Q27" s="72" t="s">
        <v>360</v>
      </c>
      <c r="R27" s="71" t="s">
        <v>360</v>
      </c>
      <c r="S27" s="70"/>
      <c r="T27" s="72"/>
      <c r="U27" s="72"/>
      <c r="V27" s="72"/>
      <c r="W27" s="72"/>
      <c r="X27" s="72"/>
      <c r="Y27" s="72"/>
      <c r="Z27" s="72"/>
      <c r="AA27" s="72"/>
      <c r="AB27" s="72"/>
      <c r="AC27" s="72"/>
      <c r="AD27" s="72"/>
      <c r="AE27" s="73"/>
      <c r="AF27" s="70"/>
      <c r="AG27" s="72"/>
      <c r="AH27" s="72"/>
      <c r="AI27" s="72"/>
      <c r="AJ27" s="72"/>
      <c r="AK27" s="73"/>
      <c r="AL27" s="72"/>
      <c r="AM27" s="72"/>
      <c r="AN27" s="72"/>
      <c r="AO27" s="72"/>
      <c r="AP27" s="72" t="s">
        <v>360</v>
      </c>
      <c r="AQ27" s="72"/>
      <c r="AR27" s="72"/>
      <c r="AS27" s="72"/>
      <c r="AT27" s="72"/>
      <c r="AU27" s="72"/>
      <c r="AV27" s="72"/>
      <c r="AW27" s="72"/>
      <c r="AX27" s="72" t="s">
        <v>360</v>
      </c>
      <c r="AY27" s="72"/>
      <c r="AZ27" s="72"/>
      <c r="BA27" s="72"/>
      <c r="BB27" s="72"/>
      <c r="BC27" s="72"/>
      <c r="BD27" s="72"/>
      <c r="BE27" s="72"/>
      <c r="BF27" s="72"/>
      <c r="BG27" s="72" t="s">
        <v>360</v>
      </c>
      <c r="BH27" s="72"/>
      <c r="BI27" s="72"/>
      <c r="BJ27" s="72"/>
      <c r="BK27" s="72"/>
      <c r="BL27" s="72"/>
      <c r="BM27" s="72"/>
      <c r="BN27" s="72"/>
      <c r="BO27" s="72"/>
      <c r="BP27" s="72" t="s">
        <v>360</v>
      </c>
      <c r="BQ27" s="72"/>
      <c r="BR27" s="72"/>
      <c r="BS27" s="72"/>
      <c r="BT27" s="72"/>
      <c r="BU27" s="72"/>
      <c r="BV27" s="72"/>
      <c r="BW27" s="72"/>
      <c r="BX27" s="72"/>
      <c r="BY27" s="72" t="s">
        <v>360</v>
      </c>
      <c r="BZ27" s="72"/>
      <c r="CA27" s="72"/>
      <c r="CB27" s="72"/>
      <c r="CC27" s="72"/>
      <c r="CD27" s="72"/>
      <c r="CE27" s="72"/>
      <c r="CF27" s="72"/>
      <c r="CG27" s="72"/>
      <c r="CH27" s="72"/>
      <c r="CI27" s="72"/>
      <c r="CJ27" s="72"/>
      <c r="CK27" s="72"/>
      <c r="CL27" s="72"/>
      <c r="CM27" s="72"/>
      <c r="CN27" s="72"/>
      <c r="CO27" s="72"/>
      <c r="CP27" s="72"/>
      <c r="CQ27" s="72"/>
      <c r="CR27" s="72"/>
      <c r="CS27" s="72"/>
      <c r="CT27" s="72"/>
      <c r="CU27" s="72"/>
      <c r="CV27" s="72"/>
      <c r="CW27" s="72"/>
      <c r="CX27" s="72"/>
      <c r="CY27" s="72"/>
      <c r="CZ27" s="72"/>
      <c r="DA27" s="72"/>
      <c r="DB27" s="72"/>
      <c r="DC27" s="72"/>
      <c r="DD27" s="72"/>
      <c r="DE27" s="72"/>
      <c r="DF27" s="72"/>
      <c r="DG27" s="72"/>
      <c r="DH27" s="72"/>
      <c r="DI27" s="72"/>
      <c r="DJ27" s="72"/>
      <c r="DK27" s="72"/>
      <c r="DL27" s="72"/>
      <c r="DM27" s="72"/>
      <c r="DN27" s="72"/>
      <c r="DO27" s="72"/>
      <c r="DP27" s="72"/>
      <c r="DQ27" s="72"/>
      <c r="DR27" s="72"/>
      <c r="DS27" s="72"/>
      <c r="DT27" s="72"/>
      <c r="DU27" s="72"/>
      <c r="DV27" s="72"/>
      <c r="DW27" s="72"/>
      <c r="DX27" s="72"/>
      <c r="DY27" s="72"/>
      <c r="DZ27" s="72"/>
      <c r="EA27" s="72"/>
      <c r="EB27" s="72"/>
      <c r="EC27" s="72"/>
      <c r="ED27" s="72"/>
      <c r="EE27" s="72"/>
      <c r="EF27" s="72"/>
      <c r="EG27" s="72"/>
      <c r="EH27" s="72"/>
      <c r="EI27" s="72"/>
      <c r="EJ27" s="72"/>
      <c r="EK27" s="72"/>
      <c r="EL27" s="72"/>
      <c r="EM27" s="72"/>
      <c r="EN27" s="72"/>
      <c r="EO27" s="72"/>
      <c r="EP27" s="72"/>
      <c r="EQ27" s="72"/>
      <c r="ER27" s="72"/>
      <c r="ES27" s="72"/>
      <c r="ET27" s="72"/>
      <c r="EU27" s="72"/>
      <c r="EV27" s="72"/>
      <c r="EW27" s="72"/>
      <c r="EX27" s="72"/>
      <c r="EY27" s="72"/>
      <c r="EZ27" s="72"/>
      <c r="FA27" s="72"/>
      <c r="FB27" s="72"/>
      <c r="FC27" s="72"/>
      <c r="FD27" s="72"/>
      <c r="FE27" s="72"/>
      <c r="FF27" s="72"/>
      <c r="FG27" s="72"/>
      <c r="FH27" s="72"/>
      <c r="FI27" s="72"/>
      <c r="FJ27" s="72"/>
      <c r="FK27" s="72"/>
      <c r="FL27" s="72"/>
      <c r="FM27" s="72"/>
      <c r="FN27" s="72"/>
      <c r="FO27" s="72"/>
      <c r="FP27" s="72"/>
      <c r="FQ27" s="72"/>
      <c r="FR27" s="72"/>
      <c r="FS27" s="72"/>
      <c r="FT27" s="72"/>
      <c r="FU27" s="72"/>
      <c r="FV27" s="72"/>
      <c r="FW27" s="72"/>
      <c r="FX27" s="72"/>
      <c r="FY27" s="72"/>
      <c r="FZ27" s="72"/>
      <c r="GA27" s="72"/>
      <c r="GB27" s="72"/>
      <c r="GC27" s="72"/>
      <c r="GD27" s="72"/>
      <c r="GE27" s="72"/>
      <c r="GF27" s="72"/>
      <c r="GG27" s="72"/>
      <c r="GH27" s="72"/>
      <c r="GI27" s="72"/>
      <c r="GJ27" s="72"/>
      <c r="GK27" s="72"/>
      <c r="GL27" s="72"/>
      <c r="GM27" s="72"/>
      <c r="GN27" s="72"/>
      <c r="GO27" s="72"/>
      <c r="GP27" s="72"/>
      <c r="GQ27" s="72"/>
      <c r="GR27" s="72"/>
      <c r="GS27" s="72"/>
      <c r="GT27" s="72"/>
      <c r="GU27" s="72"/>
      <c r="GV27" s="72"/>
      <c r="GW27" s="72"/>
      <c r="GX27" s="72"/>
      <c r="GY27" s="72"/>
      <c r="GZ27" s="72"/>
      <c r="HA27" s="72"/>
      <c r="HB27" s="72"/>
      <c r="HC27" s="72"/>
      <c r="HD27" s="72"/>
      <c r="HE27" s="72"/>
      <c r="HF27" s="72"/>
      <c r="HG27" s="72"/>
      <c r="HH27" s="72"/>
      <c r="HI27" s="72"/>
      <c r="HJ27" s="72"/>
      <c r="HK27" s="72"/>
      <c r="HL27" s="72"/>
      <c r="HM27" s="72"/>
      <c r="HN27" s="72"/>
      <c r="HO27" s="72"/>
      <c r="HP27" s="72"/>
      <c r="HQ27" s="72"/>
      <c r="HR27" s="72"/>
      <c r="HS27" s="72"/>
      <c r="HT27" s="72"/>
      <c r="HU27" s="72"/>
      <c r="HV27" s="72"/>
      <c r="HW27" s="72"/>
      <c r="HX27" s="72"/>
      <c r="HY27" s="72"/>
      <c r="HZ27" s="72"/>
      <c r="IA27" s="72"/>
      <c r="IB27" s="72"/>
      <c r="IC27" s="72"/>
      <c r="ID27" s="72"/>
      <c r="IE27" s="72"/>
      <c r="IF27" s="72"/>
      <c r="IG27" s="72"/>
      <c r="IH27" s="72"/>
      <c r="II27" s="72"/>
      <c r="IJ27" s="72"/>
      <c r="IK27" s="72"/>
      <c r="IL27" s="72"/>
      <c r="IM27" s="72"/>
      <c r="IN27" s="72"/>
      <c r="IO27" s="72"/>
    </row>
    <row r="28" spans="2:249">
      <c r="B28" s="79" t="s">
        <v>717</v>
      </c>
      <c r="C28" s="80" t="s">
        <v>564</v>
      </c>
      <c r="D28" s="91"/>
      <c r="E28" s="92"/>
      <c r="F28" s="93"/>
      <c r="G28" s="94"/>
      <c r="H28" s="94"/>
      <c r="I28" s="94"/>
      <c r="J28" s="94"/>
      <c r="K28" s="94"/>
      <c r="L28" s="94"/>
      <c r="M28" s="93"/>
      <c r="N28" s="92"/>
      <c r="O28" s="94"/>
      <c r="P28" s="94"/>
      <c r="Q28" s="94"/>
      <c r="R28" s="93"/>
      <c r="S28" s="92"/>
      <c r="T28" s="94"/>
      <c r="U28" s="94"/>
      <c r="V28" s="94"/>
      <c r="W28" s="94"/>
      <c r="X28" s="94"/>
      <c r="Y28" s="94"/>
      <c r="Z28" s="94"/>
      <c r="AA28" s="94"/>
      <c r="AB28" s="94"/>
      <c r="AC28" s="94"/>
      <c r="AD28" s="94"/>
      <c r="AE28" s="95"/>
      <c r="AF28" s="92"/>
      <c r="AG28" s="94"/>
      <c r="AH28" s="94"/>
      <c r="AI28" s="94"/>
      <c r="AJ28" s="94"/>
      <c r="AK28" s="95"/>
      <c r="AL28" s="84"/>
      <c r="AM28" s="84"/>
      <c r="AN28" s="84"/>
      <c r="AO28" s="84"/>
      <c r="AP28" s="84"/>
      <c r="AQ28" s="84"/>
      <c r="AR28" s="84"/>
      <c r="AS28" s="84"/>
      <c r="AT28" s="84"/>
      <c r="AU28" s="84"/>
      <c r="AV28" s="84"/>
      <c r="AW28" s="84"/>
      <c r="AX28" s="84"/>
      <c r="AY28" s="84"/>
      <c r="AZ28" s="84"/>
      <c r="BA28" s="84"/>
      <c r="BB28" s="84"/>
      <c r="BC28" s="84"/>
      <c r="BD28" s="84"/>
      <c r="BE28" s="84"/>
      <c r="BF28" s="84"/>
      <c r="BG28" s="84"/>
      <c r="BH28" s="84"/>
      <c r="BI28" s="84"/>
      <c r="BJ28" s="84"/>
      <c r="BK28" s="84"/>
      <c r="BL28" s="84"/>
      <c r="BM28" s="84"/>
      <c r="BN28" s="84"/>
      <c r="BO28" s="84"/>
      <c r="BP28" s="84"/>
      <c r="BQ28" s="84"/>
      <c r="BR28" s="84"/>
      <c r="BS28" s="84"/>
      <c r="BT28" s="84"/>
      <c r="BU28" s="84"/>
      <c r="BV28" s="84"/>
      <c r="BW28" s="84"/>
      <c r="BX28" s="84"/>
      <c r="BY28" s="84"/>
      <c r="BZ28" s="84"/>
      <c r="CA28" s="84"/>
      <c r="CB28" s="84"/>
      <c r="CC28" s="84"/>
      <c r="CD28" s="84"/>
      <c r="CE28" s="94"/>
      <c r="CF28" s="94"/>
      <c r="CG28" s="94"/>
      <c r="CH28" s="94"/>
      <c r="CI28" s="94"/>
      <c r="CJ28" s="94"/>
      <c r="CK28" s="94"/>
      <c r="CL28" s="94"/>
      <c r="CM28" s="94"/>
      <c r="CN28" s="94"/>
      <c r="CO28" s="94"/>
      <c r="CP28" s="94"/>
      <c r="CQ28" s="94"/>
      <c r="CR28" s="94"/>
      <c r="CS28" s="94"/>
      <c r="CT28" s="94"/>
      <c r="CU28" s="94"/>
      <c r="CV28" s="94"/>
      <c r="CW28" s="94"/>
      <c r="CX28" s="94"/>
      <c r="CY28" s="94"/>
      <c r="CZ28" s="94"/>
      <c r="DA28" s="94"/>
      <c r="DB28" s="94"/>
      <c r="DC28" s="94"/>
      <c r="DD28" s="94"/>
      <c r="DE28" s="94"/>
      <c r="DF28" s="94"/>
      <c r="DG28" s="94"/>
      <c r="DH28" s="94"/>
      <c r="DI28" s="94"/>
      <c r="DJ28" s="94"/>
      <c r="DK28" s="94"/>
      <c r="DL28" s="94"/>
      <c r="DM28" s="94"/>
      <c r="DN28" s="94"/>
      <c r="DO28" s="94"/>
      <c r="DP28" s="94"/>
      <c r="DQ28" s="94"/>
      <c r="DR28" s="94"/>
      <c r="DS28" s="94"/>
      <c r="DT28" s="94"/>
      <c r="DU28" s="94"/>
      <c r="DV28" s="94"/>
      <c r="DW28" s="94"/>
      <c r="DX28" s="94"/>
      <c r="DY28" s="94"/>
      <c r="DZ28" s="94"/>
      <c r="EA28" s="94"/>
      <c r="EB28" s="94"/>
      <c r="EC28" s="94"/>
      <c r="ED28" s="94"/>
      <c r="EE28" s="94"/>
      <c r="EF28" s="94"/>
      <c r="EG28" s="94"/>
      <c r="EH28" s="94"/>
      <c r="EI28" s="94"/>
      <c r="EJ28" s="94"/>
      <c r="EK28" s="94"/>
      <c r="EL28" s="94"/>
      <c r="EM28" s="94"/>
      <c r="EN28" s="94"/>
      <c r="EO28" s="94"/>
      <c r="EP28" s="94"/>
      <c r="EQ28" s="94"/>
      <c r="ER28" s="94"/>
      <c r="ES28" s="94"/>
      <c r="ET28" s="94"/>
      <c r="EU28" s="94"/>
      <c r="EV28" s="94"/>
      <c r="EW28" s="94"/>
      <c r="EX28" s="94"/>
      <c r="EY28" s="94"/>
      <c r="EZ28" s="94"/>
      <c r="FA28" s="94"/>
      <c r="FB28" s="94"/>
      <c r="FC28" s="94"/>
      <c r="FD28" s="94"/>
      <c r="FE28" s="94"/>
      <c r="FF28" s="94"/>
      <c r="FG28" s="94"/>
      <c r="FH28" s="94"/>
      <c r="FI28" s="94"/>
      <c r="FJ28" s="94"/>
      <c r="FK28" s="94"/>
      <c r="FL28" s="94"/>
      <c r="FM28" s="94"/>
      <c r="FN28" s="94"/>
      <c r="FO28" s="94"/>
      <c r="FP28" s="94"/>
      <c r="FQ28" s="94"/>
      <c r="FR28" s="94"/>
      <c r="FS28" s="94"/>
      <c r="FT28" s="94"/>
      <c r="FU28" s="94"/>
      <c r="FV28" s="94"/>
      <c r="FW28" s="94"/>
      <c r="FX28" s="94"/>
      <c r="FY28" s="94"/>
      <c r="FZ28" s="94"/>
      <c r="GA28" s="94"/>
      <c r="GB28" s="94"/>
      <c r="GC28" s="94"/>
      <c r="GD28" s="94"/>
      <c r="GE28" s="94"/>
      <c r="GF28" s="94"/>
      <c r="GG28" s="94"/>
      <c r="GH28" s="94"/>
      <c r="GI28" s="94"/>
      <c r="GJ28" s="94"/>
      <c r="GK28" s="94"/>
      <c r="GL28" s="94"/>
      <c r="GM28" s="94"/>
      <c r="GN28" s="94"/>
      <c r="GO28" s="94"/>
      <c r="GP28" s="94"/>
      <c r="GQ28" s="94"/>
      <c r="GR28" s="94"/>
      <c r="GS28" s="94"/>
      <c r="GT28" s="94"/>
      <c r="GU28" s="94"/>
      <c r="GV28" s="94"/>
      <c r="GW28" s="94"/>
      <c r="GX28" s="94"/>
      <c r="GY28" s="94"/>
      <c r="GZ28" s="94"/>
      <c r="HA28" s="94"/>
      <c r="HB28" s="94"/>
      <c r="HC28" s="94"/>
      <c r="HD28" s="94"/>
      <c r="HE28" s="94"/>
      <c r="HF28" s="94"/>
      <c r="HG28" s="94"/>
      <c r="HH28" s="94"/>
      <c r="HI28" s="94"/>
      <c r="HJ28" s="94"/>
      <c r="HK28" s="94"/>
      <c r="HL28" s="94"/>
      <c r="HM28" s="94"/>
      <c r="HN28" s="94"/>
      <c r="HO28" s="94"/>
      <c r="HP28" s="94"/>
      <c r="HQ28" s="94"/>
      <c r="HR28" s="94"/>
      <c r="HS28" s="94"/>
      <c r="HT28" s="94"/>
      <c r="HU28" s="94"/>
      <c r="HV28" s="94"/>
      <c r="HW28" s="94"/>
      <c r="HX28" s="94"/>
      <c r="HY28" s="94"/>
      <c r="HZ28" s="94"/>
      <c r="IA28" s="94"/>
      <c r="IB28" s="94"/>
      <c r="IC28" s="94"/>
      <c r="ID28" s="94"/>
      <c r="IE28" s="94"/>
      <c r="IF28" s="94"/>
      <c r="IG28" s="94"/>
      <c r="IH28" s="94"/>
      <c r="II28" s="94"/>
      <c r="IJ28" s="94"/>
      <c r="IK28" s="94"/>
      <c r="IL28" s="94"/>
      <c r="IM28" s="94"/>
      <c r="IN28" s="94"/>
      <c r="IO28" s="94"/>
    </row>
    <row r="29" spans="2:249">
      <c r="B29" s="220" t="s">
        <v>563</v>
      </c>
      <c r="C29" s="86" t="s">
        <v>565</v>
      </c>
      <c r="D29" s="69"/>
      <c r="E29" s="69"/>
      <c r="F29" s="69"/>
      <c r="G29" s="69"/>
      <c r="H29" s="69"/>
      <c r="I29" s="69"/>
      <c r="J29" s="69"/>
      <c r="K29" s="69"/>
      <c r="L29" s="69"/>
      <c r="M29" s="69"/>
      <c r="N29" s="69"/>
      <c r="O29" s="69"/>
      <c r="P29" s="69"/>
      <c r="Q29" s="69"/>
      <c r="R29" s="69"/>
      <c r="S29" s="69"/>
      <c r="T29" s="69"/>
      <c r="U29" s="69"/>
      <c r="V29" s="69"/>
      <c r="W29" s="69"/>
      <c r="X29" s="69"/>
      <c r="Y29" s="69"/>
      <c r="Z29" s="69"/>
      <c r="AA29" s="69"/>
      <c r="AB29" s="69"/>
      <c r="AC29" s="69"/>
      <c r="AD29" s="69"/>
      <c r="AE29" s="69"/>
      <c r="AF29" s="69"/>
      <c r="AG29" s="69"/>
      <c r="AH29" s="69"/>
      <c r="AI29" s="69"/>
      <c r="AJ29" s="69"/>
      <c r="AK29" s="69"/>
      <c r="AL29" s="72" t="s">
        <v>360</v>
      </c>
      <c r="AM29" s="72" t="s">
        <v>360</v>
      </c>
      <c r="AN29" s="72" t="s">
        <v>360</v>
      </c>
      <c r="AO29" s="72" t="s">
        <v>360</v>
      </c>
      <c r="AP29" s="72" t="s">
        <v>360</v>
      </c>
      <c r="AQ29" s="72" t="s">
        <v>360</v>
      </c>
      <c r="AR29" s="72" t="s">
        <v>360</v>
      </c>
      <c r="AS29" s="72" t="s">
        <v>360</v>
      </c>
      <c r="AT29" s="72" t="s">
        <v>360</v>
      </c>
      <c r="AU29" s="72" t="s">
        <v>360</v>
      </c>
      <c r="AV29" s="72" t="s">
        <v>360</v>
      </c>
      <c r="AW29" s="72" t="s">
        <v>360</v>
      </c>
      <c r="AX29" s="72" t="s">
        <v>360</v>
      </c>
      <c r="AY29" s="72" t="s">
        <v>360</v>
      </c>
      <c r="AZ29" s="72" t="s">
        <v>360</v>
      </c>
      <c r="BA29" s="72" t="s">
        <v>360</v>
      </c>
      <c r="BB29" s="72" t="s">
        <v>360</v>
      </c>
      <c r="BC29" s="72" t="s">
        <v>360</v>
      </c>
      <c r="BD29" s="72" t="s">
        <v>360</v>
      </c>
      <c r="BE29" s="72" t="s">
        <v>360</v>
      </c>
      <c r="BF29" s="72" t="s">
        <v>360</v>
      </c>
      <c r="BG29" s="72" t="s">
        <v>360</v>
      </c>
      <c r="BH29" s="72" t="s">
        <v>360</v>
      </c>
      <c r="BI29" s="72" t="s">
        <v>360</v>
      </c>
      <c r="BJ29" s="72" t="s">
        <v>360</v>
      </c>
      <c r="BK29" s="72" t="s">
        <v>360</v>
      </c>
      <c r="BL29" s="72" t="s">
        <v>360</v>
      </c>
      <c r="BM29" s="72" t="s">
        <v>360</v>
      </c>
      <c r="BN29" s="72" t="s">
        <v>360</v>
      </c>
      <c r="BO29" s="72" t="s">
        <v>360</v>
      </c>
      <c r="BP29" s="72" t="s">
        <v>360</v>
      </c>
      <c r="BQ29" s="72" t="s">
        <v>360</v>
      </c>
      <c r="BR29" s="72" t="s">
        <v>360</v>
      </c>
      <c r="BS29" s="72" t="s">
        <v>360</v>
      </c>
      <c r="BT29" s="72" t="s">
        <v>360</v>
      </c>
      <c r="BU29" s="72" t="s">
        <v>360</v>
      </c>
      <c r="BV29" s="72" t="s">
        <v>360</v>
      </c>
      <c r="BW29" s="72" t="s">
        <v>360</v>
      </c>
      <c r="BX29" s="72" t="s">
        <v>360</v>
      </c>
      <c r="BY29" s="72" t="s">
        <v>360</v>
      </c>
      <c r="BZ29" s="72" t="s">
        <v>360</v>
      </c>
      <c r="CA29" s="72" t="s">
        <v>360</v>
      </c>
      <c r="CB29" s="72" t="s">
        <v>360</v>
      </c>
      <c r="CC29" s="72" t="s">
        <v>360</v>
      </c>
      <c r="CD29" s="72" t="s">
        <v>360</v>
      </c>
      <c r="CE29" s="72"/>
      <c r="CF29" s="72"/>
      <c r="CG29" s="72"/>
      <c r="CH29" s="72"/>
      <c r="CI29" s="72"/>
      <c r="CJ29" s="72"/>
      <c r="CK29" s="72"/>
      <c r="CL29" s="72"/>
      <c r="CM29" s="72"/>
      <c r="CN29" s="72"/>
      <c r="CO29" s="72"/>
      <c r="CP29" s="72"/>
      <c r="CQ29" s="72"/>
      <c r="CR29" s="72"/>
      <c r="CS29" s="72"/>
      <c r="CT29" s="72"/>
      <c r="CU29" s="72"/>
      <c r="CV29" s="72"/>
      <c r="CW29" s="72"/>
      <c r="CX29" s="72"/>
      <c r="CY29" s="72"/>
      <c r="CZ29" s="72"/>
      <c r="DA29" s="72"/>
      <c r="DB29" s="72"/>
      <c r="DC29" s="72"/>
      <c r="DD29" s="72"/>
      <c r="DE29" s="72"/>
      <c r="DF29" s="72"/>
      <c r="DG29" s="72"/>
      <c r="DH29" s="72"/>
      <c r="DI29" s="72"/>
      <c r="DJ29" s="72"/>
      <c r="DK29" s="72"/>
      <c r="DL29" s="72"/>
      <c r="DM29" s="72"/>
      <c r="DN29" s="72"/>
      <c r="DO29" s="72"/>
      <c r="DP29" s="72"/>
      <c r="DQ29" s="72"/>
      <c r="DR29" s="72"/>
      <c r="DS29" s="72"/>
      <c r="DT29" s="72"/>
      <c r="DU29" s="72"/>
      <c r="DV29" s="72"/>
      <c r="DW29" s="72"/>
      <c r="DX29" s="72"/>
      <c r="DY29" s="72"/>
      <c r="DZ29" s="72"/>
      <c r="EA29" s="72"/>
      <c r="EB29" s="72"/>
      <c r="EC29" s="72"/>
      <c r="ED29" s="72"/>
      <c r="EE29" s="72"/>
      <c r="EF29" s="72"/>
      <c r="EG29" s="72"/>
      <c r="EH29" s="72"/>
      <c r="EI29" s="72"/>
      <c r="EJ29" s="72"/>
      <c r="EK29" s="72"/>
      <c r="EL29" s="72"/>
      <c r="EM29" s="72"/>
      <c r="EN29" s="72"/>
      <c r="EO29" s="72"/>
      <c r="EP29" s="72"/>
      <c r="EQ29" s="72"/>
      <c r="ER29" s="72"/>
      <c r="ES29" s="72"/>
      <c r="ET29" s="72"/>
      <c r="EU29" s="72"/>
      <c r="EV29" s="72"/>
      <c r="EW29" s="72"/>
      <c r="EX29" s="72"/>
      <c r="EY29" s="72"/>
      <c r="EZ29" s="72"/>
      <c r="FA29" s="72"/>
      <c r="FB29" s="72"/>
      <c r="FC29" s="72"/>
      <c r="FD29" s="72"/>
      <c r="FE29" s="72"/>
      <c r="FF29" s="72"/>
      <c r="FG29" s="72"/>
      <c r="FH29" s="72"/>
      <c r="FI29" s="72"/>
      <c r="FJ29" s="72"/>
      <c r="FK29" s="72"/>
      <c r="FL29" s="72"/>
      <c r="FM29" s="72"/>
      <c r="FN29" s="72"/>
      <c r="FO29" s="72"/>
      <c r="FP29" s="72"/>
      <c r="FQ29" s="72"/>
      <c r="FR29" s="72"/>
      <c r="FS29" s="72"/>
      <c r="FT29" s="72"/>
      <c r="FU29" s="72"/>
      <c r="FV29" s="72"/>
      <c r="FW29" s="72"/>
      <c r="FX29" s="72"/>
      <c r="FY29" s="72"/>
      <c r="FZ29" s="72"/>
      <c r="GA29" s="72"/>
      <c r="GB29" s="72"/>
      <c r="GC29" s="72"/>
      <c r="GD29" s="72"/>
      <c r="GE29" s="72"/>
      <c r="GF29" s="72"/>
      <c r="GG29" s="72"/>
      <c r="GH29" s="72"/>
      <c r="GI29" s="72"/>
      <c r="GJ29" s="72"/>
      <c r="GK29" s="72"/>
      <c r="GL29" s="72"/>
      <c r="GM29" s="72"/>
      <c r="GN29" s="72"/>
      <c r="GO29" s="72"/>
      <c r="GP29" s="72"/>
      <c r="GQ29" s="72"/>
      <c r="GR29" s="72"/>
      <c r="GS29" s="72"/>
      <c r="GT29" s="72"/>
      <c r="GU29" s="72"/>
      <c r="GV29" s="72"/>
      <c r="GW29" s="72"/>
      <c r="GX29" s="72"/>
      <c r="GY29" s="72"/>
      <c r="GZ29" s="72"/>
      <c r="HA29" s="72"/>
      <c r="HB29" s="72"/>
      <c r="HC29" s="72"/>
      <c r="HD29" s="72"/>
      <c r="HE29" s="72"/>
      <c r="HF29" s="72"/>
      <c r="HG29" s="72"/>
      <c r="HH29" s="72"/>
      <c r="HI29" s="72"/>
      <c r="HJ29" s="72"/>
      <c r="HK29" s="72"/>
      <c r="HL29" s="72"/>
      <c r="HM29" s="72"/>
      <c r="HN29" s="72"/>
      <c r="HO29" s="72"/>
      <c r="HP29" s="72"/>
      <c r="HQ29" s="72"/>
      <c r="HR29" s="72"/>
      <c r="HS29" s="72"/>
      <c r="HT29" s="72"/>
      <c r="HU29" s="72"/>
      <c r="HV29" s="72"/>
      <c r="HW29" s="72"/>
      <c r="HX29" s="72"/>
      <c r="HY29" s="72"/>
      <c r="HZ29" s="72"/>
      <c r="IA29" s="72"/>
      <c r="IB29" s="72"/>
      <c r="IC29" s="72"/>
      <c r="ID29" s="72"/>
      <c r="IE29" s="72"/>
      <c r="IF29" s="72"/>
      <c r="IG29" s="72"/>
      <c r="IH29" s="72"/>
      <c r="II29" s="72"/>
      <c r="IJ29" s="72"/>
      <c r="IK29" s="72"/>
      <c r="IL29" s="72"/>
      <c r="IM29" s="72"/>
      <c r="IN29" s="72"/>
      <c r="IO29" s="72"/>
    </row>
    <row r="30" spans="2:249">
      <c r="B30" s="243" t="s">
        <v>560</v>
      </c>
      <c r="C30" s="263"/>
      <c r="D30" s="74"/>
      <c r="E30" s="101"/>
      <c r="F30" s="102"/>
      <c r="G30" s="77"/>
      <c r="H30" s="77"/>
      <c r="I30" s="77"/>
      <c r="J30" s="77"/>
      <c r="K30" s="77"/>
      <c r="L30" s="77"/>
      <c r="M30" s="76"/>
      <c r="N30" s="75"/>
      <c r="O30" s="77"/>
      <c r="P30" s="77"/>
      <c r="Q30" s="77"/>
      <c r="R30" s="76"/>
      <c r="S30" s="75"/>
      <c r="T30" s="77"/>
      <c r="U30" s="77"/>
      <c r="V30" s="77"/>
      <c r="W30" s="77"/>
      <c r="X30" s="77"/>
      <c r="Y30" s="77"/>
      <c r="Z30" s="77"/>
      <c r="AA30" s="77"/>
      <c r="AB30" s="77"/>
      <c r="AC30" s="77"/>
      <c r="AD30" s="77"/>
      <c r="AE30" s="78"/>
      <c r="AF30" s="101"/>
      <c r="AG30" s="163"/>
      <c r="AH30" s="163"/>
      <c r="AI30" s="163"/>
      <c r="AJ30" s="163"/>
      <c r="AK30" s="221"/>
      <c r="AL30" s="163"/>
      <c r="AM30" s="163"/>
      <c r="AN30" s="163"/>
      <c r="AO30" s="163"/>
      <c r="AP30" s="163"/>
      <c r="AQ30" s="163"/>
      <c r="AR30" s="163"/>
      <c r="AS30" s="163"/>
      <c r="AT30" s="163"/>
      <c r="AU30" s="163"/>
      <c r="AV30" s="163"/>
      <c r="AW30" s="163"/>
      <c r="AX30" s="163"/>
      <c r="AY30" s="163"/>
      <c r="AZ30" s="163"/>
      <c r="BA30" s="163"/>
      <c r="BB30" s="163"/>
      <c r="BC30" s="163"/>
      <c r="BD30" s="163"/>
      <c r="BE30" s="163"/>
      <c r="BF30" s="163"/>
      <c r="BG30" s="163"/>
      <c r="BH30" s="163"/>
      <c r="BI30" s="163"/>
      <c r="BJ30" s="163"/>
      <c r="BK30" s="163"/>
      <c r="BL30" s="163"/>
      <c r="BM30" s="163"/>
      <c r="BN30" s="163"/>
      <c r="BO30" s="163"/>
      <c r="BP30" s="163"/>
      <c r="BQ30" s="163"/>
      <c r="BR30" s="163"/>
      <c r="BS30" s="163"/>
      <c r="BT30" s="163"/>
      <c r="BU30" s="163"/>
      <c r="BV30" s="163"/>
      <c r="BW30" s="163"/>
      <c r="BX30" s="163"/>
      <c r="BY30" s="163"/>
      <c r="BZ30" s="163"/>
      <c r="CA30" s="163"/>
      <c r="CB30" s="163"/>
      <c r="CC30" s="163"/>
      <c r="CD30" s="163"/>
      <c r="CE30" s="163"/>
      <c r="CF30" s="163"/>
      <c r="CG30" s="163"/>
      <c r="CH30" s="163"/>
      <c r="CI30" s="163"/>
      <c r="CJ30" s="163"/>
      <c r="CK30" s="163"/>
      <c r="CL30" s="163"/>
      <c r="CM30" s="163"/>
      <c r="CN30" s="163"/>
      <c r="CO30" s="163"/>
      <c r="CP30" s="163"/>
      <c r="CQ30" s="163"/>
      <c r="CR30" s="163"/>
      <c r="CS30" s="163"/>
      <c r="CT30" s="163"/>
      <c r="CU30" s="163"/>
      <c r="CV30" s="163"/>
      <c r="CW30" s="163"/>
      <c r="CX30" s="163"/>
      <c r="CY30" s="163"/>
      <c r="CZ30" s="163"/>
      <c r="DA30" s="163"/>
      <c r="DB30" s="163"/>
      <c r="DC30" s="163"/>
      <c r="DD30" s="163"/>
      <c r="DE30" s="163"/>
      <c r="DF30" s="163"/>
      <c r="DG30" s="163"/>
      <c r="DH30" s="163"/>
      <c r="DI30" s="163"/>
      <c r="DJ30" s="163"/>
      <c r="DK30" s="163"/>
      <c r="DL30" s="163"/>
      <c r="DM30" s="163"/>
      <c r="DN30" s="163"/>
      <c r="DO30" s="163"/>
      <c r="DP30" s="163"/>
      <c r="DQ30" s="163"/>
      <c r="DR30" s="163"/>
      <c r="DS30" s="163"/>
      <c r="DT30" s="163"/>
      <c r="DU30" s="163"/>
      <c r="DV30" s="163"/>
      <c r="DW30" s="163"/>
      <c r="DX30" s="163"/>
      <c r="DY30" s="163"/>
      <c r="DZ30" s="163"/>
      <c r="EA30" s="163"/>
      <c r="EB30" s="163"/>
      <c r="EC30" s="163"/>
      <c r="ED30" s="163"/>
      <c r="EE30" s="163"/>
      <c r="EF30" s="163"/>
      <c r="EG30" s="163"/>
      <c r="EH30" s="163"/>
      <c r="EI30" s="163"/>
      <c r="EJ30" s="163"/>
      <c r="EK30" s="163"/>
      <c r="EL30" s="163"/>
      <c r="EM30" s="163"/>
      <c r="EN30" s="163"/>
      <c r="EO30" s="163"/>
      <c r="EP30" s="163"/>
      <c r="EQ30" s="163"/>
      <c r="ER30" s="163"/>
      <c r="ES30" s="163"/>
      <c r="ET30" s="163"/>
      <c r="EU30" s="163"/>
      <c r="EV30" s="163"/>
      <c r="EW30" s="163"/>
      <c r="EX30" s="163"/>
      <c r="EY30" s="163"/>
      <c r="EZ30" s="163"/>
      <c r="FA30" s="163"/>
      <c r="FB30" s="163"/>
      <c r="FC30" s="163"/>
      <c r="FD30" s="163"/>
      <c r="FE30" s="163"/>
      <c r="FF30" s="163"/>
      <c r="FG30" s="163"/>
      <c r="FH30" s="163"/>
      <c r="FI30" s="163"/>
      <c r="FJ30" s="163"/>
      <c r="FK30" s="163"/>
      <c r="FL30" s="163"/>
      <c r="FM30" s="163"/>
      <c r="FN30" s="163"/>
      <c r="FO30" s="163"/>
      <c r="FP30" s="163"/>
      <c r="FQ30" s="163"/>
      <c r="FR30" s="163"/>
      <c r="FS30" s="163"/>
      <c r="FT30" s="163"/>
      <c r="FU30" s="163"/>
      <c r="FV30" s="163"/>
      <c r="FW30" s="163"/>
      <c r="FX30" s="163"/>
      <c r="FY30" s="163"/>
      <c r="FZ30" s="163"/>
      <c r="GA30" s="163"/>
      <c r="GB30" s="163"/>
      <c r="GC30" s="163"/>
      <c r="GD30" s="163"/>
      <c r="GE30" s="163"/>
      <c r="GF30" s="163"/>
      <c r="GG30" s="163"/>
      <c r="GH30" s="163"/>
      <c r="GI30" s="163"/>
      <c r="GJ30" s="163"/>
      <c r="GK30" s="163"/>
      <c r="GL30" s="163"/>
      <c r="GM30" s="163"/>
      <c r="GN30" s="163"/>
      <c r="GO30" s="163"/>
      <c r="GP30" s="163"/>
      <c r="GQ30" s="163"/>
      <c r="GR30" s="163"/>
      <c r="GS30" s="163"/>
      <c r="GT30" s="163"/>
      <c r="GU30" s="163"/>
      <c r="GV30" s="163"/>
      <c r="GW30" s="163"/>
      <c r="GX30" s="163"/>
      <c r="GY30" s="163"/>
      <c r="GZ30" s="163"/>
      <c r="HA30" s="163"/>
      <c r="HB30" s="163"/>
      <c r="HC30" s="163"/>
      <c r="HD30" s="163"/>
      <c r="HE30" s="163"/>
      <c r="HF30" s="163"/>
      <c r="HG30" s="163"/>
      <c r="HH30" s="163"/>
      <c r="HI30" s="163"/>
      <c r="HJ30" s="163"/>
      <c r="HK30" s="163"/>
      <c r="HL30" s="163"/>
      <c r="HM30" s="163"/>
      <c r="HN30" s="163"/>
      <c r="HO30" s="163"/>
      <c r="HP30" s="163"/>
      <c r="HQ30" s="163"/>
      <c r="HR30" s="163"/>
      <c r="HS30" s="163"/>
      <c r="HT30" s="163"/>
      <c r="HU30" s="163"/>
      <c r="HV30" s="163"/>
      <c r="HW30" s="163"/>
      <c r="HX30" s="163"/>
      <c r="HY30" s="163"/>
      <c r="HZ30" s="163"/>
      <c r="IA30" s="163"/>
      <c r="IB30" s="163"/>
      <c r="IC30" s="163"/>
      <c r="ID30" s="163"/>
      <c r="IE30" s="163"/>
      <c r="IF30" s="163"/>
      <c r="IG30" s="163"/>
      <c r="IH30" s="163"/>
      <c r="II30" s="163"/>
      <c r="IJ30" s="163"/>
      <c r="IK30" s="163"/>
      <c r="IL30" s="163"/>
      <c r="IM30" s="163"/>
      <c r="IN30" s="163"/>
      <c r="IO30" s="163"/>
    </row>
    <row r="31" spans="2:249">
      <c r="B31" s="79" t="s">
        <v>451</v>
      </c>
      <c r="C31" s="80" t="s">
        <v>510</v>
      </c>
      <c r="D31" s="81"/>
      <c r="E31" s="82"/>
      <c r="F31" s="83"/>
      <c r="G31" s="84"/>
      <c r="H31" s="84"/>
      <c r="I31" s="84"/>
      <c r="J31" s="84"/>
      <c r="K31" s="84"/>
      <c r="L31" s="84"/>
      <c r="M31" s="83"/>
      <c r="N31" s="82"/>
      <c r="O31" s="84"/>
      <c r="P31" s="84"/>
      <c r="Q31" s="84"/>
      <c r="R31" s="83"/>
      <c r="S31" s="82"/>
      <c r="T31" s="84"/>
      <c r="U31" s="84"/>
      <c r="V31" s="84"/>
      <c r="W31" s="84"/>
      <c r="X31" s="84"/>
      <c r="Y31" s="84"/>
      <c r="Z31" s="84"/>
      <c r="AA31" s="84"/>
      <c r="AB31" s="84"/>
      <c r="AC31" s="84"/>
      <c r="AD31" s="84"/>
      <c r="AE31" s="85"/>
      <c r="AF31" s="82"/>
      <c r="AG31" s="84"/>
      <c r="AH31" s="84"/>
      <c r="AI31" s="84"/>
      <c r="AJ31" s="84"/>
      <c r="AK31" s="85"/>
      <c r="AL31" s="84" t="s">
        <v>718</v>
      </c>
      <c r="AM31" s="84" t="s">
        <v>718</v>
      </c>
      <c r="AN31" s="84" t="s">
        <v>718</v>
      </c>
      <c r="AO31" s="84" t="s">
        <v>718</v>
      </c>
      <c r="AP31" s="84" t="s">
        <v>718</v>
      </c>
      <c r="AQ31" s="84" t="s">
        <v>718</v>
      </c>
      <c r="AR31" s="84" t="s">
        <v>718</v>
      </c>
      <c r="AS31" s="84" t="s">
        <v>718</v>
      </c>
      <c r="AT31" s="84" t="s">
        <v>718</v>
      </c>
      <c r="AU31" s="84" t="s">
        <v>718</v>
      </c>
      <c r="AV31" s="84" t="s">
        <v>718</v>
      </c>
      <c r="AW31" s="84" t="s">
        <v>718</v>
      </c>
      <c r="AX31" s="84" t="s">
        <v>718</v>
      </c>
      <c r="AY31" s="84" t="s">
        <v>718</v>
      </c>
      <c r="AZ31" s="84" t="s">
        <v>718</v>
      </c>
      <c r="BA31" s="84" t="s">
        <v>718</v>
      </c>
      <c r="BB31" s="84" t="s">
        <v>718</v>
      </c>
      <c r="BC31" s="84" t="s">
        <v>718</v>
      </c>
      <c r="BD31" s="84" t="s">
        <v>718</v>
      </c>
      <c r="BE31" s="84" t="s">
        <v>718</v>
      </c>
      <c r="BF31" s="84" t="s">
        <v>718</v>
      </c>
      <c r="BG31" s="84" t="s">
        <v>718</v>
      </c>
      <c r="BH31" s="84" t="s">
        <v>718</v>
      </c>
      <c r="BI31" s="84" t="s">
        <v>718</v>
      </c>
      <c r="BJ31" s="84" t="s">
        <v>718</v>
      </c>
      <c r="BK31" s="84" t="s">
        <v>718</v>
      </c>
      <c r="BL31" s="84" t="s">
        <v>718</v>
      </c>
      <c r="BM31" s="84" t="s">
        <v>718</v>
      </c>
      <c r="BN31" s="84" t="s">
        <v>718</v>
      </c>
      <c r="BO31" s="84" t="s">
        <v>718</v>
      </c>
      <c r="BP31" s="84" t="s">
        <v>718</v>
      </c>
      <c r="BQ31" s="84" t="s">
        <v>718</v>
      </c>
      <c r="BR31" s="84" t="s">
        <v>718</v>
      </c>
      <c r="BS31" s="84" t="s">
        <v>718</v>
      </c>
      <c r="BT31" s="84" t="s">
        <v>718</v>
      </c>
      <c r="BU31" s="84" t="s">
        <v>718</v>
      </c>
      <c r="BV31" s="84" t="s">
        <v>718</v>
      </c>
      <c r="BW31" s="84" t="s">
        <v>718</v>
      </c>
      <c r="BX31" s="84" t="s">
        <v>718</v>
      </c>
      <c r="BY31" s="84" t="s">
        <v>718</v>
      </c>
      <c r="BZ31" s="84" t="s">
        <v>718</v>
      </c>
      <c r="CA31" s="84" t="s">
        <v>718</v>
      </c>
      <c r="CB31" s="84" t="s">
        <v>718</v>
      </c>
      <c r="CC31" s="84" t="s">
        <v>718</v>
      </c>
      <c r="CD31" s="84" t="s">
        <v>718</v>
      </c>
      <c r="CE31" s="84"/>
      <c r="CF31" s="84"/>
      <c r="CG31" s="84"/>
      <c r="CH31" s="84"/>
      <c r="CI31" s="84"/>
      <c r="CJ31" s="84"/>
      <c r="CK31" s="84"/>
      <c r="CL31" s="84"/>
      <c r="CM31" s="84"/>
      <c r="CN31" s="84"/>
      <c r="CO31" s="84"/>
      <c r="CP31" s="84"/>
      <c r="CQ31" s="84"/>
      <c r="CR31" s="84"/>
      <c r="CS31" s="84"/>
      <c r="CT31" s="84"/>
      <c r="CU31" s="84"/>
      <c r="CV31" s="84"/>
      <c r="CW31" s="84"/>
      <c r="CX31" s="84"/>
      <c r="CY31" s="84"/>
      <c r="CZ31" s="84"/>
      <c r="DA31" s="84"/>
      <c r="DB31" s="84"/>
      <c r="DC31" s="84"/>
      <c r="DD31" s="84"/>
      <c r="DE31" s="84"/>
      <c r="DF31" s="84"/>
      <c r="DG31" s="84"/>
      <c r="DH31" s="84"/>
      <c r="DI31" s="84"/>
      <c r="DJ31" s="84"/>
      <c r="DK31" s="84"/>
      <c r="DL31" s="84"/>
      <c r="DM31" s="84"/>
      <c r="DN31" s="84"/>
      <c r="DO31" s="84"/>
      <c r="DP31" s="84"/>
      <c r="DQ31" s="84"/>
      <c r="DR31" s="84"/>
      <c r="DS31" s="84"/>
      <c r="DT31" s="84"/>
      <c r="DU31" s="84"/>
      <c r="DV31" s="84"/>
      <c r="DW31" s="84"/>
      <c r="DX31" s="84"/>
      <c r="DY31" s="84"/>
      <c r="DZ31" s="84"/>
      <c r="EA31" s="84"/>
      <c r="EB31" s="84"/>
      <c r="EC31" s="84"/>
      <c r="ED31" s="84"/>
      <c r="EE31" s="84"/>
      <c r="EF31" s="84"/>
      <c r="EG31" s="84"/>
      <c r="EH31" s="84"/>
      <c r="EI31" s="84"/>
      <c r="EJ31" s="84"/>
      <c r="EK31" s="84"/>
      <c r="EL31" s="84"/>
      <c r="EM31" s="84"/>
      <c r="EN31" s="84"/>
      <c r="EO31" s="84"/>
      <c r="EP31" s="84"/>
      <c r="EQ31" s="84"/>
      <c r="ER31" s="84"/>
      <c r="ES31" s="84"/>
      <c r="ET31" s="84"/>
      <c r="EU31" s="84"/>
      <c r="EV31" s="84"/>
      <c r="EW31" s="84"/>
      <c r="EX31" s="84"/>
      <c r="EY31" s="84"/>
      <c r="EZ31" s="84"/>
      <c r="FA31" s="84"/>
      <c r="FB31" s="84"/>
      <c r="FC31" s="84"/>
      <c r="FD31" s="84"/>
      <c r="FE31" s="84"/>
      <c r="FF31" s="84"/>
      <c r="FG31" s="84"/>
      <c r="FH31" s="84"/>
      <c r="FI31" s="84"/>
      <c r="FJ31" s="84"/>
      <c r="FK31" s="84"/>
      <c r="FL31" s="84"/>
      <c r="FM31" s="84"/>
      <c r="FN31" s="84"/>
      <c r="FO31" s="84"/>
      <c r="FP31" s="84"/>
      <c r="FQ31" s="84"/>
      <c r="FR31" s="84"/>
      <c r="FS31" s="84"/>
      <c r="FT31" s="84"/>
      <c r="FU31" s="84"/>
      <c r="FV31" s="84"/>
      <c r="FW31" s="84"/>
      <c r="FX31" s="84"/>
      <c r="FY31" s="84"/>
      <c r="FZ31" s="84"/>
      <c r="GA31" s="84"/>
      <c r="GB31" s="84"/>
      <c r="GC31" s="84"/>
      <c r="GD31" s="84"/>
      <c r="GE31" s="84"/>
      <c r="GF31" s="84"/>
      <c r="GG31" s="84"/>
      <c r="GH31" s="84"/>
      <c r="GI31" s="84"/>
      <c r="GJ31" s="84"/>
      <c r="GK31" s="84"/>
      <c r="GL31" s="84"/>
      <c r="GM31" s="84"/>
      <c r="GN31" s="84"/>
      <c r="GO31" s="84"/>
      <c r="GP31" s="84"/>
      <c r="GQ31" s="84"/>
      <c r="GR31" s="84"/>
      <c r="GS31" s="84"/>
      <c r="GT31" s="84"/>
      <c r="GU31" s="84"/>
      <c r="GV31" s="84"/>
      <c r="GW31" s="84"/>
      <c r="GX31" s="84"/>
      <c r="GY31" s="84"/>
      <c r="GZ31" s="84"/>
      <c r="HA31" s="84"/>
      <c r="HB31" s="84"/>
      <c r="HC31" s="84"/>
      <c r="HD31" s="84"/>
      <c r="HE31" s="84"/>
      <c r="HF31" s="84"/>
      <c r="HG31" s="84"/>
      <c r="HH31" s="84"/>
      <c r="HI31" s="84"/>
      <c r="HJ31" s="84"/>
      <c r="HK31" s="84"/>
      <c r="HL31" s="84"/>
      <c r="HM31" s="84"/>
      <c r="HN31" s="84"/>
      <c r="HO31" s="84"/>
      <c r="HP31" s="84"/>
      <c r="HQ31" s="84"/>
      <c r="HR31" s="84"/>
      <c r="HS31" s="84"/>
      <c r="HT31" s="84"/>
      <c r="HU31" s="84"/>
      <c r="HV31" s="84"/>
      <c r="HW31" s="84"/>
      <c r="HX31" s="84"/>
      <c r="HY31" s="84"/>
      <c r="HZ31" s="84"/>
      <c r="IA31" s="84"/>
      <c r="IB31" s="84"/>
      <c r="IC31" s="84"/>
      <c r="ID31" s="84"/>
      <c r="IE31" s="84"/>
      <c r="IF31" s="84"/>
      <c r="IG31" s="84"/>
      <c r="IH31" s="84"/>
      <c r="II31" s="84"/>
      <c r="IJ31" s="84"/>
      <c r="IK31" s="84"/>
      <c r="IL31" s="84"/>
      <c r="IM31" s="84"/>
      <c r="IN31" s="84"/>
      <c r="IO31" s="84"/>
    </row>
    <row r="32" spans="2:249" ht="15" customHeight="1">
      <c r="B32" s="244" t="s">
        <v>527</v>
      </c>
      <c r="C32" s="86" t="s">
        <v>511</v>
      </c>
      <c r="D32" s="69" t="s">
        <v>360</v>
      </c>
      <c r="E32" s="70" t="s">
        <v>360</v>
      </c>
      <c r="F32" s="71" t="s">
        <v>360</v>
      </c>
      <c r="G32" s="72" t="s">
        <v>360</v>
      </c>
      <c r="H32" s="72" t="s">
        <v>360</v>
      </c>
      <c r="I32" s="72" t="s">
        <v>360</v>
      </c>
      <c r="J32" s="72" t="s">
        <v>360</v>
      </c>
      <c r="K32" s="72" t="s">
        <v>360</v>
      </c>
      <c r="L32" s="72" t="s">
        <v>360</v>
      </c>
      <c r="M32" s="71" t="s">
        <v>360</v>
      </c>
      <c r="N32" s="88" t="s">
        <v>360</v>
      </c>
      <c r="O32" s="87" t="s">
        <v>360</v>
      </c>
      <c r="P32" s="87" t="s">
        <v>360</v>
      </c>
      <c r="Q32" s="87" t="s">
        <v>360</v>
      </c>
      <c r="R32" s="166" t="s">
        <v>360</v>
      </c>
      <c r="S32" s="70" t="s">
        <v>360</v>
      </c>
      <c r="T32" s="72" t="s">
        <v>360</v>
      </c>
      <c r="U32" s="72" t="s">
        <v>360</v>
      </c>
      <c r="V32" s="72" t="s">
        <v>360</v>
      </c>
      <c r="W32" s="72" t="s">
        <v>360</v>
      </c>
      <c r="X32" s="72" t="s">
        <v>360</v>
      </c>
      <c r="Y32" s="72" t="s">
        <v>360</v>
      </c>
      <c r="Z32" s="72" t="s">
        <v>360</v>
      </c>
      <c r="AA32" s="72" t="s">
        <v>360</v>
      </c>
      <c r="AB32" s="72" t="s">
        <v>360</v>
      </c>
      <c r="AC32" s="72" t="s">
        <v>360</v>
      </c>
      <c r="AD32" s="72" t="s">
        <v>360</v>
      </c>
      <c r="AE32" s="73" t="s">
        <v>360</v>
      </c>
      <c r="AF32" s="70"/>
      <c r="AG32" s="72"/>
      <c r="AH32" s="99" t="s">
        <v>360</v>
      </c>
      <c r="AI32" s="99" t="s">
        <v>360</v>
      </c>
      <c r="AJ32" s="72"/>
      <c r="AK32" s="73"/>
      <c r="AL32" s="72"/>
      <c r="AM32" s="72"/>
      <c r="AN32" s="72"/>
      <c r="AO32" s="72"/>
      <c r="AP32" s="72"/>
      <c r="AQ32" s="72"/>
      <c r="AR32" s="72"/>
      <c r="AS32" s="72"/>
      <c r="AT32" s="72"/>
      <c r="AU32" s="72"/>
      <c r="AV32" s="72"/>
      <c r="AW32" s="72"/>
      <c r="AX32" s="72"/>
      <c r="AY32" s="72"/>
      <c r="AZ32" s="72"/>
      <c r="BA32" s="72"/>
      <c r="BB32" s="72"/>
      <c r="BC32" s="72"/>
      <c r="BD32" s="72"/>
      <c r="BE32" s="72"/>
      <c r="BF32" s="72"/>
      <c r="BG32" s="72"/>
      <c r="BH32" s="72"/>
      <c r="BI32" s="72"/>
      <c r="BJ32" s="72"/>
      <c r="BK32" s="72"/>
      <c r="BL32" s="72"/>
      <c r="BM32" s="72"/>
      <c r="BN32" s="72"/>
      <c r="BO32" s="72"/>
      <c r="BP32" s="72"/>
      <c r="BQ32" s="72"/>
      <c r="BR32" s="72"/>
      <c r="BS32" s="72"/>
      <c r="BT32" s="72"/>
      <c r="BU32" s="72"/>
      <c r="BV32" s="72"/>
      <c r="BW32" s="72"/>
      <c r="BX32" s="72"/>
      <c r="BY32" s="72"/>
      <c r="BZ32" s="72"/>
      <c r="CA32" s="72"/>
      <c r="CB32" s="72"/>
      <c r="CC32" s="72"/>
      <c r="CD32" s="72"/>
      <c r="CE32" s="72"/>
      <c r="CF32" s="72"/>
      <c r="CG32" s="72"/>
      <c r="CH32" s="72"/>
      <c r="CI32" s="72"/>
      <c r="CJ32" s="72"/>
      <c r="CK32" s="72"/>
      <c r="CL32" s="72"/>
      <c r="CM32" s="72"/>
      <c r="CN32" s="72"/>
      <c r="CO32" s="72"/>
      <c r="CP32" s="72"/>
      <c r="CQ32" s="72"/>
      <c r="CR32" s="72"/>
      <c r="CS32" s="72"/>
      <c r="CT32" s="72"/>
      <c r="CU32" s="72"/>
      <c r="CV32" s="72"/>
      <c r="CW32" s="72"/>
      <c r="CX32" s="72"/>
      <c r="CY32" s="72"/>
      <c r="CZ32" s="72"/>
      <c r="DA32" s="72"/>
      <c r="DB32" s="72"/>
      <c r="DC32" s="72"/>
      <c r="DD32" s="72"/>
      <c r="DE32" s="72"/>
      <c r="DF32" s="72"/>
      <c r="DG32" s="72"/>
      <c r="DH32" s="72"/>
      <c r="DI32" s="72"/>
      <c r="DJ32" s="72"/>
      <c r="DK32" s="72"/>
      <c r="DL32" s="72"/>
      <c r="DM32" s="72"/>
      <c r="DN32" s="72"/>
      <c r="DO32" s="72"/>
      <c r="DP32" s="72"/>
      <c r="DQ32" s="72"/>
      <c r="DR32" s="72"/>
      <c r="DS32" s="72"/>
      <c r="DT32" s="72"/>
      <c r="DU32" s="72"/>
      <c r="DV32" s="72"/>
      <c r="DW32" s="72"/>
      <c r="DX32" s="72"/>
      <c r="DY32" s="72"/>
      <c r="DZ32" s="72"/>
      <c r="EA32" s="72"/>
      <c r="EB32" s="72"/>
      <c r="EC32" s="72"/>
      <c r="ED32" s="72"/>
      <c r="EE32" s="72"/>
      <c r="EF32" s="72"/>
      <c r="EG32" s="72"/>
      <c r="EH32" s="72"/>
      <c r="EI32" s="72"/>
      <c r="EJ32" s="72"/>
      <c r="EK32" s="72"/>
      <c r="EL32" s="72"/>
      <c r="EM32" s="72"/>
      <c r="EN32" s="72"/>
      <c r="EO32" s="72"/>
      <c r="EP32" s="72"/>
      <c r="EQ32" s="72"/>
      <c r="ER32" s="72"/>
      <c r="ES32" s="72"/>
      <c r="ET32" s="72"/>
      <c r="EU32" s="72"/>
      <c r="EV32" s="72"/>
      <c r="EW32" s="72"/>
      <c r="EX32" s="72"/>
      <c r="EY32" s="72"/>
      <c r="EZ32" s="72"/>
      <c r="FA32" s="72"/>
      <c r="FB32" s="72"/>
      <c r="FC32" s="72"/>
      <c r="FD32" s="72"/>
      <c r="FE32" s="72"/>
      <c r="FF32" s="72"/>
      <c r="FG32" s="72"/>
      <c r="FH32" s="72"/>
      <c r="FI32" s="72"/>
      <c r="FJ32" s="72"/>
      <c r="FK32" s="72"/>
      <c r="FL32" s="72"/>
      <c r="FM32" s="72"/>
      <c r="FN32" s="72"/>
      <c r="FO32" s="72"/>
      <c r="FP32" s="72"/>
      <c r="FQ32" s="72"/>
      <c r="FR32" s="72"/>
      <c r="FS32" s="72"/>
      <c r="FT32" s="72"/>
      <c r="FU32" s="72"/>
      <c r="FV32" s="72"/>
      <c r="FW32" s="72"/>
      <c r="FX32" s="72"/>
      <c r="FY32" s="72"/>
      <c r="FZ32" s="72"/>
      <c r="GA32" s="72"/>
      <c r="GB32" s="72"/>
      <c r="GC32" s="72"/>
      <c r="GD32" s="72"/>
      <c r="GE32" s="72"/>
      <c r="GF32" s="72"/>
      <c r="GG32" s="72"/>
      <c r="GH32" s="72"/>
      <c r="GI32" s="72"/>
      <c r="GJ32" s="72"/>
      <c r="GK32" s="72"/>
      <c r="GL32" s="72"/>
      <c r="GM32" s="72"/>
      <c r="GN32" s="72"/>
      <c r="GO32" s="72"/>
      <c r="GP32" s="72"/>
      <c r="GQ32" s="72"/>
      <c r="GR32" s="72"/>
      <c r="GS32" s="72"/>
      <c r="GT32" s="72"/>
      <c r="GU32" s="72"/>
      <c r="GV32" s="72"/>
      <c r="GW32" s="72"/>
      <c r="GX32" s="72"/>
      <c r="GY32" s="72"/>
      <c r="GZ32" s="72"/>
      <c r="HA32" s="72"/>
      <c r="HB32" s="72"/>
      <c r="HC32" s="72"/>
      <c r="HD32" s="72"/>
      <c r="HE32" s="72"/>
      <c r="HF32" s="72"/>
      <c r="HG32" s="72"/>
      <c r="HH32" s="72"/>
      <c r="HI32" s="72"/>
      <c r="HJ32" s="72"/>
      <c r="HK32" s="72"/>
      <c r="HL32" s="72"/>
      <c r="HM32" s="72"/>
      <c r="HN32" s="72"/>
      <c r="HO32" s="72"/>
      <c r="HP32" s="72"/>
      <c r="HQ32" s="72"/>
      <c r="HR32" s="72"/>
      <c r="HS32" s="72"/>
      <c r="HT32" s="72"/>
      <c r="HU32" s="72"/>
      <c r="HV32" s="72"/>
      <c r="HW32" s="72"/>
      <c r="HX32" s="72"/>
      <c r="HY32" s="72"/>
      <c r="HZ32" s="72"/>
      <c r="IA32" s="72"/>
      <c r="IB32" s="72"/>
      <c r="IC32" s="72"/>
      <c r="ID32" s="72"/>
      <c r="IE32" s="72"/>
      <c r="IF32" s="72"/>
      <c r="IG32" s="72"/>
      <c r="IH32" s="72"/>
      <c r="II32" s="72"/>
      <c r="IJ32" s="72"/>
      <c r="IK32" s="72"/>
      <c r="IL32" s="72"/>
      <c r="IM32" s="72"/>
      <c r="IN32" s="72"/>
      <c r="IO32" s="72"/>
    </row>
    <row r="33" spans="2:249">
      <c r="B33" s="245"/>
      <c r="C33" s="86" t="s">
        <v>517</v>
      </c>
      <c r="D33" s="69"/>
      <c r="E33" s="70"/>
      <c r="F33" s="71"/>
      <c r="G33" s="72"/>
      <c r="H33" s="72"/>
      <c r="I33" s="72"/>
      <c r="J33" s="72"/>
      <c r="K33" s="72"/>
      <c r="L33" s="72"/>
      <c r="M33" s="71"/>
      <c r="N33" s="70"/>
      <c r="O33" s="72"/>
      <c r="P33" s="72"/>
      <c r="Q33" s="72"/>
      <c r="R33" s="71"/>
      <c r="S33" s="70"/>
      <c r="T33" s="72"/>
      <c r="U33" s="72"/>
      <c r="V33" s="72"/>
      <c r="W33" s="72"/>
      <c r="X33" s="72"/>
      <c r="Y33" s="72"/>
      <c r="Z33" s="72"/>
      <c r="AA33" s="72"/>
      <c r="AB33" s="72"/>
      <c r="AC33" s="72"/>
      <c r="AD33" s="72"/>
      <c r="AE33" s="73"/>
      <c r="AF33" s="70"/>
      <c r="AG33" s="72"/>
      <c r="AH33" s="72"/>
      <c r="AI33" s="72"/>
      <c r="AJ33" s="72"/>
      <c r="AK33" s="222"/>
      <c r="AL33" s="87"/>
      <c r="AM33" s="87"/>
      <c r="AN33" s="87"/>
      <c r="AO33" s="87"/>
      <c r="AP33" s="87"/>
      <c r="AQ33" s="87"/>
      <c r="AR33" s="87"/>
      <c r="AS33" s="87"/>
      <c r="AT33" s="87"/>
      <c r="AU33" s="87"/>
      <c r="AV33" s="87"/>
      <c r="AW33" s="87"/>
      <c r="AX33" s="87"/>
      <c r="AY33" s="87"/>
      <c r="AZ33" s="87"/>
      <c r="BA33" s="87"/>
      <c r="BB33" s="87"/>
      <c r="BC33" s="87"/>
      <c r="BD33" s="87"/>
      <c r="BE33" s="87"/>
      <c r="BF33" s="87"/>
      <c r="BG33" s="87"/>
      <c r="BH33" s="87"/>
      <c r="BI33" s="87"/>
      <c r="BJ33" s="87"/>
      <c r="BK33" s="87"/>
      <c r="BL33" s="87"/>
      <c r="BM33" s="87"/>
      <c r="BN33" s="87"/>
      <c r="BO33" s="87"/>
      <c r="BP33" s="87"/>
      <c r="BQ33" s="87"/>
      <c r="BR33" s="87"/>
      <c r="BS33" s="87"/>
      <c r="BT33" s="87"/>
      <c r="BU33" s="87"/>
      <c r="BV33" s="87"/>
      <c r="BW33" s="87"/>
      <c r="BX33" s="87"/>
      <c r="BY33" s="87"/>
      <c r="BZ33" s="87"/>
      <c r="CA33" s="87"/>
      <c r="CB33" s="87"/>
      <c r="CC33" s="87"/>
      <c r="CD33" s="87"/>
      <c r="CE33" s="87"/>
      <c r="CF33" s="87"/>
      <c r="CG33" s="87"/>
      <c r="CH33" s="87"/>
      <c r="CI33" s="87"/>
      <c r="CJ33" s="87"/>
      <c r="CK33" s="87"/>
      <c r="CL33" s="87"/>
      <c r="CM33" s="87"/>
      <c r="CN33" s="87"/>
      <c r="CO33" s="87"/>
      <c r="CP33" s="87"/>
      <c r="CQ33" s="87"/>
      <c r="CR33" s="87"/>
      <c r="CS33" s="87"/>
      <c r="CT33" s="87"/>
      <c r="CU33" s="87"/>
      <c r="CV33" s="87"/>
      <c r="CW33" s="87"/>
      <c r="CX33" s="87"/>
      <c r="CY33" s="87"/>
      <c r="CZ33" s="87"/>
      <c r="DA33" s="87"/>
      <c r="DB33" s="87"/>
      <c r="DC33" s="87"/>
      <c r="DD33" s="87"/>
      <c r="DE33" s="87"/>
      <c r="DF33" s="87"/>
      <c r="DG33" s="87"/>
      <c r="DH33" s="87"/>
      <c r="DI33" s="87"/>
      <c r="DJ33" s="87"/>
      <c r="DK33" s="87"/>
      <c r="DL33" s="87"/>
      <c r="DM33" s="87"/>
      <c r="DN33" s="87"/>
      <c r="DO33" s="87"/>
      <c r="DP33" s="87"/>
      <c r="DQ33" s="87"/>
      <c r="DR33" s="87"/>
      <c r="DS33" s="87"/>
      <c r="DT33" s="87"/>
      <c r="DU33" s="87"/>
      <c r="DV33" s="87"/>
      <c r="DW33" s="87"/>
      <c r="DX33" s="87"/>
      <c r="DY33" s="87"/>
      <c r="DZ33" s="87"/>
      <c r="EA33" s="87"/>
      <c r="EB33" s="87"/>
      <c r="EC33" s="87"/>
      <c r="ED33" s="87"/>
      <c r="EE33" s="87"/>
      <c r="EF33" s="87"/>
      <c r="EG33" s="87"/>
      <c r="EH33" s="87"/>
      <c r="EI33" s="87"/>
      <c r="EJ33" s="87"/>
      <c r="EK33" s="87"/>
      <c r="EL33" s="87"/>
      <c r="EM33" s="87"/>
      <c r="EN33" s="87"/>
      <c r="EO33" s="87"/>
      <c r="EP33" s="87"/>
      <c r="EQ33" s="87"/>
      <c r="ER33" s="87"/>
      <c r="ES33" s="87"/>
      <c r="ET33" s="87"/>
      <c r="EU33" s="87"/>
      <c r="EV33" s="87"/>
      <c r="EW33" s="87"/>
      <c r="EX33" s="87"/>
      <c r="EY33" s="87"/>
      <c r="EZ33" s="87"/>
      <c r="FA33" s="87"/>
      <c r="FB33" s="87"/>
      <c r="FC33" s="87"/>
      <c r="FD33" s="87"/>
      <c r="FE33" s="87"/>
      <c r="FF33" s="87"/>
      <c r="FG33" s="87"/>
      <c r="FH33" s="87"/>
      <c r="FI33" s="87"/>
      <c r="FJ33" s="87"/>
      <c r="FK33" s="87"/>
      <c r="FL33" s="87"/>
      <c r="FM33" s="87"/>
      <c r="FN33" s="87"/>
      <c r="FO33" s="87"/>
      <c r="FP33" s="87"/>
      <c r="FQ33" s="87"/>
      <c r="FR33" s="87"/>
      <c r="FS33" s="87"/>
      <c r="FT33" s="87"/>
      <c r="FU33" s="87"/>
      <c r="FV33" s="87"/>
      <c r="FW33" s="87"/>
      <c r="FX33" s="87"/>
      <c r="FY33" s="87"/>
      <c r="FZ33" s="87"/>
      <c r="GA33" s="87"/>
      <c r="GB33" s="87"/>
      <c r="GC33" s="87"/>
      <c r="GD33" s="87"/>
      <c r="GE33" s="87"/>
      <c r="GF33" s="87"/>
      <c r="GG33" s="87"/>
      <c r="GH33" s="87"/>
      <c r="GI33" s="87"/>
      <c r="GJ33" s="87"/>
      <c r="GK33" s="87"/>
      <c r="GL33" s="87"/>
      <c r="GM33" s="87"/>
      <c r="GN33" s="87"/>
      <c r="GO33" s="87"/>
      <c r="GP33" s="87"/>
      <c r="GQ33" s="87"/>
      <c r="GR33" s="87"/>
      <c r="GS33" s="87"/>
      <c r="GT33" s="87"/>
      <c r="GU33" s="87"/>
      <c r="GV33" s="87"/>
      <c r="GW33" s="87"/>
      <c r="GX33" s="87"/>
      <c r="GY33" s="87"/>
      <c r="GZ33" s="87"/>
      <c r="HA33" s="87"/>
      <c r="HB33" s="87"/>
      <c r="HC33" s="87"/>
      <c r="HD33" s="87"/>
      <c r="HE33" s="87"/>
      <c r="HF33" s="87"/>
      <c r="HG33" s="87"/>
      <c r="HH33" s="87"/>
      <c r="HI33" s="87"/>
      <c r="HJ33" s="87"/>
      <c r="HK33" s="87"/>
      <c r="HL33" s="87"/>
      <c r="HM33" s="87"/>
      <c r="HN33" s="87"/>
      <c r="HO33" s="87"/>
      <c r="HP33" s="87"/>
      <c r="HQ33" s="87"/>
      <c r="HR33" s="87"/>
      <c r="HS33" s="87"/>
      <c r="HT33" s="87"/>
      <c r="HU33" s="87"/>
      <c r="HV33" s="87"/>
      <c r="HW33" s="87"/>
      <c r="HX33" s="87"/>
      <c r="HY33" s="87"/>
      <c r="HZ33" s="87"/>
      <c r="IA33" s="87"/>
      <c r="IB33" s="87"/>
      <c r="IC33" s="87"/>
      <c r="ID33" s="87"/>
      <c r="IE33" s="87"/>
      <c r="IF33" s="87"/>
      <c r="IG33" s="87"/>
      <c r="IH33" s="87"/>
      <c r="II33" s="87"/>
      <c r="IJ33" s="87"/>
      <c r="IK33" s="87"/>
      <c r="IL33" s="87"/>
      <c r="IM33" s="87"/>
      <c r="IN33" s="87"/>
      <c r="IO33" s="87"/>
    </row>
    <row r="34" spans="2:249">
      <c r="B34" s="245"/>
      <c r="C34" s="86" t="s">
        <v>518</v>
      </c>
      <c r="D34" s="69"/>
      <c r="E34" s="70"/>
      <c r="F34" s="71"/>
      <c r="G34" s="72"/>
      <c r="H34" s="72"/>
      <c r="I34" s="72"/>
      <c r="J34" s="72"/>
      <c r="K34" s="72"/>
      <c r="L34" s="72"/>
      <c r="M34" s="71"/>
      <c r="N34" s="70"/>
      <c r="O34" s="72"/>
      <c r="P34" s="72"/>
      <c r="Q34" s="72"/>
      <c r="R34" s="71"/>
      <c r="S34" s="70"/>
      <c r="T34" s="72"/>
      <c r="U34" s="72"/>
      <c r="V34" s="72"/>
      <c r="W34" s="72"/>
      <c r="X34" s="72"/>
      <c r="Y34" s="72"/>
      <c r="Z34" s="72"/>
      <c r="AA34" s="72"/>
      <c r="AB34" s="72"/>
      <c r="AC34" s="72"/>
      <c r="AD34" s="72"/>
      <c r="AE34" s="73"/>
      <c r="AF34" s="97" t="s">
        <v>360</v>
      </c>
      <c r="AG34" s="72"/>
      <c r="AH34" s="72"/>
      <c r="AI34" s="72"/>
      <c r="AJ34" s="72"/>
      <c r="AK34" s="100" t="s">
        <v>360</v>
      </c>
      <c r="AL34" s="87"/>
      <c r="AM34" s="87"/>
      <c r="AN34" s="87"/>
      <c r="AO34" s="87"/>
      <c r="AP34" s="87"/>
      <c r="AQ34" s="87"/>
      <c r="AR34" s="87"/>
      <c r="AS34" s="87"/>
      <c r="AT34" s="87"/>
      <c r="AU34" s="87"/>
      <c r="AV34" s="87"/>
      <c r="AW34" s="87"/>
      <c r="AX34" s="87"/>
      <c r="AY34" s="87"/>
      <c r="AZ34" s="87"/>
      <c r="BA34" s="87"/>
      <c r="BB34" s="87"/>
      <c r="BC34" s="87"/>
      <c r="BD34" s="87"/>
      <c r="BE34" s="87"/>
      <c r="BF34" s="87"/>
      <c r="BG34" s="87"/>
      <c r="BH34" s="87"/>
      <c r="BI34" s="87"/>
      <c r="BJ34" s="87"/>
      <c r="BK34" s="87"/>
      <c r="BL34" s="87"/>
      <c r="BM34" s="87"/>
      <c r="BN34" s="87"/>
      <c r="BO34" s="87"/>
      <c r="BP34" s="87"/>
      <c r="BQ34" s="87"/>
      <c r="BR34" s="87"/>
      <c r="BS34" s="87"/>
      <c r="BT34" s="87"/>
      <c r="BU34" s="87"/>
      <c r="BV34" s="87"/>
      <c r="BW34" s="87"/>
      <c r="BX34" s="87"/>
      <c r="BY34" s="87"/>
      <c r="BZ34" s="87"/>
      <c r="CA34" s="87"/>
      <c r="CB34" s="87"/>
      <c r="CC34" s="87"/>
      <c r="CD34" s="87"/>
      <c r="CE34" s="87"/>
      <c r="CF34" s="87"/>
      <c r="CG34" s="87"/>
      <c r="CH34" s="87"/>
      <c r="CI34" s="87"/>
      <c r="CJ34" s="87"/>
      <c r="CK34" s="87"/>
      <c r="CL34" s="87"/>
      <c r="CM34" s="87"/>
      <c r="CN34" s="87"/>
      <c r="CO34" s="87"/>
      <c r="CP34" s="87"/>
      <c r="CQ34" s="87"/>
      <c r="CR34" s="87"/>
      <c r="CS34" s="87"/>
      <c r="CT34" s="87"/>
      <c r="CU34" s="87"/>
      <c r="CV34" s="87"/>
      <c r="CW34" s="87"/>
      <c r="CX34" s="87"/>
      <c r="CY34" s="87"/>
      <c r="CZ34" s="87"/>
      <c r="DA34" s="87"/>
      <c r="DB34" s="87"/>
      <c r="DC34" s="87"/>
      <c r="DD34" s="87"/>
      <c r="DE34" s="87"/>
      <c r="DF34" s="87"/>
      <c r="DG34" s="87"/>
      <c r="DH34" s="87"/>
      <c r="DI34" s="87"/>
      <c r="DJ34" s="87"/>
      <c r="DK34" s="87"/>
      <c r="DL34" s="87"/>
      <c r="DM34" s="87"/>
      <c r="DN34" s="87"/>
      <c r="DO34" s="87"/>
      <c r="DP34" s="87"/>
      <c r="DQ34" s="87"/>
      <c r="DR34" s="87"/>
      <c r="DS34" s="87"/>
      <c r="DT34" s="87"/>
      <c r="DU34" s="87"/>
      <c r="DV34" s="87"/>
      <c r="DW34" s="87"/>
      <c r="DX34" s="87"/>
      <c r="DY34" s="87"/>
      <c r="DZ34" s="87"/>
      <c r="EA34" s="87"/>
      <c r="EB34" s="87"/>
      <c r="EC34" s="87"/>
      <c r="ED34" s="87"/>
      <c r="EE34" s="87"/>
      <c r="EF34" s="87"/>
      <c r="EG34" s="87"/>
      <c r="EH34" s="87"/>
      <c r="EI34" s="87"/>
      <c r="EJ34" s="87"/>
      <c r="EK34" s="87"/>
      <c r="EL34" s="87"/>
      <c r="EM34" s="87"/>
      <c r="EN34" s="87"/>
      <c r="EO34" s="87"/>
      <c r="EP34" s="87"/>
      <c r="EQ34" s="87"/>
      <c r="ER34" s="87"/>
      <c r="ES34" s="87"/>
      <c r="ET34" s="87"/>
      <c r="EU34" s="87"/>
      <c r="EV34" s="87"/>
      <c r="EW34" s="87"/>
      <c r="EX34" s="87"/>
      <c r="EY34" s="87"/>
      <c r="EZ34" s="87"/>
      <c r="FA34" s="87"/>
      <c r="FB34" s="87"/>
      <c r="FC34" s="87"/>
      <c r="FD34" s="87"/>
      <c r="FE34" s="87"/>
      <c r="FF34" s="87"/>
      <c r="FG34" s="87"/>
      <c r="FH34" s="87"/>
      <c r="FI34" s="87"/>
      <c r="FJ34" s="87"/>
      <c r="FK34" s="87"/>
      <c r="FL34" s="87"/>
      <c r="FM34" s="87"/>
      <c r="FN34" s="87"/>
      <c r="FO34" s="87"/>
      <c r="FP34" s="87"/>
      <c r="FQ34" s="87"/>
      <c r="FR34" s="87"/>
      <c r="FS34" s="87"/>
      <c r="FT34" s="87"/>
      <c r="FU34" s="87"/>
      <c r="FV34" s="87"/>
      <c r="FW34" s="87"/>
      <c r="FX34" s="87"/>
      <c r="FY34" s="87"/>
      <c r="FZ34" s="87"/>
      <c r="GA34" s="87"/>
      <c r="GB34" s="87"/>
      <c r="GC34" s="87"/>
      <c r="GD34" s="87"/>
      <c r="GE34" s="87"/>
      <c r="GF34" s="87"/>
      <c r="GG34" s="87"/>
      <c r="GH34" s="87"/>
      <c r="GI34" s="87"/>
      <c r="GJ34" s="87"/>
      <c r="GK34" s="87"/>
      <c r="GL34" s="87"/>
      <c r="GM34" s="87"/>
      <c r="GN34" s="87"/>
      <c r="GO34" s="87"/>
      <c r="GP34" s="87"/>
      <c r="GQ34" s="87"/>
      <c r="GR34" s="87"/>
      <c r="GS34" s="87"/>
      <c r="GT34" s="87"/>
      <c r="GU34" s="87"/>
      <c r="GV34" s="87"/>
      <c r="GW34" s="87"/>
      <c r="GX34" s="87"/>
      <c r="GY34" s="87"/>
      <c r="GZ34" s="87"/>
      <c r="HA34" s="87"/>
      <c r="HB34" s="87"/>
      <c r="HC34" s="87"/>
      <c r="HD34" s="87"/>
      <c r="HE34" s="87"/>
      <c r="HF34" s="87"/>
      <c r="HG34" s="87"/>
      <c r="HH34" s="87"/>
      <c r="HI34" s="87"/>
      <c r="HJ34" s="87"/>
      <c r="HK34" s="87"/>
      <c r="HL34" s="87"/>
      <c r="HM34" s="87"/>
      <c r="HN34" s="87"/>
      <c r="HO34" s="87"/>
      <c r="HP34" s="87"/>
      <c r="HQ34" s="87"/>
      <c r="HR34" s="87"/>
      <c r="HS34" s="87"/>
      <c r="HT34" s="87"/>
      <c r="HU34" s="87"/>
      <c r="HV34" s="87"/>
      <c r="HW34" s="87"/>
      <c r="HX34" s="87"/>
      <c r="HY34" s="87"/>
      <c r="HZ34" s="87"/>
      <c r="IA34" s="87"/>
      <c r="IB34" s="87"/>
      <c r="IC34" s="87"/>
      <c r="ID34" s="87"/>
      <c r="IE34" s="87"/>
      <c r="IF34" s="87"/>
      <c r="IG34" s="87"/>
      <c r="IH34" s="87"/>
      <c r="II34" s="87"/>
      <c r="IJ34" s="87"/>
      <c r="IK34" s="87"/>
      <c r="IL34" s="87"/>
      <c r="IM34" s="87"/>
      <c r="IN34" s="87"/>
      <c r="IO34" s="87"/>
    </row>
    <row r="35" spans="2:249">
      <c r="B35" s="245"/>
      <c r="C35" s="86" t="s">
        <v>519</v>
      </c>
      <c r="D35" s="69"/>
      <c r="E35" s="70"/>
      <c r="F35" s="71"/>
      <c r="G35" s="72"/>
      <c r="H35" s="72"/>
      <c r="I35" s="72"/>
      <c r="J35" s="72"/>
      <c r="K35" s="72"/>
      <c r="L35" s="72"/>
      <c r="M35" s="71"/>
      <c r="N35" s="70"/>
      <c r="O35" s="72"/>
      <c r="P35" s="72"/>
      <c r="Q35" s="72"/>
      <c r="R35" s="71"/>
      <c r="S35" s="70"/>
      <c r="T35" s="72"/>
      <c r="U35" s="72"/>
      <c r="V35" s="72"/>
      <c r="W35" s="72"/>
      <c r="X35" s="72"/>
      <c r="Y35" s="72"/>
      <c r="Z35" s="72"/>
      <c r="AA35" s="72"/>
      <c r="AB35" s="72"/>
      <c r="AC35" s="72"/>
      <c r="AD35" s="72"/>
      <c r="AE35" s="73"/>
      <c r="AF35" s="70"/>
      <c r="AG35" s="99" t="s">
        <v>360</v>
      </c>
      <c r="AH35" s="72"/>
      <c r="AI35" s="72"/>
      <c r="AJ35" s="99" t="s">
        <v>360</v>
      </c>
      <c r="AK35" s="73"/>
      <c r="AL35" s="72"/>
      <c r="AM35" s="72"/>
      <c r="AN35" s="72"/>
      <c r="AO35" s="72"/>
      <c r="AP35" s="72"/>
      <c r="AQ35" s="72"/>
      <c r="AR35" s="72"/>
      <c r="AS35" s="72"/>
      <c r="AT35" s="72"/>
      <c r="AU35" s="72"/>
      <c r="AV35" s="72"/>
      <c r="AW35" s="72"/>
      <c r="AX35" s="72"/>
      <c r="AY35" s="72"/>
      <c r="AZ35" s="72"/>
      <c r="BA35" s="72"/>
      <c r="BB35" s="72"/>
      <c r="BC35" s="72"/>
      <c r="BD35" s="72"/>
      <c r="BE35" s="72"/>
      <c r="BF35" s="72"/>
      <c r="BG35" s="72"/>
      <c r="BH35" s="72"/>
      <c r="BI35" s="72"/>
      <c r="BJ35" s="72"/>
      <c r="BK35" s="72"/>
      <c r="BL35" s="72"/>
      <c r="BM35" s="72"/>
      <c r="BN35" s="72"/>
      <c r="BO35" s="72"/>
      <c r="BP35" s="72"/>
      <c r="BQ35" s="72"/>
      <c r="BR35" s="72"/>
      <c r="BS35" s="72"/>
      <c r="BT35" s="72"/>
      <c r="BU35" s="72"/>
      <c r="BV35" s="72"/>
      <c r="BW35" s="72"/>
      <c r="BX35" s="72"/>
      <c r="BY35" s="72"/>
      <c r="BZ35" s="72"/>
      <c r="CA35" s="72"/>
      <c r="CB35" s="72"/>
      <c r="CC35" s="72"/>
      <c r="CD35" s="72"/>
      <c r="CE35" s="72"/>
      <c r="CF35" s="72"/>
      <c r="CG35" s="72"/>
      <c r="CH35" s="72"/>
      <c r="CI35" s="72"/>
      <c r="CJ35" s="72"/>
      <c r="CK35" s="72"/>
      <c r="CL35" s="72"/>
      <c r="CM35" s="72"/>
      <c r="CN35" s="72"/>
      <c r="CO35" s="72"/>
      <c r="CP35" s="72"/>
      <c r="CQ35" s="72"/>
      <c r="CR35" s="72"/>
      <c r="CS35" s="72"/>
      <c r="CT35" s="72"/>
      <c r="CU35" s="72"/>
      <c r="CV35" s="72"/>
      <c r="CW35" s="72"/>
      <c r="CX35" s="72"/>
      <c r="CY35" s="72"/>
      <c r="CZ35" s="72"/>
      <c r="DA35" s="72"/>
      <c r="DB35" s="72"/>
      <c r="DC35" s="72"/>
      <c r="DD35" s="72"/>
      <c r="DE35" s="72"/>
      <c r="DF35" s="72"/>
      <c r="DG35" s="72"/>
      <c r="DH35" s="72"/>
      <c r="DI35" s="72"/>
      <c r="DJ35" s="72"/>
      <c r="DK35" s="72"/>
      <c r="DL35" s="72"/>
      <c r="DM35" s="72"/>
      <c r="DN35" s="72"/>
      <c r="DO35" s="72"/>
      <c r="DP35" s="72"/>
      <c r="DQ35" s="72"/>
      <c r="DR35" s="72"/>
      <c r="DS35" s="72"/>
      <c r="DT35" s="72"/>
      <c r="DU35" s="72"/>
      <c r="DV35" s="72"/>
      <c r="DW35" s="72"/>
      <c r="DX35" s="72"/>
      <c r="DY35" s="72"/>
      <c r="DZ35" s="72"/>
      <c r="EA35" s="72"/>
      <c r="EB35" s="72"/>
      <c r="EC35" s="72"/>
      <c r="ED35" s="72"/>
      <c r="EE35" s="72"/>
      <c r="EF35" s="72"/>
      <c r="EG35" s="72"/>
      <c r="EH35" s="72"/>
      <c r="EI35" s="72"/>
      <c r="EJ35" s="72"/>
      <c r="EK35" s="72"/>
      <c r="EL35" s="72"/>
      <c r="EM35" s="72"/>
      <c r="EN35" s="72"/>
      <c r="EO35" s="72"/>
      <c r="EP35" s="72"/>
      <c r="EQ35" s="72"/>
      <c r="ER35" s="72"/>
      <c r="ES35" s="72"/>
      <c r="ET35" s="72"/>
      <c r="EU35" s="72"/>
      <c r="EV35" s="72"/>
      <c r="EW35" s="72"/>
      <c r="EX35" s="72"/>
      <c r="EY35" s="72"/>
      <c r="EZ35" s="72"/>
      <c r="FA35" s="72"/>
      <c r="FB35" s="72"/>
      <c r="FC35" s="72"/>
      <c r="FD35" s="72"/>
      <c r="FE35" s="72"/>
      <c r="FF35" s="72"/>
      <c r="FG35" s="72"/>
      <c r="FH35" s="72"/>
      <c r="FI35" s="72"/>
      <c r="FJ35" s="72"/>
      <c r="FK35" s="72"/>
      <c r="FL35" s="72"/>
      <c r="FM35" s="72"/>
      <c r="FN35" s="72"/>
      <c r="FO35" s="72"/>
      <c r="FP35" s="72"/>
      <c r="FQ35" s="72"/>
      <c r="FR35" s="72"/>
      <c r="FS35" s="72"/>
      <c r="FT35" s="72"/>
      <c r="FU35" s="72"/>
      <c r="FV35" s="72"/>
      <c r="FW35" s="72"/>
      <c r="FX35" s="72"/>
      <c r="FY35" s="72"/>
      <c r="FZ35" s="72"/>
      <c r="GA35" s="72"/>
      <c r="GB35" s="72"/>
      <c r="GC35" s="72"/>
      <c r="GD35" s="72"/>
      <c r="GE35" s="72"/>
      <c r="GF35" s="72"/>
      <c r="GG35" s="72"/>
      <c r="GH35" s="72"/>
      <c r="GI35" s="72"/>
      <c r="GJ35" s="72"/>
      <c r="GK35" s="72"/>
      <c r="GL35" s="72"/>
      <c r="GM35" s="72"/>
      <c r="GN35" s="72"/>
      <c r="GO35" s="72"/>
      <c r="GP35" s="72"/>
      <c r="GQ35" s="72"/>
      <c r="GR35" s="72"/>
      <c r="GS35" s="72"/>
      <c r="GT35" s="72"/>
      <c r="GU35" s="72"/>
      <c r="GV35" s="72"/>
      <c r="GW35" s="72"/>
      <c r="GX35" s="72"/>
      <c r="GY35" s="72"/>
      <c r="GZ35" s="72"/>
      <c r="HA35" s="72"/>
      <c r="HB35" s="72"/>
      <c r="HC35" s="72"/>
      <c r="HD35" s="72"/>
      <c r="HE35" s="72"/>
      <c r="HF35" s="72"/>
      <c r="HG35" s="72"/>
      <c r="HH35" s="72"/>
      <c r="HI35" s="72"/>
      <c r="HJ35" s="72"/>
      <c r="HK35" s="72"/>
      <c r="HL35" s="72"/>
      <c r="HM35" s="72"/>
      <c r="HN35" s="72"/>
      <c r="HO35" s="72"/>
      <c r="HP35" s="72"/>
      <c r="HQ35" s="72"/>
      <c r="HR35" s="72"/>
      <c r="HS35" s="72"/>
      <c r="HT35" s="72"/>
      <c r="HU35" s="72"/>
      <c r="HV35" s="72"/>
      <c r="HW35" s="72"/>
      <c r="HX35" s="72"/>
      <c r="HY35" s="72"/>
      <c r="HZ35" s="72"/>
      <c r="IA35" s="72"/>
      <c r="IB35" s="72"/>
      <c r="IC35" s="72"/>
      <c r="ID35" s="72"/>
      <c r="IE35" s="72"/>
      <c r="IF35" s="72"/>
      <c r="IG35" s="72"/>
      <c r="IH35" s="72"/>
      <c r="II35" s="72"/>
      <c r="IJ35" s="72"/>
      <c r="IK35" s="72"/>
      <c r="IL35" s="72"/>
      <c r="IM35" s="72"/>
      <c r="IN35" s="72"/>
      <c r="IO35" s="72"/>
    </row>
    <row r="36" spans="2:249">
      <c r="B36" s="245"/>
      <c r="C36" s="86" t="s">
        <v>534</v>
      </c>
      <c r="D36" s="69"/>
      <c r="E36" s="70"/>
      <c r="F36" s="71"/>
      <c r="G36" s="72"/>
      <c r="H36" s="72"/>
      <c r="I36" s="72"/>
      <c r="J36" s="72"/>
      <c r="K36" s="72"/>
      <c r="L36" s="72"/>
      <c r="M36" s="71"/>
      <c r="N36" s="70"/>
      <c r="O36" s="72"/>
      <c r="P36" s="72"/>
      <c r="Q36" s="72"/>
      <c r="R36" s="71"/>
      <c r="S36" s="70"/>
      <c r="T36" s="72"/>
      <c r="U36" s="72"/>
      <c r="V36" s="72"/>
      <c r="W36" s="72"/>
      <c r="X36" s="72"/>
      <c r="Y36" s="72"/>
      <c r="Z36" s="72"/>
      <c r="AA36" s="72"/>
      <c r="AB36" s="72"/>
      <c r="AC36" s="72"/>
      <c r="AD36" s="72"/>
      <c r="AE36" s="73"/>
      <c r="AF36" s="70"/>
      <c r="AG36" s="72"/>
      <c r="AH36" s="72"/>
      <c r="AI36" s="72"/>
      <c r="AJ36" s="72"/>
      <c r="AK36" s="73"/>
      <c r="AL36" s="72"/>
      <c r="AM36" s="72"/>
      <c r="AN36" s="72"/>
      <c r="AO36" s="72"/>
      <c r="AP36" s="72"/>
      <c r="AQ36" s="72"/>
      <c r="AR36" s="72"/>
      <c r="AS36" s="72"/>
      <c r="AT36" s="72"/>
      <c r="AU36" s="72"/>
      <c r="AV36" s="72"/>
      <c r="AW36" s="72"/>
      <c r="AX36" s="72"/>
      <c r="AY36" s="72"/>
      <c r="AZ36" s="72"/>
      <c r="BA36" s="72"/>
      <c r="BB36" s="72"/>
      <c r="BC36" s="72"/>
      <c r="BD36" s="72"/>
      <c r="BE36" s="72"/>
      <c r="BF36" s="72"/>
      <c r="BG36" s="72"/>
      <c r="BH36" s="72"/>
      <c r="BI36" s="72"/>
      <c r="BJ36" s="72"/>
      <c r="BK36" s="72"/>
      <c r="BL36" s="72"/>
      <c r="BM36" s="72"/>
      <c r="BN36" s="72"/>
      <c r="BO36" s="72"/>
      <c r="BP36" s="72"/>
      <c r="BQ36" s="72"/>
      <c r="BR36" s="72"/>
      <c r="BS36" s="72"/>
      <c r="BT36" s="72"/>
      <c r="BU36" s="72"/>
      <c r="BV36" s="72"/>
      <c r="BW36" s="72"/>
      <c r="BX36" s="72"/>
      <c r="BY36" s="72"/>
      <c r="BZ36" s="72"/>
      <c r="CA36" s="72"/>
      <c r="CB36" s="72"/>
      <c r="CC36" s="72"/>
      <c r="CD36" s="72"/>
      <c r="CE36" s="72"/>
      <c r="CF36" s="72"/>
      <c r="CG36" s="72"/>
      <c r="CH36" s="72"/>
      <c r="CI36" s="72"/>
      <c r="CJ36" s="72"/>
      <c r="CK36" s="72"/>
      <c r="CL36" s="72"/>
      <c r="CM36" s="72"/>
      <c r="CN36" s="72"/>
      <c r="CO36" s="72"/>
      <c r="CP36" s="72"/>
      <c r="CQ36" s="72"/>
      <c r="CR36" s="72"/>
      <c r="CS36" s="72"/>
      <c r="CT36" s="72"/>
      <c r="CU36" s="72"/>
      <c r="CV36" s="72"/>
      <c r="CW36" s="72"/>
      <c r="CX36" s="72"/>
      <c r="CY36" s="72"/>
      <c r="CZ36" s="72"/>
      <c r="DA36" s="72"/>
      <c r="DB36" s="72"/>
      <c r="DC36" s="72"/>
      <c r="DD36" s="72"/>
      <c r="DE36" s="72"/>
      <c r="DF36" s="72"/>
      <c r="DG36" s="72"/>
      <c r="DH36" s="72"/>
      <c r="DI36" s="72"/>
      <c r="DJ36" s="72"/>
      <c r="DK36" s="72"/>
      <c r="DL36" s="72"/>
      <c r="DM36" s="72"/>
      <c r="DN36" s="72"/>
      <c r="DO36" s="72"/>
      <c r="DP36" s="72"/>
      <c r="DQ36" s="72"/>
      <c r="DR36" s="72"/>
      <c r="DS36" s="72"/>
      <c r="DT36" s="72"/>
      <c r="DU36" s="72"/>
      <c r="DV36" s="72"/>
      <c r="DW36" s="72"/>
      <c r="DX36" s="72"/>
      <c r="DY36" s="72"/>
      <c r="DZ36" s="72"/>
      <c r="EA36" s="72"/>
      <c r="EB36" s="72"/>
      <c r="EC36" s="72"/>
      <c r="ED36" s="72"/>
      <c r="EE36" s="72"/>
      <c r="EF36" s="72"/>
      <c r="EG36" s="72"/>
      <c r="EH36" s="72"/>
      <c r="EI36" s="72"/>
      <c r="EJ36" s="72"/>
      <c r="EK36" s="72"/>
      <c r="EL36" s="72"/>
      <c r="EM36" s="72"/>
      <c r="EN36" s="72"/>
      <c r="EO36" s="72"/>
      <c r="EP36" s="72"/>
      <c r="EQ36" s="72"/>
      <c r="ER36" s="72"/>
      <c r="ES36" s="72"/>
      <c r="ET36" s="72"/>
      <c r="EU36" s="72"/>
      <c r="EV36" s="72"/>
      <c r="EW36" s="72"/>
      <c r="EX36" s="72"/>
      <c r="EY36" s="72"/>
      <c r="EZ36" s="72"/>
      <c r="FA36" s="72"/>
      <c r="FB36" s="72"/>
      <c r="FC36" s="72"/>
      <c r="FD36" s="72"/>
      <c r="FE36" s="72"/>
      <c r="FF36" s="72"/>
      <c r="FG36" s="72"/>
      <c r="FH36" s="72"/>
      <c r="FI36" s="72"/>
      <c r="FJ36" s="72"/>
      <c r="FK36" s="72"/>
      <c r="FL36" s="72"/>
      <c r="FM36" s="72"/>
      <c r="FN36" s="72"/>
      <c r="FO36" s="72"/>
      <c r="FP36" s="72"/>
      <c r="FQ36" s="72"/>
      <c r="FR36" s="72"/>
      <c r="FS36" s="72"/>
      <c r="FT36" s="72"/>
      <c r="FU36" s="72"/>
      <c r="FV36" s="72"/>
      <c r="FW36" s="72"/>
      <c r="FX36" s="72"/>
      <c r="FY36" s="72"/>
      <c r="FZ36" s="72"/>
      <c r="GA36" s="72"/>
      <c r="GB36" s="72"/>
      <c r="GC36" s="72"/>
      <c r="GD36" s="72"/>
      <c r="GE36" s="72"/>
      <c r="GF36" s="72"/>
      <c r="GG36" s="72"/>
      <c r="GH36" s="72"/>
      <c r="GI36" s="72"/>
      <c r="GJ36" s="72"/>
      <c r="GK36" s="72"/>
      <c r="GL36" s="72"/>
      <c r="GM36" s="72"/>
      <c r="GN36" s="72"/>
      <c r="GO36" s="72"/>
      <c r="GP36" s="72"/>
      <c r="GQ36" s="72"/>
      <c r="GR36" s="72"/>
      <c r="GS36" s="72"/>
      <c r="GT36" s="72"/>
      <c r="GU36" s="72"/>
      <c r="GV36" s="72"/>
      <c r="GW36" s="72"/>
      <c r="GX36" s="72"/>
      <c r="GY36" s="72"/>
      <c r="GZ36" s="72"/>
      <c r="HA36" s="72"/>
      <c r="HB36" s="72"/>
      <c r="HC36" s="72"/>
      <c r="HD36" s="72"/>
      <c r="HE36" s="72"/>
      <c r="HF36" s="72"/>
      <c r="HG36" s="72"/>
      <c r="HH36" s="72"/>
      <c r="HI36" s="72"/>
      <c r="HJ36" s="72"/>
      <c r="HK36" s="72"/>
      <c r="HL36" s="72"/>
      <c r="HM36" s="72"/>
      <c r="HN36" s="72"/>
      <c r="HO36" s="72"/>
      <c r="HP36" s="72"/>
      <c r="HQ36" s="72"/>
      <c r="HR36" s="72"/>
      <c r="HS36" s="72"/>
      <c r="HT36" s="72"/>
      <c r="HU36" s="72"/>
      <c r="HV36" s="72"/>
      <c r="HW36" s="72"/>
      <c r="HX36" s="72"/>
      <c r="HY36" s="72"/>
      <c r="HZ36" s="72"/>
      <c r="IA36" s="72"/>
      <c r="IB36" s="72"/>
      <c r="IC36" s="72"/>
      <c r="ID36" s="72"/>
      <c r="IE36" s="72"/>
      <c r="IF36" s="72"/>
      <c r="IG36" s="72"/>
      <c r="IH36" s="72"/>
      <c r="II36" s="72"/>
      <c r="IJ36" s="72"/>
      <c r="IK36" s="72"/>
      <c r="IL36" s="72"/>
      <c r="IM36" s="72"/>
      <c r="IN36" s="72"/>
      <c r="IO36" s="72"/>
    </row>
    <row r="37" spans="2:249">
      <c r="B37" s="59" t="s">
        <v>452</v>
      </c>
      <c r="C37" s="59" t="s">
        <v>558</v>
      </c>
      <c r="D37" s="91"/>
      <c r="E37" s="92"/>
      <c r="F37" s="93"/>
      <c r="G37" s="94"/>
      <c r="H37" s="94"/>
      <c r="I37" s="94"/>
      <c r="J37" s="94"/>
      <c r="K37" s="94"/>
      <c r="L37" s="94"/>
      <c r="M37" s="93"/>
      <c r="N37" s="92"/>
      <c r="O37" s="94"/>
      <c r="P37" s="94"/>
      <c r="Q37" s="94"/>
      <c r="R37" s="93"/>
      <c r="S37" s="92"/>
      <c r="T37" s="94"/>
      <c r="U37" s="94"/>
      <c r="V37" s="94"/>
      <c r="W37" s="94"/>
      <c r="X37" s="94"/>
      <c r="Y37" s="94"/>
      <c r="Z37" s="94"/>
      <c r="AA37" s="94"/>
      <c r="AB37" s="94"/>
      <c r="AC37" s="94"/>
      <c r="AD37" s="94"/>
      <c r="AE37" s="95"/>
      <c r="AF37" s="92"/>
      <c r="AG37" s="94"/>
      <c r="AH37" s="94"/>
      <c r="AI37" s="94"/>
      <c r="AJ37" s="94"/>
      <c r="AK37" s="95"/>
      <c r="AL37" s="94"/>
      <c r="AM37" s="94"/>
      <c r="AN37" s="94"/>
      <c r="AO37" s="94"/>
      <c r="AP37" s="94"/>
      <c r="AQ37" s="94"/>
      <c r="AR37" s="94"/>
      <c r="AS37" s="94"/>
      <c r="AT37" s="94"/>
      <c r="AU37" s="94"/>
      <c r="AV37" s="94"/>
      <c r="AW37" s="94"/>
      <c r="AX37" s="94"/>
      <c r="AY37" s="94"/>
      <c r="AZ37" s="94"/>
      <c r="BA37" s="94"/>
      <c r="BB37" s="94"/>
      <c r="BC37" s="94"/>
      <c r="BD37" s="94"/>
      <c r="BE37" s="94"/>
      <c r="BF37" s="94"/>
      <c r="BG37" s="94"/>
      <c r="BH37" s="94"/>
      <c r="BI37" s="94"/>
      <c r="BJ37" s="94"/>
      <c r="BK37" s="94"/>
      <c r="BL37" s="94"/>
      <c r="BM37" s="94"/>
      <c r="BN37" s="94"/>
      <c r="BO37" s="94"/>
      <c r="BP37" s="94"/>
      <c r="BQ37" s="94"/>
      <c r="BR37" s="94"/>
      <c r="BS37" s="94"/>
      <c r="BT37" s="94"/>
      <c r="BU37" s="94"/>
      <c r="BV37" s="94"/>
      <c r="BW37" s="94"/>
      <c r="BX37" s="94"/>
      <c r="BY37" s="94"/>
      <c r="BZ37" s="94"/>
      <c r="CA37" s="94"/>
      <c r="CB37" s="94"/>
      <c r="CC37" s="94"/>
      <c r="CD37" s="94"/>
      <c r="CE37" s="94"/>
      <c r="CF37" s="94"/>
      <c r="CG37" s="94"/>
      <c r="CH37" s="94"/>
      <c r="CI37" s="94"/>
      <c r="CJ37" s="94"/>
      <c r="CK37" s="94"/>
      <c r="CL37" s="94"/>
      <c r="CM37" s="94"/>
      <c r="CN37" s="94"/>
      <c r="CO37" s="94"/>
      <c r="CP37" s="94"/>
      <c r="CQ37" s="94"/>
      <c r="CR37" s="94"/>
      <c r="CS37" s="94"/>
      <c r="CT37" s="94"/>
      <c r="CU37" s="94"/>
      <c r="CV37" s="94"/>
      <c r="CW37" s="94"/>
      <c r="CX37" s="94"/>
      <c r="CY37" s="94"/>
      <c r="CZ37" s="94"/>
      <c r="DA37" s="94"/>
      <c r="DB37" s="94"/>
      <c r="DC37" s="94"/>
      <c r="DD37" s="94"/>
      <c r="DE37" s="94"/>
      <c r="DF37" s="94"/>
      <c r="DG37" s="94"/>
      <c r="DH37" s="94"/>
      <c r="DI37" s="94"/>
      <c r="DJ37" s="94"/>
      <c r="DK37" s="94"/>
      <c r="DL37" s="94"/>
      <c r="DM37" s="94"/>
      <c r="DN37" s="94"/>
      <c r="DO37" s="94"/>
      <c r="DP37" s="94"/>
      <c r="DQ37" s="94"/>
      <c r="DR37" s="94"/>
      <c r="DS37" s="94"/>
      <c r="DT37" s="94"/>
      <c r="DU37" s="94"/>
      <c r="DV37" s="94"/>
      <c r="DW37" s="94"/>
      <c r="DX37" s="94"/>
      <c r="DY37" s="94"/>
      <c r="DZ37" s="94"/>
      <c r="EA37" s="94"/>
      <c r="EB37" s="94"/>
      <c r="EC37" s="94"/>
      <c r="ED37" s="94"/>
      <c r="EE37" s="94"/>
      <c r="EF37" s="94"/>
      <c r="EG37" s="94"/>
      <c r="EH37" s="94"/>
      <c r="EI37" s="94"/>
      <c r="EJ37" s="94"/>
      <c r="EK37" s="94"/>
      <c r="EL37" s="94"/>
      <c r="EM37" s="94"/>
      <c r="EN37" s="94"/>
      <c r="EO37" s="94"/>
      <c r="EP37" s="94"/>
      <c r="EQ37" s="94"/>
      <c r="ER37" s="94"/>
      <c r="ES37" s="94"/>
      <c r="ET37" s="94"/>
      <c r="EU37" s="94"/>
      <c r="EV37" s="94"/>
      <c r="EW37" s="94"/>
      <c r="EX37" s="94"/>
      <c r="EY37" s="94"/>
      <c r="EZ37" s="94"/>
      <c r="FA37" s="94"/>
      <c r="FB37" s="94"/>
      <c r="FC37" s="94"/>
      <c r="FD37" s="94"/>
      <c r="FE37" s="94"/>
      <c r="FF37" s="94"/>
      <c r="FG37" s="94"/>
      <c r="FH37" s="94"/>
      <c r="FI37" s="94"/>
      <c r="FJ37" s="94"/>
      <c r="FK37" s="94"/>
      <c r="FL37" s="94"/>
      <c r="FM37" s="94"/>
      <c r="FN37" s="94"/>
      <c r="FO37" s="94"/>
      <c r="FP37" s="94"/>
      <c r="FQ37" s="94"/>
      <c r="FR37" s="94"/>
      <c r="FS37" s="94"/>
      <c r="FT37" s="94"/>
      <c r="FU37" s="94"/>
      <c r="FV37" s="94"/>
      <c r="FW37" s="94"/>
      <c r="FX37" s="94"/>
      <c r="FY37" s="94"/>
      <c r="FZ37" s="94"/>
      <c r="GA37" s="94"/>
      <c r="GB37" s="94"/>
      <c r="GC37" s="94"/>
      <c r="GD37" s="94"/>
      <c r="GE37" s="94"/>
      <c r="GF37" s="94"/>
      <c r="GG37" s="94"/>
      <c r="GH37" s="94"/>
      <c r="GI37" s="94"/>
      <c r="GJ37" s="94"/>
      <c r="GK37" s="94"/>
      <c r="GL37" s="94"/>
      <c r="GM37" s="94"/>
      <c r="GN37" s="94"/>
      <c r="GO37" s="94"/>
      <c r="GP37" s="94"/>
      <c r="GQ37" s="94"/>
      <c r="GR37" s="94"/>
      <c r="GS37" s="94"/>
      <c r="GT37" s="94"/>
      <c r="GU37" s="94"/>
      <c r="GV37" s="94"/>
      <c r="GW37" s="94"/>
      <c r="GX37" s="94"/>
      <c r="GY37" s="94"/>
      <c r="GZ37" s="94"/>
      <c r="HA37" s="94"/>
      <c r="HB37" s="94"/>
      <c r="HC37" s="94"/>
      <c r="HD37" s="94"/>
      <c r="HE37" s="94"/>
      <c r="HF37" s="94"/>
      <c r="HG37" s="94"/>
      <c r="HH37" s="94"/>
      <c r="HI37" s="94"/>
      <c r="HJ37" s="94"/>
      <c r="HK37" s="94"/>
      <c r="HL37" s="94"/>
      <c r="HM37" s="94"/>
      <c r="HN37" s="94"/>
      <c r="HO37" s="94"/>
      <c r="HP37" s="94"/>
      <c r="HQ37" s="94"/>
      <c r="HR37" s="94"/>
      <c r="HS37" s="94"/>
      <c r="HT37" s="94"/>
      <c r="HU37" s="94"/>
      <c r="HV37" s="94"/>
      <c r="HW37" s="94"/>
      <c r="HX37" s="94"/>
      <c r="HY37" s="94"/>
      <c r="HZ37" s="94"/>
      <c r="IA37" s="94"/>
      <c r="IB37" s="94"/>
      <c r="IC37" s="94"/>
      <c r="ID37" s="94"/>
      <c r="IE37" s="94"/>
      <c r="IF37" s="94"/>
      <c r="IG37" s="94"/>
      <c r="IH37" s="94"/>
      <c r="II37" s="94"/>
      <c r="IJ37" s="94"/>
      <c r="IK37" s="94"/>
      <c r="IL37" s="94"/>
      <c r="IM37" s="94"/>
      <c r="IN37" s="94"/>
      <c r="IO37" s="94"/>
    </row>
    <row r="38" spans="2:249">
      <c r="B38" s="244" t="s">
        <v>559</v>
      </c>
      <c r="C38" s="62" t="s">
        <v>555</v>
      </c>
      <c r="D38" s="69" t="s">
        <v>360</v>
      </c>
      <c r="E38" s="70" t="s">
        <v>360</v>
      </c>
      <c r="F38" s="71" t="s">
        <v>360</v>
      </c>
      <c r="G38" s="72"/>
      <c r="H38" s="72"/>
      <c r="I38" s="72"/>
      <c r="J38" s="99" t="s">
        <v>360</v>
      </c>
      <c r="K38" s="72"/>
      <c r="L38" s="72"/>
      <c r="M38" s="71"/>
      <c r="N38" s="88" t="s">
        <v>360</v>
      </c>
      <c r="O38" s="87" t="s">
        <v>360</v>
      </c>
      <c r="P38" s="87" t="s">
        <v>360</v>
      </c>
      <c r="Q38" s="87" t="s">
        <v>360</v>
      </c>
      <c r="R38" s="166" t="s">
        <v>360</v>
      </c>
      <c r="S38" s="70" t="s">
        <v>360</v>
      </c>
      <c r="T38" s="72" t="s">
        <v>360</v>
      </c>
      <c r="U38" s="72" t="s">
        <v>360</v>
      </c>
      <c r="V38" s="72" t="s">
        <v>360</v>
      </c>
      <c r="W38" s="72" t="s">
        <v>360</v>
      </c>
      <c r="X38" s="72" t="s">
        <v>360</v>
      </c>
      <c r="Y38" s="72" t="s">
        <v>360</v>
      </c>
      <c r="Z38" s="72" t="s">
        <v>360</v>
      </c>
      <c r="AA38" s="72" t="s">
        <v>360</v>
      </c>
      <c r="AB38" s="72" t="s">
        <v>360</v>
      </c>
      <c r="AC38" s="72" t="s">
        <v>360</v>
      </c>
      <c r="AD38" s="72" t="s">
        <v>360</v>
      </c>
      <c r="AE38" s="73" t="s">
        <v>360</v>
      </c>
      <c r="AF38" s="70" t="s">
        <v>360</v>
      </c>
      <c r="AG38" s="72" t="s">
        <v>360</v>
      </c>
      <c r="AH38" s="72" t="s">
        <v>360</v>
      </c>
      <c r="AI38" s="72" t="s">
        <v>360</v>
      </c>
      <c r="AJ38" s="72" t="s">
        <v>360</v>
      </c>
      <c r="AK38" s="73" t="s">
        <v>360</v>
      </c>
      <c r="AL38" s="72"/>
      <c r="AM38" s="72"/>
      <c r="AN38" s="72"/>
      <c r="AO38" s="72"/>
      <c r="AP38" s="72"/>
      <c r="AQ38" s="72"/>
      <c r="AR38" s="72"/>
      <c r="AS38" s="72"/>
      <c r="AT38" s="72"/>
      <c r="AU38" s="72"/>
      <c r="AV38" s="72"/>
      <c r="AW38" s="72"/>
      <c r="AX38" s="72"/>
      <c r="AY38" s="72"/>
      <c r="AZ38" s="72"/>
      <c r="BA38" s="72"/>
      <c r="BB38" s="72"/>
      <c r="BC38" s="72"/>
      <c r="BD38" s="72"/>
      <c r="BE38" s="72"/>
      <c r="BF38" s="72"/>
      <c r="BG38" s="72"/>
      <c r="BH38" s="72"/>
      <c r="BI38" s="72"/>
      <c r="BJ38" s="72"/>
      <c r="BK38" s="72"/>
      <c r="BL38" s="72"/>
      <c r="BM38" s="72"/>
      <c r="BN38" s="72"/>
      <c r="BO38" s="72"/>
      <c r="BP38" s="72"/>
      <c r="BQ38" s="72"/>
      <c r="BR38" s="72"/>
      <c r="BS38" s="72"/>
      <c r="BT38" s="72"/>
      <c r="BU38" s="72"/>
      <c r="BV38" s="72"/>
      <c r="BW38" s="72"/>
      <c r="BX38" s="72"/>
      <c r="BY38" s="72"/>
      <c r="BZ38" s="72"/>
      <c r="CA38" s="72"/>
      <c r="CB38" s="72"/>
      <c r="CC38" s="72"/>
      <c r="CD38" s="72"/>
      <c r="CE38" s="72"/>
      <c r="CF38" s="72"/>
      <c r="CG38" s="72"/>
      <c r="CH38" s="72"/>
      <c r="CI38" s="72"/>
      <c r="CJ38" s="72"/>
      <c r="CK38" s="72"/>
      <c r="CL38" s="72"/>
      <c r="CM38" s="72"/>
      <c r="CN38" s="72"/>
      <c r="CO38" s="72"/>
      <c r="CP38" s="72"/>
      <c r="CQ38" s="72"/>
      <c r="CR38" s="72"/>
      <c r="CS38" s="72"/>
      <c r="CT38" s="72"/>
      <c r="CU38" s="72"/>
      <c r="CV38" s="72"/>
      <c r="CW38" s="72"/>
      <c r="CX38" s="72"/>
      <c r="CY38" s="72"/>
      <c r="CZ38" s="72"/>
      <c r="DA38" s="72"/>
      <c r="DB38" s="72"/>
      <c r="DC38" s="72"/>
      <c r="DD38" s="72"/>
      <c r="DE38" s="72"/>
      <c r="DF38" s="72"/>
      <c r="DG38" s="72"/>
      <c r="DH38" s="72"/>
      <c r="DI38" s="72"/>
      <c r="DJ38" s="72"/>
      <c r="DK38" s="72"/>
      <c r="DL38" s="72"/>
      <c r="DM38" s="72"/>
      <c r="DN38" s="72"/>
      <c r="DO38" s="72"/>
      <c r="DP38" s="72"/>
      <c r="DQ38" s="72"/>
      <c r="DR38" s="72"/>
      <c r="DS38" s="72"/>
      <c r="DT38" s="72"/>
      <c r="DU38" s="72"/>
      <c r="DV38" s="72"/>
      <c r="DW38" s="72"/>
      <c r="DX38" s="72"/>
      <c r="DY38" s="72"/>
      <c r="DZ38" s="72"/>
      <c r="EA38" s="72"/>
      <c r="EB38" s="72"/>
      <c r="EC38" s="72"/>
      <c r="ED38" s="72"/>
      <c r="EE38" s="72"/>
      <c r="EF38" s="72"/>
      <c r="EG38" s="72"/>
      <c r="EH38" s="72"/>
      <c r="EI38" s="72"/>
      <c r="EJ38" s="72"/>
      <c r="EK38" s="72"/>
      <c r="EL38" s="72"/>
      <c r="EM38" s="72"/>
      <c r="EN38" s="72"/>
      <c r="EO38" s="72"/>
      <c r="EP38" s="72"/>
      <c r="EQ38" s="72"/>
      <c r="ER38" s="72"/>
      <c r="ES38" s="72"/>
      <c r="ET38" s="72"/>
      <c r="EU38" s="72"/>
      <c r="EV38" s="72"/>
      <c r="EW38" s="72"/>
      <c r="EX38" s="72"/>
      <c r="EY38" s="72"/>
      <c r="EZ38" s="72"/>
      <c r="FA38" s="72"/>
      <c r="FB38" s="72"/>
      <c r="FC38" s="72"/>
      <c r="FD38" s="72"/>
      <c r="FE38" s="72"/>
      <c r="FF38" s="72"/>
      <c r="FG38" s="72"/>
      <c r="FH38" s="72"/>
      <c r="FI38" s="72"/>
      <c r="FJ38" s="72"/>
      <c r="FK38" s="72"/>
      <c r="FL38" s="72"/>
      <c r="FM38" s="72"/>
      <c r="FN38" s="72"/>
      <c r="FO38" s="72"/>
      <c r="FP38" s="72"/>
      <c r="FQ38" s="72"/>
      <c r="FR38" s="72"/>
      <c r="FS38" s="72"/>
      <c r="FT38" s="72"/>
      <c r="FU38" s="72"/>
      <c r="FV38" s="72"/>
      <c r="FW38" s="72"/>
      <c r="FX38" s="72"/>
      <c r="FY38" s="72"/>
      <c r="FZ38" s="72"/>
      <c r="GA38" s="72"/>
      <c r="GB38" s="72"/>
      <c r="GC38" s="72"/>
      <c r="GD38" s="72"/>
      <c r="GE38" s="72"/>
      <c r="GF38" s="72"/>
      <c r="GG38" s="72"/>
      <c r="GH38" s="72"/>
      <c r="GI38" s="72"/>
      <c r="GJ38" s="72"/>
      <c r="GK38" s="72"/>
      <c r="GL38" s="72"/>
      <c r="GM38" s="72"/>
      <c r="GN38" s="72"/>
      <c r="GO38" s="72"/>
      <c r="GP38" s="72"/>
      <c r="GQ38" s="72"/>
      <c r="GR38" s="72"/>
      <c r="GS38" s="72"/>
      <c r="GT38" s="72"/>
      <c r="GU38" s="72"/>
      <c r="GV38" s="72"/>
      <c r="GW38" s="72"/>
      <c r="GX38" s="72"/>
      <c r="GY38" s="72"/>
      <c r="GZ38" s="72"/>
      <c r="HA38" s="72"/>
      <c r="HB38" s="72"/>
      <c r="HC38" s="72"/>
      <c r="HD38" s="72"/>
      <c r="HE38" s="72"/>
      <c r="HF38" s="72"/>
      <c r="HG38" s="72"/>
      <c r="HH38" s="72"/>
      <c r="HI38" s="72"/>
      <c r="HJ38" s="72"/>
      <c r="HK38" s="72"/>
      <c r="HL38" s="72"/>
      <c r="HM38" s="72"/>
      <c r="HN38" s="72"/>
      <c r="HO38" s="72"/>
      <c r="HP38" s="72"/>
      <c r="HQ38" s="72"/>
      <c r="HR38" s="72"/>
      <c r="HS38" s="72"/>
      <c r="HT38" s="72"/>
      <c r="HU38" s="72"/>
      <c r="HV38" s="72"/>
      <c r="HW38" s="72"/>
      <c r="HX38" s="72"/>
      <c r="HY38" s="72"/>
      <c r="HZ38" s="72"/>
      <c r="IA38" s="72"/>
      <c r="IB38" s="72"/>
      <c r="IC38" s="72"/>
      <c r="ID38" s="72"/>
      <c r="IE38" s="72"/>
      <c r="IF38" s="72"/>
      <c r="IG38" s="72"/>
      <c r="IH38" s="72"/>
      <c r="II38" s="72"/>
      <c r="IJ38" s="72"/>
      <c r="IK38" s="72"/>
      <c r="IL38" s="72"/>
      <c r="IM38" s="72"/>
      <c r="IN38" s="72"/>
      <c r="IO38" s="72"/>
    </row>
    <row r="39" spans="2:249">
      <c r="B39" s="245"/>
      <c r="C39" s="68" t="s">
        <v>561</v>
      </c>
      <c r="D39" s="69"/>
      <c r="E39" s="70"/>
      <c r="F39" s="71"/>
      <c r="G39" s="99" t="s">
        <v>360</v>
      </c>
      <c r="H39" s="72"/>
      <c r="I39" s="72"/>
      <c r="J39" s="72"/>
      <c r="K39" s="99" t="s">
        <v>360</v>
      </c>
      <c r="L39" s="72"/>
      <c r="M39" s="71"/>
      <c r="N39" s="70"/>
      <c r="O39" s="72"/>
      <c r="P39" s="72"/>
      <c r="Q39" s="72"/>
      <c r="R39" s="71"/>
      <c r="S39" s="70"/>
      <c r="T39" s="72"/>
      <c r="U39" s="72"/>
      <c r="V39" s="72"/>
      <c r="W39" s="72"/>
      <c r="X39" s="72"/>
      <c r="Y39" s="72"/>
      <c r="Z39" s="72"/>
      <c r="AA39" s="72"/>
      <c r="AB39" s="72"/>
      <c r="AC39" s="72"/>
      <c r="AD39" s="72"/>
      <c r="AE39" s="73"/>
      <c r="AF39" s="70"/>
      <c r="AG39" s="72"/>
      <c r="AH39" s="72"/>
      <c r="AI39" s="72"/>
      <c r="AJ39" s="72"/>
      <c r="AK39" s="73"/>
      <c r="AL39" s="72"/>
      <c r="AM39" s="72"/>
      <c r="AN39" s="72"/>
      <c r="AO39" s="72"/>
      <c r="AP39" s="72"/>
      <c r="AQ39" s="72"/>
      <c r="AR39" s="72"/>
      <c r="AS39" s="72"/>
      <c r="AT39" s="72"/>
      <c r="AU39" s="72"/>
      <c r="AV39" s="72"/>
      <c r="AW39" s="72"/>
      <c r="AX39" s="72"/>
      <c r="AY39" s="72"/>
      <c r="AZ39" s="72"/>
      <c r="BA39" s="72"/>
      <c r="BB39" s="72"/>
      <c r="BC39" s="72"/>
      <c r="BD39" s="72"/>
      <c r="BE39" s="72"/>
      <c r="BF39" s="72"/>
      <c r="BG39" s="72"/>
      <c r="BH39" s="72"/>
      <c r="BI39" s="72"/>
      <c r="BJ39" s="72"/>
      <c r="BK39" s="72"/>
      <c r="BL39" s="72"/>
      <c r="BM39" s="72"/>
      <c r="BN39" s="72"/>
      <c r="BO39" s="72"/>
      <c r="BP39" s="72"/>
      <c r="BQ39" s="72"/>
      <c r="BR39" s="72"/>
      <c r="BS39" s="72"/>
      <c r="BT39" s="72"/>
      <c r="BU39" s="72"/>
      <c r="BV39" s="72"/>
      <c r="BW39" s="72"/>
      <c r="BX39" s="72"/>
      <c r="BY39" s="72"/>
      <c r="BZ39" s="72"/>
      <c r="CA39" s="72"/>
      <c r="CB39" s="72"/>
      <c r="CC39" s="72"/>
      <c r="CD39" s="72"/>
      <c r="CE39" s="72"/>
      <c r="CF39" s="72"/>
      <c r="CG39" s="72"/>
      <c r="CH39" s="72"/>
      <c r="CI39" s="72"/>
      <c r="CJ39" s="72"/>
      <c r="CK39" s="72"/>
      <c r="CL39" s="72"/>
      <c r="CM39" s="72"/>
      <c r="CN39" s="72"/>
      <c r="CO39" s="72"/>
      <c r="CP39" s="72"/>
      <c r="CQ39" s="72"/>
      <c r="CR39" s="72"/>
      <c r="CS39" s="72"/>
      <c r="CT39" s="72"/>
      <c r="CU39" s="72"/>
      <c r="CV39" s="72"/>
      <c r="CW39" s="72"/>
      <c r="CX39" s="72"/>
      <c r="CY39" s="72"/>
      <c r="CZ39" s="72"/>
      <c r="DA39" s="72"/>
      <c r="DB39" s="72"/>
      <c r="DC39" s="72"/>
      <c r="DD39" s="72"/>
      <c r="DE39" s="72"/>
      <c r="DF39" s="72"/>
      <c r="DG39" s="72"/>
      <c r="DH39" s="72"/>
      <c r="DI39" s="72"/>
      <c r="DJ39" s="72"/>
      <c r="DK39" s="72"/>
      <c r="DL39" s="72"/>
      <c r="DM39" s="72"/>
      <c r="DN39" s="72"/>
      <c r="DO39" s="72"/>
      <c r="DP39" s="72"/>
      <c r="DQ39" s="72"/>
      <c r="DR39" s="72"/>
      <c r="DS39" s="72"/>
      <c r="DT39" s="72"/>
      <c r="DU39" s="72"/>
      <c r="DV39" s="72"/>
      <c r="DW39" s="72"/>
      <c r="DX39" s="72"/>
      <c r="DY39" s="72"/>
      <c r="DZ39" s="72"/>
      <c r="EA39" s="72"/>
      <c r="EB39" s="72"/>
      <c r="EC39" s="72"/>
      <c r="ED39" s="72"/>
      <c r="EE39" s="72"/>
      <c r="EF39" s="72"/>
      <c r="EG39" s="72"/>
      <c r="EH39" s="72"/>
      <c r="EI39" s="72"/>
      <c r="EJ39" s="72"/>
      <c r="EK39" s="72"/>
      <c r="EL39" s="72"/>
      <c r="EM39" s="72"/>
      <c r="EN39" s="72"/>
      <c r="EO39" s="72"/>
      <c r="EP39" s="72"/>
      <c r="EQ39" s="72"/>
      <c r="ER39" s="72"/>
      <c r="ES39" s="72"/>
      <c r="ET39" s="72"/>
      <c r="EU39" s="72"/>
      <c r="EV39" s="72"/>
      <c r="EW39" s="72"/>
      <c r="EX39" s="72"/>
      <c r="EY39" s="72"/>
      <c r="EZ39" s="72"/>
      <c r="FA39" s="72"/>
      <c r="FB39" s="72"/>
      <c r="FC39" s="72"/>
      <c r="FD39" s="72"/>
      <c r="FE39" s="72"/>
      <c r="FF39" s="72"/>
      <c r="FG39" s="72"/>
      <c r="FH39" s="72"/>
      <c r="FI39" s="72"/>
      <c r="FJ39" s="72"/>
      <c r="FK39" s="72"/>
      <c r="FL39" s="72"/>
      <c r="FM39" s="72"/>
      <c r="FN39" s="72"/>
      <c r="FO39" s="72"/>
      <c r="FP39" s="72"/>
      <c r="FQ39" s="72"/>
      <c r="FR39" s="72"/>
      <c r="FS39" s="72"/>
      <c r="FT39" s="72"/>
      <c r="FU39" s="72"/>
      <c r="FV39" s="72"/>
      <c r="FW39" s="72"/>
      <c r="FX39" s="72"/>
      <c r="FY39" s="72"/>
      <c r="FZ39" s="72"/>
      <c r="GA39" s="72"/>
      <c r="GB39" s="72"/>
      <c r="GC39" s="72"/>
      <c r="GD39" s="72"/>
      <c r="GE39" s="72"/>
      <c r="GF39" s="72"/>
      <c r="GG39" s="72"/>
      <c r="GH39" s="72"/>
      <c r="GI39" s="72"/>
      <c r="GJ39" s="72"/>
      <c r="GK39" s="72"/>
      <c r="GL39" s="72"/>
      <c r="GM39" s="72"/>
      <c r="GN39" s="72"/>
      <c r="GO39" s="72"/>
      <c r="GP39" s="72"/>
      <c r="GQ39" s="72"/>
      <c r="GR39" s="72"/>
      <c r="GS39" s="72"/>
      <c r="GT39" s="72"/>
      <c r="GU39" s="72"/>
      <c r="GV39" s="72"/>
      <c r="GW39" s="72"/>
      <c r="GX39" s="72"/>
      <c r="GY39" s="72"/>
      <c r="GZ39" s="72"/>
      <c r="HA39" s="72"/>
      <c r="HB39" s="72"/>
      <c r="HC39" s="72"/>
      <c r="HD39" s="72"/>
      <c r="HE39" s="72"/>
      <c r="HF39" s="72"/>
      <c r="HG39" s="72"/>
      <c r="HH39" s="72"/>
      <c r="HI39" s="72"/>
      <c r="HJ39" s="72"/>
      <c r="HK39" s="72"/>
      <c r="HL39" s="72"/>
      <c r="HM39" s="72"/>
      <c r="HN39" s="72"/>
      <c r="HO39" s="72"/>
      <c r="HP39" s="72"/>
      <c r="HQ39" s="72"/>
      <c r="HR39" s="72"/>
      <c r="HS39" s="72"/>
      <c r="HT39" s="72"/>
      <c r="HU39" s="72"/>
      <c r="HV39" s="72"/>
      <c r="HW39" s="72"/>
      <c r="HX39" s="72"/>
      <c r="HY39" s="72"/>
      <c r="HZ39" s="72"/>
      <c r="IA39" s="72"/>
      <c r="IB39" s="72"/>
      <c r="IC39" s="72"/>
      <c r="ID39" s="72"/>
      <c r="IE39" s="72"/>
      <c r="IF39" s="72"/>
      <c r="IG39" s="72"/>
      <c r="IH39" s="72"/>
      <c r="II39" s="72"/>
      <c r="IJ39" s="72"/>
      <c r="IK39" s="72"/>
      <c r="IL39" s="72"/>
      <c r="IM39" s="72"/>
      <c r="IN39" s="72"/>
      <c r="IO39" s="72"/>
    </row>
    <row r="40" spans="2:249">
      <c r="B40" s="245"/>
      <c r="C40" s="68" t="s">
        <v>562</v>
      </c>
      <c r="D40" s="69"/>
      <c r="E40" s="70"/>
      <c r="F40" s="71"/>
      <c r="G40" s="72"/>
      <c r="H40" s="99" t="s">
        <v>360</v>
      </c>
      <c r="I40" s="72"/>
      <c r="J40" s="72"/>
      <c r="K40" s="72"/>
      <c r="L40" s="99" t="s">
        <v>360</v>
      </c>
      <c r="M40" s="71"/>
      <c r="N40" s="70"/>
      <c r="O40" s="72"/>
      <c r="P40" s="72"/>
      <c r="Q40" s="72"/>
      <c r="R40" s="71"/>
      <c r="S40" s="70"/>
      <c r="T40" s="72"/>
      <c r="U40" s="72"/>
      <c r="V40" s="72"/>
      <c r="W40" s="72"/>
      <c r="X40" s="72"/>
      <c r="Y40" s="72"/>
      <c r="Z40" s="72"/>
      <c r="AA40" s="72"/>
      <c r="AB40" s="72"/>
      <c r="AC40" s="72"/>
      <c r="AD40" s="72"/>
      <c r="AE40" s="73"/>
      <c r="AF40" s="70"/>
      <c r="AG40" s="72"/>
      <c r="AH40" s="72"/>
      <c r="AI40" s="72"/>
      <c r="AJ40" s="72"/>
      <c r="AK40" s="73"/>
      <c r="AL40" s="72"/>
      <c r="AM40" s="72"/>
      <c r="AN40" s="72"/>
      <c r="AO40" s="72"/>
      <c r="AP40" s="72"/>
      <c r="AQ40" s="72"/>
      <c r="AR40" s="72"/>
      <c r="AS40" s="72"/>
      <c r="AT40" s="72"/>
      <c r="AU40" s="72"/>
      <c r="AV40" s="72"/>
      <c r="AW40" s="72"/>
      <c r="AX40" s="72"/>
      <c r="AY40" s="72"/>
      <c r="AZ40" s="72"/>
      <c r="BA40" s="72"/>
      <c r="BB40" s="72"/>
      <c r="BC40" s="72"/>
      <c r="BD40" s="72"/>
      <c r="BE40" s="72"/>
      <c r="BF40" s="72"/>
      <c r="BG40" s="72"/>
      <c r="BH40" s="72"/>
      <c r="BI40" s="72"/>
      <c r="BJ40" s="72"/>
      <c r="BK40" s="72"/>
      <c r="BL40" s="72"/>
      <c r="BM40" s="72"/>
      <c r="BN40" s="72"/>
      <c r="BO40" s="72"/>
      <c r="BP40" s="72"/>
      <c r="BQ40" s="72"/>
      <c r="BR40" s="72"/>
      <c r="BS40" s="72"/>
      <c r="BT40" s="72"/>
      <c r="BU40" s="72"/>
      <c r="BV40" s="72"/>
      <c r="BW40" s="72"/>
      <c r="BX40" s="72"/>
      <c r="BY40" s="72"/>
      <c r="BZ40" s="72"/>
      <c r="CA40" s="72"/>
      <c r="CB40" s="72"/>
      <c r="CC40" s="72"/>
      <c r="CD40" s="72"/>
      <c r="CE40" s="72"/>
      <c r="CF40" s="72"/>
      <c r="CG40" s="72"/>
      <c r="CH40" s="72"/>
      <c r="CI40" s="72"/>
      <c r="CJ40" s="72"/>
      <c r="CK40" s="72"/>
      <c r="CL40" s="72"/>
      <c r="CM40" s="72"/>
      <c r="CN40" s="72"/>
      <c r="CO40" s="72"/>
      <c r="CP40" s="72"/>
      <c r="CQ40" s="72"/>
      <c r="CR40" s="72"/>
      <c r="CS40" s="72"/>
      <c r="CT40" s="72"/>
      <c r="CU40" s="72"/>
      <c r="CV40" s="72"/>
      <c r="CW40" s="72"/>
      <c r="CX40" s="72"/>
      <c r="CY40" s="72"/>
      <c r="CZ40" s="72"/>
      <c r="DA40" s="72"/>
      <c r="DB40" s="72"/>
      <c r="DC40" s="72"/>
      <c r="DD40" s="72"/>
      <c r="DE40" s="72"/>
      <c r="DF40" s="72"/>
      <c r="DG40" s="72"/>
      <c r="DH40" s="72"/>
      <c r="DI40" s="72"/>
      <c r="DJ40" s="72"/>
      <c r="DK40" s="72"/>
      <c r="DL40" s="72"/>
      <c r="DM40" s="72"/>
      <c r="DN40" s="72"/>
      <c r="DO40" s="72"/>
      <c r="DP40" s="72"/>
      <c r="DQ40" s="72"/>
      <c r="DR40" s="72"/>
      <c r="DS40" s="72"/>
      <c r="DT40" s="72"/>
      <c r="DU40" s="72"/>
      <c r="DV40" s="72"/>
      <c r="DW40" s="72"/>
      <c r="DX40" s="72"/>
      <c r="DY40" s="72"/>
      <c r="DZ40" s="72"/>
      <c r="EA40" s="72"/>
      <c r="EB40" s="72"/>
      <c r="EC40" s="72"/>
      <c r="ED40" s="72"/>
      <c r="EE40" s="72"/>
      <c r="EF40" s="72"/>
      <c r="EG40" s="72"/>
      <c r="EH40" s="72"/>
      <c r="EI40" s="72"/>
      <c r="EJ40" s="72"/>
      <c r="EK40" s="72"/>
      <c r="EL40" s="72"/>
      <c r="EM40" s="72"/>
      <c r="EN40" s="72"/>
      <c r="EO40" s="72"/>
      <c r="EP40" s="72"/>
      <c r="EQ40" s="72"/>
      <c r="ER40" s="72"/>
      <c r="ES40" s="72"/>
      <c r="ET40" s="72"/>
      <c r="EU40" s="72"/>
      <c r="EV40" s="72"/>
      <c r="EW40" s="72"/>
      <c r="EX40" s="72"/>
      <c r="EY40" s="72"/>
      <c r="EZ40" s="72"/>
      <c r="FA40" s="72"/>
      <c r="FB40" s="72"/>
      <c r="FC40" s="72"/>
      <c r="FD40" s="72"/>
      <c r="FE40" s="72"/>
      <c r="FF40" s="72"/>
      <c r="FG40" s="72"/>
      <c r="FH40" s="72"/>
      <c r="FI40" s="72"/>
      <c r="FJ40" s="72"/>
      <c r="FK40" s="72"/>
      <c r="FL40" s="72"/>
      <c r="FM40" s="72"/>
      <c r="FN40" s="72"/>
      <c r="FO40" s="72"/>
      <c r="FP40" s="72"/>
      <c r="FQ40" s="72"/>
      <c r="FR40" s="72"/>
      <c r="FS40" s="72"/>
      <c r="FT40" s="72"/>
      <c r="FU40" s="72"/>
      <c r="FV40" s="72"/>
      <c r="FW40" s="72"/>
      <c r="FX40" s="72"/>
      <c r="FY40" s="72"/>
      <c r="FZ40" s="72"/>
      <c r="GA40" s="72"/>
      <c r="GB40" s="72"/>
      <c r="GC40" s="72"/>
      <c r="GD40" s="72"/>
      <c r="GE40" s="72"/>
      <c r="GF40" s="72"/>
      <c r="GG40" s="72"/>
      <c r="GH40" s="72"/>
      <c r="GI40" s="72"/>
      <c r="GJ40" s="72"/>
      <c r="GK40" s="72"/>
      <c r="GL40" s="72"/>
      <c r="GM40" s="72"/>
      <c r="GN40" s="72"/>
      <c r="GO40" s="72"/>
      <c r="GP40" s="72"/>
      <c r="GQ40" s="72"/>
      <c r="GR40" s="72"/>
      <c r="GS40" s="72"/>
      <c r="GT40" s="72"/>
      <c r="GU40" s="72"/>
      <c r="GV40" s="72"/>
      <c r="GW40" s="72"/>
      <c r="GX40" s="72"/>
      <c r="GY40" s="72"/>
      <c r="GZ40" s="72"/>
      <c r="HA40" s="72"/>
      <c r="HB40" s="72"/>
      <c r="HC40" s="72"/>
      <c r="HD40" s="72"/>
      <c r="HE40" s="72"/>
      <c r="HF40" s="72"/>
      <c r="HG40" s="72"/>
      <c r="HH40" s="72"/>
      <c r="HI40" s="72"/>
      <c r="HJ40" s="72"/>
      <c r="HK40" s="72"/>
      <c r="HL40" s="72"/>
      <c r="HM40" s="72"/>
      <c r="HN40" s="72"/>
      <c r="HO40" s="72"/>
      <c r="HP40" s="72"/>
      <c r="HQ40" s="72"/>
      <c r="HR40" s="72"/>
      <c r="HS40" s="72"/>
      <c r="HT40" s="72"/>
      <c r="HU40" s="72"/>
      <c r="HV40" s="72"/>
      <c r="HW40" s="72"/>
      <c r="HX40" s="72"/>
      <c r="HY40" s="72"/>
      <c r="HZ40" s="72"/>
      <c r="IA40" s="72"/>
      <c r="IB40" s="72"/>
      <c r="IC40" s="72"/>
      <c r="ID40" s="72"/>
      <c r="IE40" s="72"/>
      <c r="IF40" s="72"/>
      <c r="IG40" s="72"/>
      <c r="IH40" s="72"/>
      <c r="II40" s="72"/>
      <c r="IJ40" s="72"/>
      <c r="IK40" s="72"/>
      <c r="IL40" s="72"/>
      <c r="IM40" s="72"/>
      <c r="IN40" s="72"/>
      <c r="IO40" s="72"/>
    </row>
    <row r="41" spans="2:249">
      <c r="B41" s="246"/>
      <c r="C41" s="68" t="s">
        <v>557</v>
      </c>
      <c r="D41" s="69"/>
      <c r="E41" s="70"/>
      <c r="F41" s="71"/>
      <c r="G41" s="72"/>
      <c r="H41" s="72"/>
      <c r="I41" s="99" t="s">
        <v>360</v>
      </c>
      <c r="J41" s="72"/>
      <c r="K41" s="72"/>
      <c r="L41" s="72"/>
      <c r="M41" s="98" t="s">
        <v>360</v>
      </c>
      <c r="N41" s="70"/>
      <c r="O41" s="72"/>
      <c r="P41" s="72"/>
      <c r="Q41" s="72"/>
      <c r="R41" s="71"/>
      <c r="S41" s="70"/>
      <c r="T41" s="72"/>
      <c r="U41" s="72"/>
      <c r="V41" s="72"/>
      <c r="W41" s="72"/>
      <c r="X41" s="72"/>
      <c r="Y41" s="72"/>
      <c r="Z41" s="72"/>
      <c r="AA41" s="72"/>
      <c r="AB41" s="72"/>
      <c r="AC41" s="72"/>
      <c r="AD41" s="72"/>
      <c r="AE41" s="73"/>
      <c r="AF41" s="70"/>
      <c r="AG41" s="72"/>
      <c r="AH41" s="72"/>
      <c r="AI41" s="72"/>
      <c r="AJ41" s="72"/>
      <c r="AK41" s="73"/>
      <c r="AL41" s="72"/>
      <c r="AM41" s="72"/>
      <c r="AN41" s="72"/>
      <c r="AO41" s="72"/>
      <c r="AP41" s="72"/>
      <c r="AQ41" s="72"/>
      <c r="AR41" s="72"/>
      <c r="AS41" s="72"/>
      <c r="AT41" s="72"/>
      <c r="AU41" s="72"/>
      <c r="AV41" s="72"/>
      <c r="AW41" s="72"/>
      <c r="AX41" s="72"/>
      <c r="AY41" s="72"/>
      <c r="AZ41" s="72"/>
      <c r="BA41" s="72"/>
      <c r="BB41" s="72"/>
      <c r="BC41" s="72"/>
      <c r="BD41" s="72"/>
      <c r="BE41" s="72"/>
      <c r="BF41" s="72"/>
      <c r="BG41" s="72"/>
      <c r="BH41" s="72"/>
      <c r="BI41" s="72"/>
      <c r="BJ41" s="72"/>
      <c r="BK41" s="72"/>
      <c r="BL41" s="72"/>
      <c r="BM41" s="72"/>
      <c r="BN41" s="72"/>
      <c r="BO41" s="72"/>
      <c r="BP41" s="72"/>
      <c r="BQ41" s="72"/>
      <c r="BR41" s="72"/>
      <c r="BS41" s="72"/>
      <c r="BT41" s="72"/>
      <c r="BU41" s="72"/>
      <c r="BV41" s="72"/>
      <c r="BW41" s="72"/>
      <c r="BX41" s="72"/>
      <c r="BY41" s="72"/>
      <c r="BZ41" s="72"/>
      <c r="CA41" s="72"/>
      <c r="CB41" s="72"/>
      <c r="CC41" s="72"/>
      <c r="CD41" s="72"/>
      <c r="CE41" s="72"/>
      <c r="CF41" s="72"/>
      <c r="CG41" s="72"/>
      <c r="CH41" s="72"/>
      <c r="CI41" s="72"/>
      <c r="CJ41" s="72"/>
      <c r="CK41" s="72"/>
      <c r="CL41" s="72"/>
      <c r="CM41" s="72"/>
      <c r="CN41" s="72"/>
      <c r="CO41" s="72"/>
      <c r="CP41" s="72"/>
      <c r="CQ41" s="72"/>
      <c r="CR41" s="72"/>
      <c r="CS41" s="72"/>
      <c r="CT41" s="72"/>
      <c r="CU41" s="72"/>
      <c r="CV41" s="72"/>
      <c r="CW41" s="72"/>
      <c r="CX41" s="72"/>
      <c r="CY41" s="72"/>
      <c r="CZ41" s="72"/>
      <c r="DA41" s="72"/>
      <c r="DB41" s="72"/>
      <c r="DC41" s="72"/>
      <c r="DD41" s="72"/>
      <c r="DE41" s="72"/>
      <c r="DF41" s="72"/>
      <c r="DG41" s="72"/>
      <c r="DH41" s="72"/>
      <c r="DI41" s="72"/>
      <c r="DJ41" s="72"/>
      <c r="DK41" s="72"/>
      <c r="DL41" s="72"/>
      <c r="DM41" s="72"/>
      <c r="DN41" s="72"/>
      <c r="DO41" s="72"/>
      <c r="DP41" s="72"/>
      <c r="DQ41" s="72"/>
      <c r="DR41" s="72"/>
      <c r="DS41" s="72"/>
      <c r="DT41" s="72"/>
      <c r="DU41" s="72"/>
      <c r="DV41" s="72"/>
      <c r="DW41" s="72"/>
      <c r="DX41" s="72"/>
      <c r="DY41" s="72"/>
      <c r="DZ41" s="72"/>
      <c r="EA41" s="72"/>
      <c r="EB41" s="72"/>
      <c r="EC41" s="72"/>
      <c r="ED41" s="72"/>
      <c r="EE41" s="72"/>
      <c r="EF41" s="72"/>
      <c r="EG41" s="72"/>
      <c r="EH41" s="72"/>
      <c r="EI41" s="72"/>
      <c r="EJ41" s="72"/>
      <c r="EK41" s="72"/>
      <c r="EL41" s="72"/>
      <c r="EM41" s="72"/>
      <c r="EN41" s="72"/>
      <c r="EO41" s="72"/>
      <c r="EP41" s="72"/>
      <c r="EQ41" s="72"/>
      <c r="ER41" s="72"/>
      <c r="ES41" s="72"/>
      <c r="ET41" s="72"/>
      <c r="EU41" s="72"/>
      <c r="EV41" s="72"/>
      <c r="EW41" s="72"/>
      <c r="EX41" s="72"/>
      <c r="EY41" s="72"/>
      <c r="EZ41" s="72"/>
      <c r="FA41" s="72"/>
      <c r="FB41" s="72"/>
      <c r="FC41" s="72"/>
      <c r="FD41" s="72"/>
      <c r="FE41" s="72"/>
      <c r="FF41" s="72"/>
      <c r="FG41" s="72"/>
      <c r="FH41" s="72"/>
      <c r="FI41" s="72"/>
      <c r="FJ41" s="72"/>
      <c r="FK41" s="72"/>
      <c r="FL41" s="72"/>
      <c r="FM41" s="72"/>
      <c r="FN41" s="72"/>
      <c r="FO41" s="72"/>
      <c r="FP41" s="72"/>
      <c r="FQ41" s="72"/>
      <c r="FR41" s="72"/>
      <c r="FS41" s="72"/>
      <c r="FT41" s="72"/>
      <c r="FU41" s="72"/>
      <c r="FV41" s="72"/>
      <c r="FW41" s="72"/>
      <c r="FX41" s="72"/>
      <c r="FY41" s="72"/>
      <c r="FZ41" s="72"/>
      <c r="GA41" s="72"/>
      <c r="GB41" s="72"/>
      <c r="GC41" s="72"/>
      <c r="GD41" s="72"/>
      <c r="GE41" s="72"/>
      <c r="GF41" s="72"/>
      <c r="GG41" s="72"/>
      <c r="GH41" s="72"/>
      <c r="GI41" s="72"/>
      <c r="GJ41" s="72"/>
      <c r="GK41" s="72"/>
      <c r="GL41" s="72"/>
      <c r="GM41" s="72"/>
      <c r="GN41" s="72"/>
      <c r="GO41" s="72"/>
      <c r="GP41" s="72"/>
      <c r="GQ41" s="72"/>
      <c r="GR41" s="72"/>
      <c r="GS41" s="72"/>
      <c r="GT41" s="72"/>
      <c r="GU41" s="72"/>
      <c r="GV41" s="72"/>
      <c r="GW41" s="72"/>
      <c r="GX41" s="72"/>
      <c r="GY41" s="72"/>
      <c r="GZ41" s="72"/>
      <c r="HA41" s="72"/>
      <c r="HB41" s="72"/>
      <c r="HC41" s="72"/>
      <c r="HD41" s="72"/>
      <c r="HE41" s="72"/>
      <c r="HF41" s="72"/>
      <c r="HG41" s="72"/>
      <c r="HH41" s="72"/>
      <c r="HI41" s="72"/>
      <c r="HJ41" s="72"/>
      <c r="HK41" s="72"/>
      <c r="HL41" s="72"/>
      <c r="HM41" s="72"/>
      <c r="HN41" s="72"/>
      <c r="HO41" s="72"/>
      <c r="HP41" s="72"/>
      <c r="HQ41" s="72"/>
      <c r="HR41" s="72"/>
      <c r="HS41" s="72"/>
      <c r="HT41" s="72"/>
      <c r="HU41" s="72"/>
      <c r="HV41" s="72"/>
      <c r="HW41" s="72"/>
      <c r="HX41" s="72"/>
      <c r="HY41" s="72"/>
      <c r="HZ41" s="72"/>
      <c r="IA41" s="72"/>
      <c r="IB41" s="72"/>
      <c r="IC41" s="72"/>
      <c r="ID41" s="72"/>
      <c r="IE41" s="72"/>
      <c r="IF41" s="72"/>
      <c r="IG41" s="72"/>
      <c r="IH41" s="72"/>
      <c r="II41" s="72"/>
      <c r="IJ41" s="72"/>
      <c r="IK41" s="72"/>
      <c r="IL41" s="72"/>
      <c r="IM41" s="72"/>
      <c r="IN41" s="72"/>
      <c r="IO41" s="72"/>
    </row>
    <row r="42" spans="2:249">
      <c r="B42" s="59" t="s">
        <v>453</v>
      </c>
      <c r="C42" s="59" t="s">
        <v>569</v>
      </c>
      <c r="D42" s="91"/>
      <c r="E42" s="92"/>
      <c r="F42" s="93"/>
      <c r="G42" s="94"/>
      <c r="H42" s="94"/>
      <c r="I42" s="94"/>
      <c r="J42" s="94"/>
      <c r="K42" s="94"/>
      <c r="L42" s="94"/>
      <c r="M42" s="93"/>
      <c r="N42" s="92"/>
      <c r="O42" s="94"/>
      <c r="P42" s="94"/>
      <c r="Q42" s="94"/>
      <c r="R42" s="93"/>
      <c r="S42" s="92"/>
      <c r="T42" s="94"/>
      <c r="U42" s="94"/>
      <c r="V42" s="94"/>
      <c r="W42" s="94"/>
      <c r="X42" s="94"/>
      <c r="Y42" s="94"/>
      <c r="Z42" s="94"/>
      <c r="AA42" s="94"/>
      <c r="AB42" s="94"/>
      <c r="AC42" s="94"/>
      <c r="AD42" s="94"/>
      <c r="AE42" s="95"/>
      <c r="AF42" s="92"/>
      <c r="AG42" s="94"/>
      <c r="AH42" s="94"/>
      <c r="AI42" s="94"/>
      <c r="AJ42" s="94"/>
      <c r="AK42" s="95"/>
      <c r="AL42" s="94"/>
      <c r="AM42" s="94"/>
      <c r="AN42" s="94"/>
      <c r="AO42" s="94"/>
      <c r="AP42" s="94"/>
      <c r="AQ42" s="94"/>
      <c r="AR42" s="94"/>
      <c r="AS42" s="94"/>
      <c r="AT42" s="94"/>
      <c r="AU42" s="94"/>
      <c r="AV42" s="94"/>
      <c r="AW42" s="94"/>
      <c r="AX42" s="94"/>
      <c r="AY42" s="94"/>
      <c r="AZ42" s="94"/>
      <c r="BA42" s="94"/>
      <c r="BB42" s="94"/>
      <c r="BC42" s="94"/>
      <c r="BD42" s="94"/>
      <c r="BE42" s="94"/>
      <c r="BF42" s="94"/>
      <c r="BG42" s="94"/>
      <c r="BH42" s="94"/>
      <c r="BI42" s="94"/>
      <c r="BJ42" s="94"/>
      <c r="BK42" s="94"/>
      <c r="BL42" s="94"/>
      <c r="BM42" s="94"/>
      <c r="BN42" s="94"/>
      <c r="BO42" s="94"/>
      <c r="BP42" s="94"/>
      <c r="BQ42" s="94"/>
      <c r="BR42" s="94"/>
      <c r="BS42" s="94"/>
      <c r="BT42" s="94"/>
      <c r="BU42" s="94"/>
      <c r="BV42" s="94"/>
      <c r="BW42" s="94"/>
      <c r="BX42" s="94"/>
      <c r="BY42" s="94"/>
      <c r="BZ42" s="94"/>
      <c r="CA42" s="94"/>
      <c r="CB42" s="94"/>
      <c r="CC42" s="94"/>
      <c r="CD42" s="94"/>
      <c r="CE42" s="94"/>
      <c r="CF42" s="94"/>
      <c r="CG42" s="94"/>
      <c r="CH42" s="94"/>
      <c r="CI42" s="94"/>
      <c r="CJ42" s="94"/>
      <c r="CK42" s="94"/>
      <c r="CL42" s="94"/>
      <c r="CM42" s="94"/>
      <c r="CN42" s="94"/>
      <c r="CO42" s="94"/>
      <c r="CP42" s="94"/>
      <c r="CQ42" s="94"/>
      <c r="CR42" s="94"/>
      <c r="CS42" s="94"/>
      <c r="CT42" s="94"/>
      <c r="CU42" s="94"/>
      <c r="CV42" s="94"/>
      <c r="CW42" s="94"/>
      <c r="CX42" s="94"/>
      <c r="CY42" s="94"/>
      <c r="CZ42" s="94"/>
      <c r="DA42" s="94"/>
      <c r="DB42" s="94"/>
      <c r="DC42" s="94"/>
      <c r="DD42" s="94"/>
      <c r="DE42" s="94"/>
      <c r="DF42" s="94"/>
      <c r="DG42" s="94"/>
      <c r="DH42" s="94"/>
      <c r="DI42" s="94"/>
      <c r="DJ42" s="94"/>
      <c r="DK42" s="94"/>
      <c r="DL42" s="94"/>
      <c r="DM42" s="94"/>
      <c r="DN42" s="94"/>
      <c r="DO42" s="94"/>
      <c r="DP42" s="94"/>
      <c r="DQ42" s="94"/>
      <c r="DR42" s="94"/>
      <c r="DS42" s="94"/>
      <c r="DT42" s="94"/>
      <c r="DU42" s="94"/>
      <c r="DV42" s="94"/>
      <c r="DW42" s="94"/>
      <c r="DX42" s="94"/>
      <c r="DY42" s="94"/>
      <c r="DZ42" s="94"/>
      <c r="EA42" s="94"/>
      <c r="EB42" s="94"/>
      <c r="EC42" s="94"/>
      <c r="ED42" s="94"/>
      <c r="EE42" s="94"/>
      <c r="EF42" s="94"/>
      <c r="EG42" s="94"/>
      <c r="EH42" s="94"/>
      <c r="EI42" s="94"/>
      <c r="EJ42" s="94"/>
      <c r="EK42" s="94"/>
      <c r="EL42" s="94"/>
      <c r="EM42" s="94"/>
      <c r="EN42" s="94"/>
      <c r="EO42" s="94"/>
      <c r="EP42" s="94"/>
      <c r="EQ42" s="94"/>
      <c r="ER42" s="94"/>
      <c r="ES42" s="94"/>
      <c r="ET42" s="94"/>
      <c r="EU42" s="94"/>
      <c r="EV42" s="94"/>
      <c r="EW42" s="94"/>
      <c r="EX42" s="94"/>
      <c r="EY42" s="94"/>
      <c r="EZ42" s="94"/>
      <c r="FA42" s="94"/>
      <c r="FB42" s="94"/>
      <c r="FC42" s="94"/>
      <c r="FD42" s="94"/>
      <c r="FE42" s="94"/>
      <c r="FF42" s="94"/>
      <c r="FG42" s="94"/>
      <c r="FH42" s="94"/>
      <c r="FI42" s="94"/>
      <c r="FJ42" s="94"/>
      <c r="FK42" s="94"/>
      <c r="FL42" s="94"/>
      <c r="FM42" s="94"/>
      <c r="FN42" s="94"/>
      <c r="FO42" s="94"/>
      <c r="FP42" s="94"/>
      <c r="FQ42" s="94"/>
      <c r="FR42" s="94"/>
      <c r="FS42" s="94"/>
      <c r="FT42" s="94"/>
      <c r="FU42" s="94"/>
      <c r="FV42" s="94"/>
      <c r="FW42" s="94"/>
      <c r="FX42" s="94"/>
      <c r="FY42" s="94"/>
      <c r="FZ42" s="94"/>
      <c r="GA42" s="94"/>
      <c r="GB42" s="94"/>
      <c r="GC42" s="94"/>
      <c r="GD42" s="94"/>
      <c r="GE42" s="94"/>
      <c r="GF42" s="94"/>
      <c r="GG42" s="94"/>
      <c r="GH42" s="94"/>
      <c r="GI42" s="94"/>
      <c r="GJ42" s="94"/>
      <c r="GK42" s="94"/>
      <c r="GL42" s="94"/>
      <c r="GM42" s="94"/>
      <c r="GN42" s="94"/>
      <c r="GO42" s="94"/>
      <c r="GP42" s="94"/>
      <c r="GQ42" s="94"/>
      <c r="GR42" s="94"/>
      <c r="GS42" s="94"/>
      <c r="GT42" s="94"/>
      <c r="GU42" s="94"/>
      <c r="GV42" s="94"/>
      <c r="GW42" s="94"/>
      <c r="GX42" s="94"/>
      <c r="GY42" s="94"/>
      <c r="GZ42" s="94"/>
      <c r="HA42" s="94"/>
      <c r="HB42" s="94"/>
      <c r="HC42" s="94"/>
      <c r="HD42" s="94"/>
      <c r="HE42" s="94"/>
      <c r="HF42" s="94"/>
      <c r="HG42" s="94"/>
      <c r="HH42" s="94"/>
      <c r="HI42" s="94"/>
      <c r="HJ42" s="94"/>
      <c r="HK42" s="94"/>
      <c r="HL42" s="94"/>
      <c r="HM42" s="94"/>
      <c r="HN42" s="94"/>
      <c r="HO42" s="94"/>
      <c r="HP42" s="94"/>
      <c r="HQ42" s="94"/>
      <c r="HR42" s="94"/>
      <c r="HS42" s="94"/>
      <c r="HT42" s="94"/>
      <c r="HU42" s="94"/>
      <c r="HV42" s="94"/>
      <c r="HW42" s="94"/>
      <c r="HX42" s="94"/>
      <c r="HY42" s="94"/>
      <c r="HZ42" s="94"/>
      <c r="IA42" s="94"/>
      <c r="IB42" s="94"/>
      <c r="IC42" s="94"/>
      <c r="ID42" s="94"/>
      <c r="IE42" s="94"/>
      <c r="IF42" s="94"/>
      <c r="IG42" s="94"/>
      <c r="IH42" s="94"/>
      <c r="II42" s="94"/>
      <c r="IJ42" s="94"/>
      <c r="IK42" s="94"/>
      <c r="IL42" s="94"/>
      <c r="IM42" s="94"/>
      <c r="IN42" s="94"/>
      <c r="IO42" s="94"/>
    </row>
    <row r="43" spans="2:249">
      <c r="B43" s="244" t="s">
        <v>568</v>
      </c>
      <c r="C43" s="68" t="s">
        <v>571</v>
      </c>
      <c r="D43" s="69" t="s">
        <v>360</v>
      </c>
      <c r="E43" s="70" t="s">
        <v>360</v>
      </c>
      <c r="F43" s="71" t="s">
        <v>360</v>
      </c>
      <c r="G43" s="87" t="s">
        <v>360</v>
      </c>
      <c r="H43" s="87" t="s">
        <v>360</v>
      </c>
      <c r="I43" s="87" t="s">
        <v>360</v>
      </c>
      <c r="J43" s="87" t="s">
        <v>360</v>
      </c>
      <c r="K43" s="87" t="s">
        <v>360</v>
      </c>
      <c r="L43" s="87" t="s">
        <v>360</v>
      </c>
      <c r="M43" s="166" t="s">
        <v>360</v>
      </c>
      <c r="N43" s="97" t="s">
        <v>360</v>
      </c>
      <c r="O43" s="72"/>
      <c r="P43" s="99" t="s">
        <v>360</v>
      </c>
      <c r="Q43" s="99" t="s">
        <v>360</v>
      </c>
      <c r="R43" s="71"/>
      <c r="S43" s="70" t="s">
        <v>360</v>
      </c>
      <c r="T43" s="72" t="s">
        <v>360</v>
      </c>
      <c r="U43" s="72" t="s">
        <v>360</v>
      </c>
      <c r="V43" s="72" t="s">
        <v>360</v>
      </c>
      <c r="W43" s="72" t="s">
        <v>360</v>
      </c>
      <c r="X43" s="72" t="s">
        <v>360</v>
      </c>
      <c r="Y43" s="72" t="s">
        <v>360</v>
      </c>
      <c r="Z43" s="72" t="s">
        <v>360</v>
      </c>
      <c r="AA43" s="72" t="s">
        <v>360</v>
      </c>
      <c r="AB43" s="72" t="s">
        <v>360</v>
      </c>
      <c r="AC43" s="72" t="s">
        <v>360</v>
      </c>
      <c r="AD43" s="72" t="s">
        <v>360</v>
      </c>
      <c r="AE43" s="73" t="s">
        <v>360</v>
      </c>
      <c r="AF43" s="70" t="s">
        <v>360</v>
      </c>
      <c r="AG43" s="72" t="s">
        <v>360</v>
      </c>
      <c r="AH43" s="72" t="s">
        <v>360</v>
      </c>
      <c r="AI43" s="72" t="s">
        <v>360</v>
      </c>
      <c r="AJ43" s="72" t="s">
        <v>360</v>
      </c>
      <c r="AK43" s="73" t="s">
        <v>360</v>
      </c>
      <c r="AL43" s="72"/>
      <c r="AM43" s="72"/>
      <c r="AN43" s="72"/>
      <c r="AO43" s="72"/>
      <c r="AP43" s="72"/>
      <c r="AQ43" s="72"/>
      <c r="AR43" s="72"/>
      <c r="AS43" s="72"/>
      <c r="AT43" s="72"/>
      <c r="AU43" s="72"/>
      <c r="AV43" s="72"/>
      <c r="AW43" s="72"/>
      <c r="AX43" s="72"/>
      <c r="AY43" s="72"/>
      <c r="AZ43" s="72"/>
      <c r="BA43" s="72"/>
      <c r="BB43" s="72"/>
      <c r="BC43" s="72"/>
      <c r="BD43" s="72"/>
      <c r="BE43" s="72"/>
      <c r="BF43" s="72"/>
      <c r="BG43" s="72"/>
      <c r="BH43" s="72"/>
      <c r="BI43" s="72"/>
      <c r="BJ43" s="72"/>
      <c r="BK43" s="72"/>
      <c r="BL43" s="72"/>
      <c r="BM43" s="72"/>
      <c r="BN43" s="72"/>
      <c r="BO43" s="72"/>
      <c r="BP43" s="72"/>
      <c r="BQ43" s="72"/>
      <c r="BR43" s="72"/>
      <c r="BS43" s="72"/>
      <c r="BT43" s="72"/>
      <c r="BU43" s="72"/>
      <c r="BV43" s="72"/>
      <c r="BW43" s="72"/>
      <c r="BX43" s="72"/>
      <c r="BY43" s="72"/>
      <c r="BZ43" s="72"/>
      <c r="CA43" s="72"/>
      <c r="CB43" s="72"/>
      <c r="CC43" s="72"/>
      <c r="CD43" s="72"/>
      <c r="CE43" s="72"/>
      <c r="CF43" s="72"/>
      <c r="CG43" s="72"/>
      <c r="CH43" s="72"/>
      <c r="CI43" s="72"/>
      <c r="CJ43" s="72"/>
      <c r="CK43" s="72"/>
      <c r="CL43" s="72"/>
      <c r="CM43" s="72"/>
      <c r="CN43" s="72"/>
      <c r="CO43" s="72"/>
      <c r="CP43" s="72"/>
      <c r="CQ43" s="72"/>
      <c r="CR43" s="72"/>
      <c r="CS43" s="72"/>
      <c r="CT43" s="72"/>
      <c r="CU43" s="72"/>
      <c r="CV43" s="72"/>
      <c r="CW43" s="72"/>
      <c r="CX43" s="72"/>
      <c r="CY43" s="72"/>
      <c r="CZ43" s="72"/>
      <c r="DA43" s="72"/>
      <c r="DB43" s="72"/>
      <c r="DC43" s="72"/>
      <c r="DD43" s="72"/>
      <c r="DE43" s="72"/>
      <c r="DF43" s="72"/>
      <c r="DG43" s="72"/>
      <c r="DH43" s="72"/>
      <c r="DI43" s="72"/>
      <c r="DJ43" s="72"/>
      <c r="DK43" s="72"/>
      <c r="DL43" s="72"/>
      <c r="DM43" s="72"/>
      <c r="DN43" s="72"/>
      <c r="DO43" s="72"/>
      <c r="DP43" s="72"/>
      <c r="DQ43" s="72"/>
      <c r="DR43" s="72"/>
      <c r="DS43" s="72"/>
      <c r="DT43" s="72"/>
      <c r="DU43" s="72"/>
      <c r="DV43" s="72"/>
      <c r="DW43" s="72"/>
      <c r="DX43" s="72"/>
      <c r="DY43" s="72"/>
      <c r="DZ43" s="72"/>
      <c r="EA43" s="72"/>
      <c r="EB43" s="72"/>
      <c r="EC43" s="72"/>
      <c r="ED43" s="72"/>
      <c r="EE43" s="72"/>
      <c r="EF43" s="72"/>
      <c r="EG43" s="72"/>
      <c r="EH43" s="72"/>
      <c r="EI43" s="72"/>
      <c r="EJ43" s="72"/>
      <c r="EK43" s="72"/>
      <c r="EL43" s="72"/>
      <c r="EM43" s="72"/>
      <c r="EN43" s="72"/>
      <c r="EO43" s="72"/>
      <c r="EP43" s="72"/>
      <c r="EQ43" s="72"/>
      <c r="ER43" s="72"/>
      <c r="ES43" s="72"/>
      <c r="ET43" s="72"/>
      <c r="EU43" s="72"/>
      <c r="EV43" s="72"/>
      <c r="EW43" s="72"/>
      <c r="EX43" s="72"/>
      <c r="EY43" s="72"/>
      <c r="EZ43" s="72"/>
      <c r="FA43" s="72"/>
      <c r="FB43" s="72"/>
      <c r="FC43" s="72"/>
      <c r="FD43" s="72"/>
      <c r="FE43" s="72"/>
      <c r="FF43" s="72"/>
      <c r="FG43" s="72"/>
      <c r="FH43" s="72"/>
      <c r="FI43" s="72"/>
      <c r="FJ43" s="72"/>
      <c r="FK43" s="72"/>
      <c r="FL43" s="72"/>
      <c r="FM43" s="72"/>
      <c r="FN43" s="72"/>
      <c r="FO43" s="72"/>
      <c r="FP43" s="72"/>
      <c r="FQ43" s="72"/>
      <c r="FR43" s="72"/>
      <c r="FS43" s="72"/>
      <c r="FT43" s="72"/>
      <c r="FU43" s="72"/>
      <c r="FV43" s="72"/>
      <c r="FW43" s="72"/>
      <c r="FX43" s="72"/>
      <c r="FY43" s="72"/>
      <c r="FZ43" s="72"/>
      <c r="GA43" s="72"/>
      <c r="GB43" s="72"/>
      <c r="GC43" s="72"/>
      <c r="GD43" s="72"/>
      <c r="GE43" s="72"/>
      <c r="GF43" s="72"/>
      <c r="GG43" s="72"/>
      <c r="GH43" s="72"/>
      <c r="GI43" s="72"/>
      <c r="GJ43" s="72"/>
      <c r="GK43" s="72"/>
      <c r="GL43" s="72"/>
      <c r="GM43" s="72"/>
      <c r="GN43" s="72"/>
      <c r="GO43" s="72"/>
      <c r="GP43" s="72"/>
      <c r="GQ43" s="72"/>
      <c r="GR43" s="72"/>
      <c r="GS43" s="72"/>
      <c r="GT43" s="72"/>
      <c r="GU43" s="72"/>
      <c r="GV43" s="72"/>
      <c r="GW43" s="72"/>
      <c r="GX43" s="72"/>
      <c r="GY43" s="72"/>
      <c r="GZ43" s="72"/>
      <c r="HA43" s="72"/>
      <c r="HB43" s="72"/>
      <c r="HC43" s="72"/>
      <c r="HD43" s="72"/>
      <c r="HE43" s="72"/>
      <c r="HF43" s="72"/>
      <c r="HG43" s="72"/>
      <c r="HH43" s="72"/>
      <c r="HI43" s="72"/>
      <c r="HJ43" s="72"/>
      <c r="HK43" s="72"/>
      <c r="HL43" s="72"/>
      <c r="HM43" s="72"/>
      <c r="HN43" s="72"/>
      <c r="HO43" s="72"/>
      <c r="HP43" s="72"/>
      <c r="HQ43" s="72"/>
      <c r="HR43" s="72"/>
      <c r="HS43" s="72"/>
      <c r="HT43" s="72"/>
      <c r="HU43" s="72"/>
      <c r="HV43" s="72"/>
      <c r="HW43" s="72"/>
      <c r="HX43" s="72"/>
      <c r="HY43" s="72"/>
      <c r="HZ43" s="72"/>
      <c r="IA43" s="72"/>
      <c r="IB43" s="72"/>
      <c r="IC43" s="72"/>
      <c r="ID43" s="72"/>
      <c r="IE43" s="72"/>
      <c r="IF43" s="72"/>
      <c r="IG43" s="72"/>
      <c r="IH43" s="72"/>
      <c r="II43" s="72"/>
      <c r="IJ43" s="72"/>
      <c r="IK43" s="72"/>
      <c r="IL43" s="72"/>
      <c r="IM43" s="72"/>
      <c r="IN43" s="72"/>
      <c r="IO43" s="72"/>
    </row>
    <row r="44" spans="2:249">
      <c r="B44" s="246"/>
      <c r="C44" s="68" t="s">
        <v>570</v>
      </c>
      <c r="D44" s="69"/>
      <c r="E44" s="70"/>
      <c r="F44" s="71"/>
      <c r="G44" s="72"/>
      <c r="H44" s="72"/>
      <c r="I44" s="72"/>
      <c r="J44" s="72"/>
      <c r="K44" s="72"/>
      <c r="L44" s="72"/>
      <c r="M44" s="71"/>
      <c r="N44" s="70"/>
      <c r="O44" s="99" t="s">
        <v>360</v>
      </c>
      <c r="P44" s="72"/>
      <c r="Q44" s="72"/>
      <c r="R44" s="98" t="s">
        <v>360</v>
      </c>
      <c r="S44" s="70"/>
      <c r="T44" s="72"/>
      <c r="U44" s="72"/>
      <c r="V44" s="72"/>
      <c r="W44" s="72"/>
      <c r="X44" s="72"/>
      <c r="Y44" s="72"/>
      <c r="Z44" s="72"/>
      <c r="AA44" s="72"/>
      <c r="AB44" s="72"/>
      <c r="AC44" s="72"/>
      <c r="AD44" s="72"/>
      <c r="AE44" s="73"/>
      <c r="AF44" s="70"/>
      <c r="AG44" s="72"/>
      <c r="AH44" s="72"/>
      <c r="AI44" s="72"/>
      <c r="AJ44" s="72"/>
      <c r="AK44" s="73"/>
      <c r="AL44" s="72"/>
      <c r="AM44" s="72"/>
      <c r="AN44" s="72"/>
      <c r="AO44" s="72"/>
      <c r="AP44" s="72"/>
      <c r="AQ44" s="72"/>
      <c r="AR44" s="72"/>
      <c r="AS44" s="72"/>
      <c r="AT44" s="72"/>
      <c r="AU44" s="72"/>
      <c r="AV44" s="72"/>
      <c r="AW44" s="72"/>
      <c r="AX44" s="72"/>
      <c r="AY44" s="72"/>
      <c r="AZ44" s="72"/>
      <c r="BA44" s="72"/>
      <c r="BB44" s="72"/>
      <c r="BC44" s="72"/>
      <c r="BD44" s="72"/>
      <c r="BE44" s="72"/>
      <c r="BF44" s="72"/>
      <c r="BG44" s="72"/>
      <c r="BH44" s="72"/>
      <c r="BI44" s="72"/>
      <c r="BJ44" s="72"/>
      <c r="BK44" s="72"/>
      <c r="BL44" s="72"/>
      <c r="BM44" s="72"/>
      <c r="BN44" s="72"/>
      <c r="BO44" s="72"/>
      <c r="BP44" s="72"/>
      <c r="BQ44" s="72"/>
      <c r="BR44" s="72"/>
      <c r="BS44" s="72"/>
      <c r="BT44" s="72"/>
      <c r="BU44" s="72"/>
      <c r="BV44" s="72"/>
      <c r="BW44" s="72"/>
      <c r="BX44" s="72"/>
      <c r="BY44" s="72"/>
      <c r="BZ44" s="72"/>
      <c r="CA44" s="72"/>
      <c r="CB44" s="72"/>
      <c r="CC44" s="72"/>
      <c r="CD44" s="72"/>
      <c r="CE44" s="72"/>
      <c r="CF44" s="72"/>
      <c r="CG44" s="72"/>
      <c r="CH44" s="72"/>
      <c r="CI44" s="72"/>
      <c r="CJ44" s="72"/>
      <c r="CK44" s="72"/>
      <c r="CL44" s="72"/>
      <c r="CM44" s="72"/>
      <c r="CN44" s="72"/>
      <c r="CO44" s="72"/>
      <c r="CP44" s="72"/>
      <c r="CQ44" s="72"/>
      <c r="CR44" s="72"/>
      <c r="CS44" s="72"/>
      <c r="CT44" s="72"/>
      <c r="CU44" s="72"/>
      <c r="CV44" s="72"/>
      <c r="CW44" s="72"/>
      <c r="CX44" s="72"/>
      <c r="CY44" s="72"/>
      <c r="CZ44" s="72"/>
      <c r="DA44" s="72"/>
      <c r="DB44" s="72"/>
      <c r="DC44" s="72"/>
      <c r="DD44" s="72"/>
      <c r="DE44" s="72"/>
      <c r="DF44" s="72"/>
      <c r="DG44" s="72"/>
      <c r="DH44" s="72"/>
      <c r="DI44" s="72"/>
      <c r="DJ44" s="72"/>
      <c r="DK44" s="72"/>
      <c r="DL44" s="72"/>
      <c r="DM44" s="72"/>
      <c r="DN44" s="72"/>
      <c r="DO44" s="72"/>
      <c r="DP44" s="72"/>
      <c r="DQ44" s="72"/>
      <c r="DR44" s="72"/>
      <c r="DS44" s="72"/>
      <c r="DT44" s="72"/>
      <c r="DU44" s="72"/>
      <c r="DV44" s="72"/>
      <c r="DW44" s="72"/>
      <c r="DX44" s="72"/>
      <c r="DY44" s="72"/>
      <c r="DZ44" s="72"/>
      <c r="EA44" s="72"/>
      <c r="EB44" s="72"/>
      <c r="EC44" s="72"/>
      <c r="ED44" s="72"/>
      <c r="EE44" s="72"/>
      <c r="EF44" s="72"/>
      <c r="EG44" s="72"/>
      <c r="EH44" s="72"/>
      <c r="EI44" s="72"/>
      <c r="EJ44" s="72"/>
      <c r="EK44" s="72"/>
      <c r="EL44" s="72"/>
      <c r="EM44" s="72"/>
      <c r="EN44" s="72"/>
      <c r="EO44" s="72"/>
      <c r="EP44" s="72"/>
      <c r="EQ44" s="72"/>
      <c r="ER44" s="72"/>
      <c r="ES44" s="72"/>
      <c r="ET44" s="72"/>
      <c r="EU44" s="72"/>
      <c r="EV44" s="72"/>
      <c r="EW44" s="72"/>
      <c r="EX44" s="72"/>
      <c r="EY44" s="72"/>
      <c r="EZ44" s="72"/>
      <c r="FA44" s="72"/>
      <c r="FB44" s="72"/>
      <c r="FC44" s="72"/>
      <c r="FD44" s="72"/>
      <c r="FE44" s="72"/>
      <c r="FF44" s="72"/>
      <c r="FG44" s="72"/>
      <c r="FH44" s="72"/>
      <c r="FI44" s="72"/>
      <c r="FJ44" s="72"/>
      <c r="FK44" s="72"/>
      <c r="FL44" s="72"/>
      <c r="FM44" s="72"/>
      <c r="FN44" s="72"/>
      <c r="FO44" s="72"/>
      <c r="FP44" s="72"/>
      <c r="FQ44" s="72"/>
      <c r="FR44" s="72"/>
      <c r="FS44" s="72"/>
      <c r="FT44" s="72"/>
      <c r="FU44" s="72"/>
      <c r="FV44" s="72"/>
      <c r="FW44" s="72"/>
      <c r="FX44" s="72"/>
      <c r="FY44" s="72"/>
      <c r="FZ44" s="72"/>
      <c r="GA44" s="72"/>
      <c r="GB44" s="72"/>
      <c r="GC44" s="72"/>
      <c r="GD44" s="72"/>
      <c r="GE44" s="72"/>
      <c r="GF44" s="72"/>
      <c r="GG44" s="72"/>
      <c r="GH44" s="72"/>
      <c r="GI44" s="72"/>
      <c r="GJ44" s="72"/>
      <c r="GK44" s="72"/>
      <c r="GL44" s="72"/>
      <c r="GM44" s="72"/>
      <c r="GN44" s="72"/>
      <c r="GO44" s="72"/>
      <c r="GP44" s="72"/>
      <c r="GQ44" s="72"/>
      <c r="GR44" s="72"/>
      <c r="GS44" s="72"/>
      <c r="GT44" s="72"/>
      <c r="GU44" s="72"/>
      <c r="GV44" s="72"/>
      <c r="GW44" s="72"/>
      <c r="GX44" s="72"/>
      <c r="GY44" s="72"/>
      <c r="GZ44" s="72"/>
      <c r="HA44" s="72"/>
      <c r="HB44" s="72"/>
      <c r="HC44" s="72"/>
      <c r="HD44" s="72"/>
      <c r="HE44" s="72"/>
      <c r="HF44" s="72"/>
      <c r="HG44" s="72"/>
      <c r="HH44" s="72"/>
      <c r="HI44" s="72"/>
      <c r="HJ44" s="72"/>
      <c r="HK44" s="72"/>
      <c r="HL44" s="72"/>
      <c r="HM44" s="72"/>
      <c r="HN44" s="72"/>
      <c r="HO44" s="72"/>
      <c r="HP44" s="72"/>
      <c r="HQ44" s="72"/>
      <c r="HR44" s="72"/>
      <c r="HS44" s="72"/>
      <c r="HT44" s="72"/>
      <c r="HU44" s="72"/>
      <c r="HV44" s="72"/>
      <c r="HW44" s="72"/>
      <c r="HX44" s="72"/>
      <c r="HY44" s="72"/>
      <c r="HZ44" s="72"/>
      <c r="IA44" s="72"/>
      <c r="IB44" s="72"/>
      <c r="IC44" s="72"/>
      <c r="ID44" s="72"/>
      <c r="IE44" s="72"/>
      <c r="IF44" s="72"/>
      <c r="IG44" s="72"/>
      <c r="IH44" s="72"/>
      <c r="II44" s="72"/>
      <c r="IJ44" s="72"/>
      <c r="IK44" s="72"/>
      <c r="IL44" s="72"/>
      <c r="IM44" s="72"/>
      <c r="IN44" s="72"/>
      <c r="IO44" s="72"/>
    </row>
    <row r="45" spans="2:249">
      <c r="B45" s="242" t="s">
        <v>536</v>
      </c>
      <c r="C45" s="243"/>
      <c r="D45" s="74"/>
      <c r="E45" s="101"/>
      <c r="F45" s="102"/>
      <c r="G45" s="77"/>
      <c r="H45" s="77"/>
      <c r="I45" s="77"/>
      <c r="J45" s="77"/>
      <c r="K45" s="77"/>
      <c r="L45" s="77"/>
      <c r="M45" s="76"/>
      <c r="N45" s="75"/>
      <c r="O45" s="77"/>
      <c r="P45" s="77"/>
      <c r="Q45" s="77"/>
      <c r="R45" s="76"/>
      <c r="S45" s="75"/>
      <c r="T45" s="77"/>
      <c r="U45" s="77"/>
      <c r="V45" s="77"/>
      <c r="W45" s="77"/>
      <c r="X45" s="77"/>
      <c r="Y45" s="77"/>
      <c r="Z45" s="77"/>
      <c r="AA45" s="77"/>
      <c r="AB45" s="77"/>
      <c r="AC45" s="77"/>
      <c r="AD45" s="77"/>
      <c r="AE45" s="78"/>
      <c r="AF45" s="101"/>
      <c r="AG45" s="163"/>
      <c r="AH45" s="163"/>
      <c r="AI45" s="163"/>
      <c r="AJ45" s="163"/>
      <c r="AK45" s="221"/>
      <c r="AL45" s="163"/>
      <c r="AM45" s="163"/>
      <c r="AN45" s="163"/>
      <c r="AO45" s="163"/>
      <c r="AP45" s="163"/>
      <c r="AQ45" s="163"/>
      <c r="AR45" s="163"/>
      <c r="AS45" s="163"/>
      <c r="AT45" s="163"/>
      <c r="AU45" s="163"/>
      <c r="AV45" s="163"/>
      <c r="AW45" s="163"/>
      <c r="AX45" s="163"/>
      <c r="AY45" s="163"/>
      <c r="AZ45" s="163"/>
      <c r="BA45" s="163"/>
      <c r="BB45" s="163"/>
      <c r="BC45" s="163"/>
      <c r="BD45" s="163"/>
      <c r="BE45" s="163"/>
      <c r="BF45" s="163"/>
      <c r="BG45" s="163"/>
      <c r="BH45" s="163"/>
      <c r="BI45" s="163"/>
      <c r="BJ45" s="163"/>
      <c r="BK45" s="163"/>
      <c r="BL45" s="163"/>
      <c r="BM45" s="163"/>
      <c r="BN45" s="163"/>
      <c r="BO45" s="163"/>
      <c r="BP45" s="163"/>
      <c r="BQ45" s="163"/>
      <c r="BR45" s="163"/>
      <c r="BS45" s="163"/>
      <c r="BT45" s="163"/>
      <c r="BU45" s="163"/>
      <c r="BV45" s="163"/>
      <c r="BW45" s="163"/>
      <c r="BX45" s="163"/>
      <c r="BY45" s="163"/>
      <c r="BZ45" s="163"/>
      <c r="CA45" s="163"/>
      <c r="CB45" s="163"/>
      <c r="CC45" s="163"/>
      <c r="CD45" s="163"/>
      <c r="CE45" s="163"/>
      <c r="CF45" s="163"/>
      <c r="CG45" s="163"/>
      <c r="CH45" s="163"/>
      <c r="CI45" s="163"/>
      <c r="CJ45" s="163"/>
      <c r="CK45" s="163"/>
      <c r="CL45" s="163"/>
      <c r="CM45" s="163"/>
      <c r="CN45" s="163"/>
      <c r="CO45" s="163"/>
      <c r="CP45" s="163"/>
      <c r="CQ45" s="163"/>
      <c r="CR45" s="163"/>
      <c r="CS45" s="163"/>
      <c r="CT45" s="163"/>
      <c r="CU45" s="163"/>
      <c r="CV45" s="163"/>
      <c r="CW45" s="163"/>
      <c r="CX45" s="163"/>
      <c r="CY45" s="163"/>
      <c r="CZ45" s="163"/>
      <c r="DA45" s="163"/>
      <c r="DB45" s="163"/>
      <c r="DC45" s="163"/>
      <c r="DD45" s="163"/>
      <c r="DE45" s="163"/>
      <c r="DF45" s="163"/>
      <c r="DG45" s="163"/>
      <c r="DH45" s="163"/>
      <c r="DI45" s="163"/>
      <c r="DJ45" s="163"/>
      <c r="DK45" s="163"/>
      <c r="DL45" s="163"/>
      <c r="DM45" s="163"/>
      <c r="DN45" s="163"/>
      <c r="DO45" s="163"/>
      <c r="DP45" s="163"/>
      <c r="DQ45" s="163"/>
      <c r="DR45" s="163"/>
      <c r="DS45" s="163"/>
      <c r="DT45" s="163"/>
      <c r="DU45" s="163"/>
      <c r="DV45" s="163"/>
      <c r="DW45" s="163"/>
      <c r="DX45" s="163"/>
      <c r="DY45" s="163"/>
      <c r="DZ45" s="163"/>
      <c r="EA45" s="163"/>
      <c r="EB45" s="163"/>
      <c r="EC45" s="163"/>
      <c r="ED45" s="163"/>
      <c r="EE45" s="163"/>
      <c r="EF45" s="163"/>
      <c r="EG45" s="163"/>
      <c r="EH45" s="163"/>
      <c r="EI45" s="163"/>
      <c r="EJ45" s="163"/>
      <c r="EK45" s="163"/>
      <c r="EL45" s="163"/>
      <c r="EM45" s="163"/>
      <c r="EN45" s="163"/>
      <c r="EO45" s="163"/>
      <c r="EP45" s="163"/>
      <c r="EQ45" s="163"/>
      <c r="ER45" s="163"/>
      <c r="ES45" s="163"/>
      <c r="ET45" s="163"/>
      <c r="EU45" s="163"/>
      <c r="EV45" s="163"/>
      <c r="EW45" s="163"/>
      <c r="EX45" s="163"/>
      <c r="EY45" s="163"/>
      <c r="EZ45" s="163"/>
      <c r="FA45" s="163"/>
      <c r="FB45" s="163"/>
      <c r="FC45" s="163"/>
      <c r="FD45" s="163"/>
      <c r="FE45" s="163"/>
      <c r="FF45" s="163"/>
      <c r="FG45" s="163"/>
      <c r="FH45" s="163"/>
      <c r="FI45" s="163"/>
      <c r="FJ45" s="163"/>
      <c r="FK45" s="163"/>
      <c r="FL45" s="163"/>
      <c r="FM45" s="163"/>
      <c r="FN45" s="163"/>
      <c r="FO45" s="163"/>
      <c r="FP45" s="163"/>
      <c r="FQ45" s="163"/>
      <c r="FR45" s="163"/>
      <c r="FS45" s="163"/>
      <c r="FT45" s="163"/>
      <c r="FU45" s="163"/>
      <c r="FV45" s="163"/>
      <c r="FW45" s="163"/>
      <c r="FX45" s="163"/>
      <c r="FY45" s="163"/>
      <c r="FZ45" s="163"/>
      <c r="GA45" s="163"/>
      <c r="GB45" s="163"/>
      <c r="GC45" s="163"/>
      <c r="GD45" s="163"/>
      <c r="GE45" s="163"/>
      <c r="GF45" s="163"/>
      <c r="GG45" s="163"/>
      <c r="GH45" s="163"/>
      <c r="GI45" s="163"/>
      <c r="GJ45" s="163"/>
      <c r="GK45" s="163"/>
      <c r="GL45" s="163"/>
      <c r="GM45" s="163"/>
      <c r="GN45" s="163"/>
      <c r="GO45" s="163"/>
      <c r="GP45" s="163"/>
      <c r="GQ45" s="163"/>
      <c r="GR45" s="163"/>
      <c r="GS45" s="163"/>
      <c r="GT45" s="163"/>
      <c r="GU45" s="163"/>
      <c r="GV45" s="163"/>
      <c r="GW45" s="163"/>
      <c r="GX45" s="163"/>
      <c r="GY45" s="163"/>
      <c r="GZ45" s="163"/>
      <c r="HA45" s="163"/>
      <c r="HB45" s="163"/>
      <c r="HC45" s="163"/>
      <c r="HD45" s="163"/>
      <c r="HE45" s="163"/>
      <c r="HF45" s="163"/>
      <c r="HG45" s="163"/>
      <c r="HH45" s="163"/>
      <c r="HI45" s="163"/>
      <c r="HJ45" s="163"/>
      <c r="HK45" s="163"/>
      <c r="HL45" s="163"/>
      <c r="HM45" s="163"/>
      <c r="HN45" s="163"/>
      <c r="HO45" s="163"/>
      <c r="HP45" s="163"/>
      <c r="HQ45" s="163"/>
      <c r="HR45" s="163"/>
      <c r="HS45" s="163"/>
      <c r="HT45" s="163"/>
      <c r="HU45" s="163"/>
      <c r="HV45" s="163"/>
      <c r="HW45" s="163"/>
      <c r="HX45" s="163"/>
      <c r="HY45" s="163"/>
      <c r="HZ45" s="163"/>
      <c r="IA45" s="163"/>
      <c r="IB45" s="163"/>
      <c r="IC45" s="163"/>
      <c r="ID45" s="163"/>
      <c r="IE45" s="163"/>
      <c r="IF45" s="163"/>
      <c r="IG45" s="163"/>
      <c r="IH45" s="163"/>
      <c r="II45" s="163"/>
      <c r="IJ45" s="163"/>
      <c r="IK45" s="163"/>
      <c r="IL45" s="163"/>
      <c r="IM45" s="163"/>
      <c r="IN45" s="163"/>
      <c r="IO45" s="163"/>
    </row>
    <row r="46" spans="2:249">
      <c r="B46" s="79" t="s">
        <v>451</v>
      </c>
      <c r="C46" s="80" t="s">
        <v>564</v>
      </c>
      <c r="D46" s="81"/>
      <c r="E46" s="82"/>
      <c r="F46" s="83"/>
      <c r="G46" s="84"/>
      <c r="H46" s="84"/>
      <c r="I46" s="84"/>
      <c r="J46" s="84"/>
      <c r="K46" s="84"/>
      <c r="L46" s="84"/>
      <c r="M46" s="83"/>
      <c r="N46" s="82"/>
      <c r="O46" s="84"/>
      <c r="P46" s="84"/>
      <c r="Q46" s="84"/>
      <c r="R46" s="83"/>
      <c r="S46" s="82"/>
      <c r="T46" s="84"/>
      <c r="U46" s="84"/>
      <c r="V46" s="84"/>
      <c r="W46" s="84"/>
      <c r="X46" s="84"/>
      <c r="Y46" s="84"/>
      <c r="Z46" s="84"/>
      <c r="AA46" s="84"/>
      <c r="AB46" s="84"/>
      <c r="AC46" s="84"/>
      <c r="AD46" s="84"/>
      <c r="AE46" s="85"/>
      <c r="AF46" s="82"/>
      <c r="AG46" s="84"/>
      <c r="AH46" s="84"/>
      <c r="AI46" s="84"/>
      <c r="AJ46" s="84"/>
      <c r="AK46" s="85"/>
      <c r="AL46" s="84" t="s">
        <v>718</v>
      </c>
      <c r="AM46" s="84" t="s">
        <v>718</v>
      </c>
      <c r="AN46" s="84" t="s">
        <v>718</v>
      </c>
      <c r="AO46" s="84" t="s">
        <v>718</v>
      </c>
      <c r="AP46" s="84" t="s">
        <v>718</v>
      </c>
      <c r="AQ46" s="84" t="s">
        <v>718</v>
      </c>
      <c r="AR46" s="84" t="s">
        <v>718</v>
      </c>
      <c r="AS46" s="84" t="s">
        <v>718</v>
      </c>
      <c r="AT46" s="84" t="s">
        <v>718</v>
      </c>
      <c r="AU46" s="84" t="s">
        <v>718</v>
      </c>
      <c r="AV46" s="84" t="s">
        <v>718</v>
      </c>
      <c r="AW46" s="84" t="s">
        <v>718</v>
      </c>
      <c r="AX46" s="84" t="s">
        <v>718</v>
      </c>
      <c r="AY46" s="84" t="s">
        <v>718</v>
      </c>
      <c r="AZ46" s="84" t="s">
        <v>718</v>
      </c>
      <c r="BA46" s="84" t="s">
        <v>718</v>
      </c>
      <c r="BB46" s="84" t="s">
        <v>718</v>
      </c>
      <c r="BC46" s="84" t="s">
        <v>718</v>
      </c>
      <c r="BD46" s="84" t="s">
        <v>718</v>
      </c>
      <c r="BE46" s="84" t="s">
        <v>718</v>
      </c>
      <c r="BF46" s="84" t="s">
        <v>718</v>
      </c>
      <c r="BG46" s="84" t="s">
        <v>718</v>
      </c>
      <c r="BH46" s="84" t="s">
        <v>718</v>
      </c>
      <c r="BI46" s="84" t="s">
        <v>718</v>
      </c>
      <c r="BJ46" s="84" t="s">
        <v>718</v>
      </c>
      <c r="BK46" s="84" t="s">
        <v>718</v>
      </c>
      <c r="BL46" s="84" t="s">
        <v>718</v>
      </c>
      <c r="BM46" s="84" t="s">
        <v>718</v>
      </c>
      <c r="BN46" s="84" t="s">
        <v>718</v>
      </c>
      <c r="BO46" s="84" t="s">
        <v>718</v>
      </c>
      <c r="BP46" s="84" t="s">
        <v>718</v>
      </c>
      <c r="BQ46" s="84" t="s">
        <v>718</v>
      </c>
      <c r="BR46" s="84" t="s">
        <v>718</v>
      </c>
      <c r="BS46" s="84" t="s">
        <v>718</v>
      </c>
      <c r="BT46" s="84" t="s">
        <v>718</v>
      </c>
      <c r="BU46" s="84" t="s">
        <v>718</v>
      </c>
      <c r="BV46" s="84" t="s">
        <v>718</v>
      </c>
      <c r="BW46" s="84" t="s">
        <v>718</v>
      </c>
      <c r="BX46" s="84" t="s">
        <v>718</v>
      </c>
      <c r="BY46" s="84" t="s">
        <v>718</v>
      </c>
      <c r="BZ46" s="84" t="s">
        <v>718</v>
      </c>
      <c r="CA46" s="84" t="s">
        <v>718</v>
      </c>
      <c r="CB46" s="84" t="s">
        <v>718</v>
      </c>
      <c r="CC46" s="84" t="s">
        <v>718</v>
      </c>
      <c r="CD46" s="84" t="s">
        <v>718</v>
      </c>
      <c r="CE46" s="84"/>
      <c r="CF46" s="84"/>
      <c r="CG46" s="84"/>
      <c r="CH46" s="84"/>
      <c r="CI46" s="84"/>
      <c r="CJ46" s="84"/>
      <c r="CK46" s="84"/>
      <c r="CL46" s="84"/>
      <c r="CM46" s="84"/>
      <c r="CN46" s="84"/>
      <c r="CO46" s="84"/>
      <c r="CP46" s="84"/>
      <c r="CQ46" s="84"/>
      <c r="CR46" s="84"/>
      <c r="CS46" s="84"/>
      <c r="CT46" s="84"/>
      <c r="CU46" s="84"/>
      <c r="CV46" s="84"/>
      <c r="CW46" s="84"/>
      <c r="CX46" s="84"/>
      <c r="CY46" s="84"/>
      <c r="CZ46" s="84"/>
      <c r="DA46" s="84"/>
      <c r="DB46" s="84"/>
      <c r="DC46" s="84"/>
      <c r="DD46" s="84"/>
      <c r="DE46" s="84"/>
      <c r="DF46" s="84"/>
      <c r="DG46" s="84"/>
      <c r="DH46" s="84"/>
      <c r="DI46" s="84"/>
      <c r="DJ46" s="84"/>
      <c r="DK46" s="84"/>
      <c r="DL46" s="84"/>
      <c r="DM46" s="84"/>
      <c r="DN46" s="84"/>
      <c r="DO46" s="84"/>
      <c r="DP46" s="84"/>
      <c r="DQ46" s="84"/>
      <c r="DR46" s="84"/>
      <c r="DS46" s="84"/>
      <c r="DT46" s="84"/>
      <c r="DU46" s="84"/>
      <c r="DV46" s="84"/>
      <c r="DW46" s="84"/>
      <c r="DX46" s="84"/>
      <c r="DY46" s="84"/>
      <c r="DZ46" s="84"/>
      <c r="EA46" s="84"/>
      <c r="EB46" s="84"/>
      <c r="EC46" s="84"/>
      <c r="ED46" s="84"/>
      <c r="EE46" s="84"/>
      <c r="EF46" s="84"/>
      <c r="EG46" s="84"/>
      <c r="EH46" s="84"/>
      <c r="EI46" s="84"/>
      <c r="EJ46" s="84"/>
      <c r="EK46" s="84"/>
      <c r="EL46" s="84"/>
      <c r="EM46" s="84"/>
      <c r="EN46" s="84"/>
      <c r="EO46" s="84"/>
      <c r="EP46" s="84"/>
      <c r="EQ46" s="84"/>
      <c r="ER46" s="84"/>
      <c r="ES46" s="84"/>
      <c r="ET46" s="84"/>
      <c r="EU46" s="84"/>
      <c r="EV46" s="84"/>
      <c r="EW46" s="84"/>
      <c r="EX46" s="84"/>
      <c r="EY46" s="84"/>
      <c r="EZ46" s="84"/>
      <c r="FA46" s="84"/>
      <c r="FB46" s="84"/>
      <c r="FC46" s="84"/>
      <c r="FD46" s="84"/>
      <c r="FE46" s="84"/>
      <c r="FF46" s="84"/>
      <c r="FG46" s="84"/>
      <c r="FH46" s="84"/>
      <c r="FI46" s="84"/>
      <c r="FJ46" s="84"/>
      <c r="FK46" s="84"/>
      <c r="FL46" s="84"/>
      <c r="FM46" s="84"/>
      <c r="FN46" s="84"/>
      <c r="FO46" s="84"/>
      <c r="FP46" s="84"/>
      <c r="FQ46" s="84"/>
      <c r="FR46" s="84"/>
      <c r="FS46" s="84"/>
      <c r="FT46" s="84"/>
      <c r="FU46" s="84"/>
      <c r="FV46" s="84"/>
      <c r="FW46" s="84"/>
      <c r="FX46" s="84"/>
      <c r="FY46" s="84"/>
      <c r="FZ46" s="84"/>
      <c r="GA46" s="84"/>
      <c r="GB46" s="84"/>
      <c r="GC46" s="84"/>
      <c r="GD46" s="84"/>
      <c r="GE46" s="84"/>
      <c r="GF46" s="84"/>
      <c r="GG46" s="84"/>
      <c r="GH46" s="84"/>
      <c r="GI46" s="84"/>
      <c r="GJ46" s="84"/>
      <c r="GK46" s="84"/>
      <c r="GL46" s="84"/>
      <c r="GM46" s="84"/>
      <c r="GN46" s="84"/>
      <c r="GO46" s="84"/>
      <c r="GP46" s="84"/>
      <c r="GQ46" s="84"/>
      <c r="GR46" s="84"/>
      <c r="GS46" s="84"/>
      <c r="GT46" s="84"/>
      <c r="GU46" s="84"/>
      <c r="GV46" s="84"/>
      <c r="GW46" s="84"/>
      <c r="GX46" s="84"/>
      <c r="GY46" s="84"/>
      <c r="GZ46" s="84"/>
      <c r="HA46" s="84"/>
      <c r="HB46" s="84"/>
      <c r="HC46" s="84"/>
      <c r="HD46" s="84"/>
      <c r="HE46" s="84"/>
      <c r="HF46" s="84"/>
      <c r="HG46" s="84"/>
      <c r="HH46" s="84"/>
      <c r="HI46" s="84"/>
      <c r="HJ46" s="84"/>
      <c r="HK46" s="84"/>
      <c r="HL46" s="84"/>
      <c r="HM46" s="84"/>
      <c r="HN46" s="84"/>
      <c r="HO46" s="84"/>
      <c r="HP46" s="84"/>
      <c r="HQ46" s="84"/>
      <c r="HR46" s="84"/>
      <c r="HS46" s="84"/>
      <c r="HT46" s="84"/>
      <c r="HU46" s="84"/>
      <c r="HV46" s="84"/>
      <c r="HW46" s="84"/>
      <c r="HX46" s="84"/>
      <c r="HY46" s="84"/>
      <c r="HZ46" s="84"/>
      <c r="IA46" s="84"/>
      <c r="IB46" s="84"/>
      <c r="IC46" s="84"/>
      <c r="ID46" s="84"/>
      <c r="IE46" s="84"/>
      <c r="IF46" s="84"/>
      <c r="IG46" s="84"/>
      <c r="IH46" s="84"/>
      <c r="II46" s="84"/>
      <c r="IJ46" s="84"/>
      <c r="IK46" s="84"/>
      <c r="IL46" s="84"/>
      <c r="IM46" s="84"/>
      <c r="IN46" s="84"/>
      <c r="IO46" s="84"/>
    </row>
    <row r="47" spans="2:249">
      <c r="B47" s="161" t="s">
        <v>563</v>
      </c>
      <c r="C47" s="86" t="s">
        <v>565</v>
      </c>
      <c r="D47" s="69" t="s">
        <v>360</v>
      </c>
      <c r="E47" s="70" t="s">
        <v>360</v>
      </c>
      <c r="F47" s="71" t="s">
        <v>360</v>
      </c>
      <c r="G47" s="72" t="s">
        <v>360</v>
      </c>
      <c r="H47" s="72" t="s">
        <v>360</v>
      </c>
      <c r="I47" s="72" t="s">
        <v>360</v>
      </c>
      <c r="J47" s="72" t="s">
        <v>360</v>
      </c>
      <c r="K47" s="72" t="s">
        <v>360</v>
      </c>
      <c r="L47" s="72" t="s">
        <v>360</v>
      </c>
      <c r="M47" s="71" t="s">
        <v>360</v>
      </c>
      <c r="N47" s="88" t="s">
        <v>360</v>
      </c>
      <c r="O47" s="87" t="s">
        <v>360</v>
      </c>
      <c r="P47" s="87" t="s">
        <v>360</v>
      </c>
      <c r="Q47" s="87" t="s">
        <v>360</v>
      </c>
      <c r="R47" s="166" t="s">
        <v>360</v>
      </c>
      <c r="S47" s="70" t="s">
        <v>360</v>
      </c>
      <c r="T47" s="72" t="s">
        <v>360</v>
      </c>
      <c r="U47" s="72" t="s">
        <v>360</v>
      </c>
      <c r="V47" s="72" t="s">
        <v>360</v>
      </c>
      <c r="W47" s="72" t="s">
        <v>360</v>
      </c>
      <c r="X47" s="72" t="s">
        <v>360</v>
      </c>
      <c r="Y47" s="72" t="s">
        <v>360</v>
      </c>
      <c r="Z47" s="72" t="s">
        <v>360</v>
      </c>
      <c r="AA47" s="72" t="s">
        <v>360</v>
      </c>
      <c r="AB47" s="72" t="s">
        <v>360</v>
      </c>
      <c r="AC47" s="72" t="s">
        <v>360</v>
      </c>
      <c r="AD47" s="72" t="s">
        <v>360</v>
      </c>
      <c r="AE47" s="73" t="s">
        <v>360</v>
      </c>
      <c r="AF47" s="70" t="s">
        <v>360</v>
      </c>
      <c r="AG47" s="72" t="s">
        <v>360</v>
      </c>
      <c r="AH47" s="72" t="s">
        <v>360</v>
      </c>
      <c r="AI47" s="72" t="s">
        <v>360</v>
      </c>
      <c r="AJ47" s="72" t="s">
        <v>360</v>
      </c>
      <c r="AK47" s="73" t="s">
        <v>360</v>
      </c>
      <c r="AL47" s="72"/>
      <c r="AM47" s="72"/>
      <c r="AN47" s="72"/>
      <c r="AO47" s="72"/>
      <c r="AP47" s="72"/>
      <c r="AQ47" s="72"/>
      <c r="AR47" s="72"/>
      <c r="AS47" s="72"/>
      <c r="AT47" s="72"/>
      <c r="AU47" s="72"/>
      <c r="AV47" s="72"/>
      <c r="AW47" s="72"/>
      <c r="AX47" s="72"/>
      <c r="AY47" s="72"/>
      <c r="AZ47" s="72"/>
      <c r="BA47" s="72"/>
      <c r="BB47" s="72"/>
      <c r="BC47" s="72"/>
      <c r="BD47" s="72"/>
      <c r="BE47" s="72"/>
      <c r="BF47" s="72"/>
      <c r="BG47" s="72"/>
      <c r="BH47" s="72"/>
      <c r="BI47" s="72"/>
      <c r="BJ47" s="72"/>
      <c r="BK47" s="72"/>
      <c r="BL47" s="72"/>
      <c r="BM47" s="72"/>
      <c r="BN47" s="72"/>
      <c r="BO47" s="72"/>
      <c r="BP47" s="72"/>
      <c r="BQ47" s="72"/>
      <c r="BR47" s="72"/>
      <c r="BS47" s="72"/>
      <c r="BT47" s="72"/>
      <c r="BU47" s="72"/>
      <c r="BV47" s="72"/>
      <c r="BW47" s="72"/>
      <c r="BX47" s="72"/>
      <c r="BY47" s="72"/>
      <c r="BZ47" s="72"/>
      <c r="CA47" s="72"/>
      <c r="CB47" s="72"/>
      <c r="CC47" s="72"/>
      <c r="CD47" s="72"/>
      <c r="CE47" s="72"/>
      <c r="CF47" s="72"/>
      <c r="CG47" s="72"/>
      <c r="CH47" s="72"/>
      <c r="CI47" s="72"/>
      <c r="CJ47" s="72"/>
      <c r="CK47" s="72"/>
      <c r="CL47" s="72"/>
      <c r="CM47" s="72"/>
      <c r="CN47" s="72"/>
      <c r="CO47" s="72"/>
      <c r="CP47" s="72"/>
      <c r="CQ47" s="72"/>
      <c r="CR47" s="72"/>
      <c r="CS47" s="72"/>
      <c r="CT47" s="72"/>
      <c r="CU47" s="72"/>
      <c r="CV47" s="72"/>
      <c r="CW47" s="72"/>
      <c r="CX47" s="72"/>
      <c r="CY47" s="72"/>
      <c r="CZ47" s="72"/>
      <c r="DA47" s="72"/>
      <c r="DB47" s="72"/>
      <c r="DC47" s="72"/>
      <c r="DD47" s="72"/>
      <c r="DE47" s="72"/>
      <c r="DF47" s="72"/>
      <c r="DG47" s="72"/>
      <c r="DH47" s="72"/>
      <c r="DI47" s="72"/>
      <c r="DJ47" s="72"/>
      <c r="DK47" s="72"/>
      <c r="DL47" s="72"/>
      <c r="DM47" s="72"/>
      <c r="DN47" s="72"/>
      <c r="DO47" s="72"/>
      <c r="DP47" s="72"/>
      <c r="DQ47" s="72"/>
      <c r="DR47" s="72"/>
      <c r="DS47" s="72"/>
      <c r="DT47" s="72"/>
      <c r="DU47" s="72"/>
      <c r="DV47" s="72"/>
      <c r="DW47" s="72"/>
      <c r="DX47" s="72"/>
      <c r="DY47" s="72"/>
      <c r="DZ47" s="72"/>
      <c r="EA47" s="72"/>
      <c r="EB47" s="72"/>
      <c r="EC47" s="72"/>
      <c r="ED47" s="72"/>
      <c r="EE47" s="72"/>
      <c r="EF47" s="72"/>
      <c r="EG47" s="72"/>
      <c r="EH47" s="72"/>
      <c r="EI47" s="72"/>
      <c r="EJ47" s="72"/>
      <c r="EK47" s="72"/>
      <c r="EL47" s="72"/>
      <c r="EM47" s="72"/>
      <c r="EN47" s="72"/>
      <c r="EO47" s="72"/>
      <c r="EP47" s="72"/>
      <c r="EQ47" s="72"/>
      <c r="ER47" s="72"/>
      <c r="ES47" s="72"/>
      <c r="ET47" s="72"/>
      <c r="EU47" s="72"/>
      <c r="EV47" s="72"/>
      <c r="EW47" s="72"/>
      <c r="EX47" s="72"/>
      <c r="EY47" s="72"/>
      <c r="EZ47" s="72"/>
      <c r="FA47" s="72"/>
      <c r="FB47" s="72"/>
      <c r="FC47" s="72"/>
      <c r="FD47" s="72"/>
      <c r="FE47" s="72"/>
      <c r="FF47" s="72"/>
      <c r="FG47" s="72"/>
      <c r="FH47" s="72"/>
      <c r="FI47" s="72"/>
      <c r="FJ47" s="72"/>
      <c r="FK47" s="72"/>
      <c r="FL47" s="72"/>
      <c r="FM47" s="72"/>
      <c r="FN47" s="72"/>
      <c r="FO47" s="72"/>
      <c r="FP47" s="72"/>
      <c r="FQ47" s="72"/>
      <c r="FR47" s="72"/>
      <c r="FS47" s="72"/>
      <c r="FT47" s="72"/>
      <c r="FU47" s="72"/>
      <c r="FV47" s="72"/>
      <c r="FW47" s="72"/>
      <c r="FX47" s="72"/>
      <c r="FY47" s="72"/>
      <c r="FZ47" s="72"/>
      <c r="GA47" s="72"/>
      <c r="GB47" s="72"/>
      <c r="GC47" s="72"/>
      <c r="GD47" s="72"/>
      <c r="GE47" s="72"/>
      <c r="GF47" s="72"/>
      <c r="GG47" s="72"/>
      <c r="GH47" s="72"/>
      <c r="GI47" s="72"/>
      <c r="GJ47" s="72"/>
      <c r="GK47" s="72"/>
      <c r="GL47" s="72"/>
      <c r="GM47" s="72"/>
      <c r="GN47" s="72"/>
      <c r="GO47" s="72"/>
      <c r="GP47" s="72"/>
      <c r="GQ47" s="72"/>
      <c r="GR47" s="72"/>
      <c r="GS47" s="72"/>
      <c r="GT47" s="72"/>
      <c r="GU47" s="72"/>
      <c r="GV47" s="72"/>
      <c r="GW47" s="72"/>
      <c r="GX47" s="72"/>
      <c r="GY47" s="72"/>
      <c r="GZ47" s="72"/>
      <c r="HA47" s="72"/>
      <c r="HB47" s="72"/>
      <c r="HC47" s="72"/>
      <c r="HD47" s="72"/>
      <c r="HE47" s="72"/>
      <c r="HF47" s="72"/>
      <c r="HG47" s="72"/>
      <c r="HH47" s="72"/>
      <c r="HI47" s="72"/>
      <c r="HJ47" s="72"/>
      <c r="HK47" s="72"/>
      <c r="HL47" s="72"/>
      <c r="HM47" s="72"/>
      <c r="HN47" s="72"/>
      <c r="HO47" s="72"/>
      <c r="HP47" s="72"/>
      <c r="HQ47" s="72"/>
      <c r="HR47" s="72"/>
      <c r="HS47" s="72"/>
      <c r="HT47" s="72"/>
      <c r="HU47" s="72"/>
      <c r="HV47" s="72"/>
      <c r="HW47" s="72"/>
      <c r="HX47" s="72"/>
      <c r="HY47" s="72"/>
      <c r="HZ47" s="72"/>
      <c r="IA47" s="72"/>
      <c r="IB47" s="72"/>
      <c r="IC47" s="72"/>
      <c r="ID47" s="72"/>
      <c r="IE47" s="72"/>
      <c r="IF47" s="72"/>
      <c r="IG47" s="72"/>
      <c r="IH47" s="72"/>
      <c r="II47" s="72"/>
      <c r="IJ47" s="72"/>
      <c r="IK47" s="72"/>
      <c r="IL47" s="72"/>
      <c r="IM47" s="72"/>
      <c r="IN47" s="72"/>
      <c r="IO47" s="72"/>
    </row>
    <row r="48" spans="2:249">
      <c r="B48" s="79" t="s">
        <v>452</v>
      </c>
      <c r="C48" s="80" t="s">
        <v>535</v>
      </c>
      <c r="D48" s="81"/>
      <c r="E48" s="82"/>
      <c r="F48" s="83"/>
      <c r="G48" s="84"/>
      <c r="H48" s="84"/>
      <c r="I48" s="84"/>
      <c r="J48" s="84"/>
      <c r="K48" s="84"/>
      <c r="L48" s="84"/>
      <c r="M48" s="83"/>
      <c r="N48" s="82"/>
      <c r="O48" s="84"/>
      <c r="P48" s="84"/>
      <c r="Q48" s="84"/>
      <c r="R48" s="83"/>
      <c r="S48" s="82"/>
      <c r="T48" s="84"/>
      <c r="U48" s="84"/>
      <c r="V48" s="84"/>
      <c r="W48" s="84"/>
      <c r="X48" s="84"/>
      <c r="Y48" s="84"/>
      <c r="Z48" s="84"/>
      <c r="AA48" s="84"/>
      <c r="AB48" s="84"/>
      <c r="AC48" s="84"/>
      <c r="AD48" s="84"/>
      <c r="AE48" s="85"/>
      <c r="AF48" s="82"/>
      <c r="AG48" s="84"/>
      <c r="AH48" s="84"/>
      <c r="AI48" s="84"/>
      <c r="AJ48" s="84"/>
      <c r="AK48" s="85"/>
      <c r="AL48" s="84"/>
      <c r="AM48" s="84"/>
      <c r="AN48" s="84"/>
      <c r="AO48" s="84"/>
      <c r="AP48" s="84"/>
      <c r="AQ48" s="84"/>
      <c r="AR48" s="84"/>
      <c r="AS48" s="84"/>
      <c r="AT48" s="84"/>
      <c r="AU48" s="84"/>
      <c r="AV48" s="84"/>
      <c r="AW48" s="84"/>
      <c r="AX48" s="84"/>
      <c r="AY48" s="84"/>
      <c r="AZ48" s="84"/>
      <c r="BA48" s="84"/>
      <c r="BB48" s="84"/>
      <c r="BC48" s="84"/>
      <c r="BD48" s="84"/>
      <c r="BE48" s="84"/>
      <c r="BF48" s="84"/>
      <c r="BG48" s="84"/>
      <c r="BH48" s="84"/>
      <c r="BI48" s="84"/>
      <c r="BJ48" s="84"/>
      <c r="BK48" s="84"/>
      <c r="BL48" s="84"/>
      <c r="BM48" s="84"/>
      <c r="BN48" s="84"/>
      <c r="BO48" s="84"/>
      <c r="BP48" s="84"/>
      <c r="BQ48" s="84"/>
      <c r="BR48" s="84"/>
      <c r="BS48" s="84"/>
      <c r="BT48" s="84"/>
      <c r="BU48" s="84"/>
      <c r="BV48" s="84"/>
      <c r="BW48" s="84"/>
      <c r="BX48" s="84"/>
      <c r="BY48" s="84"/>
      <c r="BZ48" s="84"/>
      <c r="CA48" s="84"/>
      <c r="CB48" s="84"/>
      <c r="CC48" s="84"/>
      <c r="CD48" s="84"/>
      <c r="CE48" s="84"/>
      <c r="CF48" s="84"/>
      <c r="CG48" s="84"/>
      <c r="CH48" s="84"/>
      <c r="CI48" s="84"/>
      <c r="CJ48" s="84"/>
      <c r="CK48" s="84"/>
      <c r="CL48" s="84"/>
      <c r="CM48" s="84"/>
      <c r="CN48" s="84"/>
      <c r="CO48" s="84"/>
      <c r="CP48" s="84"/>
      <c r="CQ48" s="84"/>
      <c r="CR48" s="84"/>
      <c r="CS48" s="84"/>
      <c r="CT48" s="84"/>
      <c r="CU48" s="84"/>
      <c r="CV48" s="84"/>
      <c r="CW48" s="84"/>
      <c r="CX48" s="84"/>
      <c r="CY48" s="84"/>
      <c r="CZ48" s="84"/>
      <c r="DA48" s="84"/>
      <c r="DB48" s="84"/>
      <c r="DC48" s="84"/>
      <c r="DD48" s="84"/>
      <c r="DE48" s="84"/>
      <c r="DF48" s="84"/>
      <c r="DG48" s="84"/>
      <c r="DH48" s="84"/>
      <c r="DI48" s="84"/>
      <c r="DJ48" s="84"/>
      <c r="DK48" s="84"/>
      <c r="DL48" s="84"/>
      <c r="DM48" s="84"/>
      <c r="DN48" s="84"/>
      <c r="DO48" s="84"/>
      <c r="DP48" s="84"/>
      <c r="DQ48" s="84"/>
      <c r="DR48" s="84"/>
      <c r="DS48" s="84"/>
      <c r="DT48" s="84"/>
      <c r="DU48" s="84"/>
      <c r="DV48" s="84"/>
      <c r="DW48" s="84"/>
      <c r="DX48" s="84"/>
      <c r="DY48" s="84"/>
      <c r="DZ48" s="84"/>
      <c r="EA48" s="84"/>
      <c r="EB48" s="84"/>
      <c r="EC48" s="84"/>
      <c r="ED48" s="84"/>
      <c r="EE48" s="84"/>
      <c r="EF48" s="84"/>
      <c r="EG48" s="84"/>
      <c r="EH48" s="84"/>
      <c r="EI48" s="84"/>
      <c r="EJ48" s="84"/>
      <c r="EK48" s="84"/>
      <c r="EL48" s="84"/>
      <c r="EM48" s="84"/>
      <c r="EN48" s="84"/>
      <c r="EO48" s="84"/>
      <c r="EP48" s="84"/>
      <c r="EQ48" s="84"/>
      <c r="ER48" s="84"/>
      <c r="ES48" s="84"/>
      <c r="ET48" s="84"/>
      <c r="EU48" s="84"/>
      <c r="EV48" s="84"/>
      <c r="EW48" s="84"/>
      <c r="EX48" s="84"/>
      <c r="EY48" s="84"/>
      <c r="EZ48" s="84"/>
      <c r="FA48" s="84"/>
      <c r="FB48" s="84"/>
      <c r="FC48" s="84"/>
      <c r="FD48" s="84"/>
      <c r="FE48" s="84"/>
      <c r="FF48" s="84"/>
      <c r="FG48" s="84"/>
      <c r="FH48" s="84"/>
      <c r="FI48" s="84"/>
      <c r="FJ48" s="84"/>
      <c r="FK48" s="84"/>
      <c r="FL48" s="84"/>
      <c r="FM48" s="84"/>
      <c r="FN48" s="84"/>
      <c r="FO48" s="84"/>
      <c r="FP48" s="84"/>
      <c r="FQ48" s="84"/>
      <c r="FR48" s="84"/>
      <c r="FS48" s="84"/>
      <c r="FT48" s="84"/>
      <c r="FU48" s="84"/>
      <c r="FV48" s="84"/>
      <c r="FW48" s="84"/>
      <c r="FX48" s="84"/>
      <c r="FY48" s="84"/>
      <c r="FZ48" s="84"/>
      <c r="GA48" s="84"/>
      <c r="GB48" s="84"/>
      <c r="GC48" s="84"/>
      <c r="GD48" s="84"/>
      <c r="GE48" s="84"/>
      <c r="GF48" s="84"/>
      <c r="GG48" s="84"/>
      <c r="GH48" s="84"/>
      <c r="GI48" s="84"/>
      <c r="GJ48" s="84"/>
      <c r="GK48" s="84"/>
      <c r="GL48" s="84"/>
      <c r="GM48" s="84"/>
      <c r="GN48" s="84"/>
      <c r="GO48" s="84"/>
      <c r="GP48" s="84"/>
      <c r="GQ48" s="84"/>
      <c r="GR48" s="84"/>
      <c r="GS48" s="84"/>
      <c r="GT48" s="84"/>
      <c r="GU48" s="84"/>
      <c r="GV48" s="84"/>
      <c r="GW48" s="84"/>
      <c r="GX48" s="84"/>
      <c r="GY48" s="84"/>
      <c r="GZ48" s="84"/>
      <c r="HA48" s="84"/>
      <c r="HB48" s="84"/>
      <c r="HC48" s="84"/>
      <c r="HD48" s="84"/>
      <c r="HE48" s="84"/>
      <c r="HF48" s="84"/>
      <c r="HG48" s="84"/>
      <c r="HH48" s="84"/>
      <c r="HI48" s="84"/>
      <c r="HJ48" s="84"/>
      <c r="HK48" s="84"/>
      <c r="HL48" s="84"/>
      <c r="HM48" s="84"/>
      <c r="HN48" s="84"/>
      <c r="HO48" s="84"/>
      <c r="HP48" s="84"/>
      <c r="HQ48" s="84"/>
      <c r="HR48" s="84"/>
      <c r="HS48" s="84"/>
      <c r="HT48" s="84"/>
      <c r="HU48" s="84"/>
      <c r="HV48" s="84"/>
      <c r="HW48" s="84"/>
      <c r="HX48" s="84"/>
      <c r="HY48" s="84"/>
      <c r="HZ48" s="84"/>
      <c r="IA48" s="84"/>
      <c r="IB48" s="84"/>
      <c r="IC48" s="84"/>
      <c r="ID48" s="84"/>
      <c r="IE48" s="84"/>
      <c r="IF48" s="84"/>
      <c r="IG48" s="84"/>
      <c r="IH48" s="84"/>
      <c r="II48" s="84"/>
      <c r="IJ48" s="84"/>
      <c r="IK48" s="84"/>
      <c r="IL48" s="84"/>
      <c r="IM48" s="84"/>
      <c r="IN48" s="84"/>
      <c r="IO48" s="84"/>
    </row>
    <row r="49" spans="2:249">
      <c r="B49" s="244" t="s">
        <v>552</v>
      </c>
      <c r="C49" s="86" t="s">
        <v>537</v>
      </c>
      <c r="D49" s="69"/>
      <c r="E49" s="70"/>
      <c r="F49" s="71"/>
      <c r="G49" s="72"/>
      <c r="H49" s="72"/>
      <c r="I49" s="72"/>
      <c r="J49" s="72"/>
      <c r="K49" s="72"/>
      <c r="L49" s="72"/>
      <c r="M49" s="71"/>
      <c r="N49" s="70"/>
      <c r="O49" s="72"/>
      <c r="P49" s="72"/>
      <c r="Q49" s="72"/>
      <c r="R49" s="71"/>
      <c r="S49" s="97" t="s">
        <v>360</v>
      </c>
      <c r="T49" s="72"/>
      <c r="U49" s="72"/>
      <c r="V49" s="72"/>
      <c r="W49" s="72"/>
      <c r="X49" s="72"/>
      <c r="Y49" s="72"/>
      <c r="Z49" s="72"/>
      <c r="AA49" s="72"/>
      <c r="AB49" s="72"/>
      <c r="AC49" s="72"/>
      <c r="AD49" s="72"/>
      <c r="AE49" s="73"/>
      <c r="AF49" s="70"/>
      <c r="AG49" s="72"/>
      <c r="AH49" s="72"/>
      <c r="AI49" s="72"/>
      <c r="AJ49" s="72"/>
      <c r="AK49" s="73"/>
      <c r="AL49" s="72"/>
      <c r="AM49" s="72"/>
      <c r="AN49" s="72"/>
      <c r="AO49" s="72"/>
      <c r="AP49" s="72"/>
      <c r="AQ49" s="72"/>
      <c r="AR49" s="72"/>
      <c r="AS49" s="72"/>
      <c r="AT49" s="72"/>
      <c r="AU49" s="72"/>
      <c r="AV49" s="72"/>
      <c r="AW49" s="72"/>
      <c r="AX49" s="72"/>
      <c r="AY49" s="72"/>
      <c r="AZ49" s="72"/>
      <c r="BA49" s="72"/>
      <c r="BB49" s="72"/>
      <c r="BC49" s="72"/>
      <c r="BD49" s="72"/>
      <c r="BE49" s="72"/>
      <c r="BF49" s="72"/>
      <c r="BG49" s="72"/>
      <c r="BH49" s="72"/>
      <c r="BI49" s="72"/>
      <c r="BJ49" s="72"/>
      <c r="BK49" s="72"/>
      <c r="BL49" s="72"/>
      <c r="BM49" s="72"/>
      <c r="BN49" s="72"/>
      <c r="BO49" s="72"/>
      <c r="BP49" s="72"/>
      <c r="BQ49" s="72"/>
      <c r="BR49" s="72"/>
      <c r="BS49" s="72"/>
      <c r="BT49" s="72"/>
      <c r="BU49" s="72"/>
      <c r="BV49" s="72"/>
      <c r="BW49" s="72"/>
      <c r="BX49" s="72"/>
      <c r="BY49" s="72"/>
      <c r="BZ49" s="72"/>
      <c r="CA49" s="72"/>
      <c r="CB49" s="72"/>
      <c r="CC49" s="72"/>
      <c r="CD49" s="72"/>
      <c r="CE49" s="72"/>
      <c r="CF49" s="72"/>
      <c r="CG49" s="72"/>
      <c r="CH49" s="72"/>
      <c r="CI49" s="72"/>
      <c r="CJ49" s="72"/>
      <c r="CK49" s="72"/>
      <c r="CL49" s="72"/>
      <c r="CM49" s="72"/>
      <c r="CN49" s="72"/>
      <c r="CO49" s="72"/>
      <c r="CP49" s="72"/>
      <c r="CQ49" s="72"/>
      <c r="CR49" s="72"/>
      <c r="CS49" s="72"/>
      <c r="CT49" s="72"/>
      <c r="CU49" s="72"/>
      <c r="CV49" s="72"/>
      <c r="CW49" s="72"/>
      <c r="CX49" s="72"/>
      <c r="CY49" s="72"/>
      <c r="CZ49" s="72"/>
      <c r="DA49" s="72"/>
      <c r="DB49" s="72"/>
      <c r="DC49" s="72"/>
      <c r="DD49" s="72"/>
      <c r="DE49" s="72"/>
      <c r="DF49" s="72"/>
      <c r="DG49" s="72"/>
      <c r="DH49" s="72"/>
      <c r="DI49" s="72"/>
      <c r="DJ49" s="72"/>
      <c r="DK49" s="72"/>
      <c r="DL49" s="72"/>
      <c r="DM49" s="72"/>
      <c r="DN49" s="72"/>
      <c r="DO49" s="72"/>
      <c r="DP49" s="72"/>
      <c r="DQ49" s="72"/>
      <c r="DR49" s="72"/>
      <c r="DS49" s="72"/>
      <c r="DT49" s="72"/>
      <c r="DU49" s="72"/>
      <c r="DV49" s="72"/>
      <c r="DW49" s="72"/>
      <c r="DX49" s="72"/>
      <c r="DY49" s="72"/>
      <c r="DZ49" s="72"/>
      <c r="EA49" s="72"/>
      <c r="EB49" s="72"/>
      <c r="EC49" s="72"/>
      <c r="ED49" s="72"/>
      <c r="EE49" s="72"/>
      <c r="EF49" s="72"/>
      <c r="EG49" s="72"/>
      <c r="EH49" s="72"/>
      <c r="EI49" s="72"/>
      <c r="EJ49" s="72"/>
      <c r="EK49" s="72"/>
      <c r="EL49" s="72"/>
      <c r="EM49" s="72"/>
      <c r="EN49" s="72"/>
      <c r="EO49" s="72"/>
      <c r="EP49" s="72"/>
      <c r="EQ49" s="72"/>
      <c r="ER49" s="72"/>
      <c r="ES49" s="72"/>
      <c r="ET49" s="72"/>
      <c r="EU49" s="72"/>
      <c r="EV49" s="72"/>
      <c r="EW49" s="72"/>
      <c r="EX49" s="72"/>
      <c r="EY49" s="72"/>
      <c r="EZ49" s="72"/>
      <c r="FA49" s="72"/>
      <c r="FB49" s="72"/>
      <c r="FC49" s="72"/>
      <c r="FD49" s="72"/>
      <c r="FE49" s="72"/>
      <c r="FF49" s="72"/>
      <c r="FG49" s="72"/>
      <c r="FH49" s="72"/>
      <c r="FI49" s="72"/>
      <c r="FJ49" s="72"/>
      <c r="FK49" s="72"/>
      <c r="FL49" s="72"/>
      <c r="FM49" s="72"/>
      <c r="FN49" s="72"/>
      <c r="FO49" s="72"/>
      <c r="FP49" s="72"/>
      <c r="FQ49" s="72"/>
      <c r="FR49" s="72"/>
      <c r="FS49" s="72"/>
      <c r="FT49" s="72"/>
      <c r="FU49" s="72"/>
      <c r="FV49" s="72"/>
      <c r="FW49" s="72"/>
      <c r="FX49" s="72"/>
      <c r="FY49" s="72"/>
      <c r="FZ49" s="72"/>
      <c r="GA49" s="72"/>
      <c r="GB49" s="72"/>
      <c r="GC49" s="72"/>
      <c r="GD49" s="72"/>
      <c r="GE49" s="72"/>
      <c r="GF49" s="72"/>
      <c r="GG49" s="72"/>
      <c r="GH49" s="72"/>
      <c r="GI49" s="72"/>
      <c r="GJ49" s="72"/>
      <c r="GK49" s="72"/>
      <c r="GL49" s="72"/>
      <c r="GM49" s="72"/>
      <c r="GN49" s="72"/>
      <c r="GO49" s="72"/>
      <c r="GP49" s="72"/>
      <c r="GQ49" s="72"/>
      <c r="GR49" s="72"/>
      <c r="GS49" s="72"/>
      <c r="GT49" s="72"/>
      <c r="GU49" s="72"/>
      <c r="GV49" s="72"/>
      <c r="GW49" s="72"/>
      <c r="GX49" s="72"/>
      <c r="GY49" s="72"/>
      <c r="GZ49" s="72"/>
      <c r="HA49" s="72"/>
      <c r="HB49" s="72"/>
      <c r="HC49" s="72"/>
      <c r="HD49" s="72"/>
      <c r="HE49" s="72"/>
      <c r="HF49" s="72"/>
      <c r="HG49" s="72"/>
      <c r="HH49" s="72"/>
      <c r="HI49" s="72"/>
      <c r="HJ49" s="72"/>
      <c r="HK49" s="72"/>
      <c r="HL49" s="72"/>
      <c r="HM49" s="72"/>
      <c r="HN49" s="72"/>
      <c r="HO49" s="72"/>
      <c r="HP49" s="72"/>
      <c r="HQ49" s="72"/>
      <c r="HR49" s="72"/>
      <c r="HS49" s="72"/>
      <c r="HT49" s="72"/>
      <c r="HU49" s="72"/>
      <c r="HV49" s="72"/>
      <c r="HW49" s="72"/>
      <c r="HX49" s="72"/>
      <c r="HY49" s="72"/>
      <c r="HZ49" s="72"/>
      <c r="IA49" s="72"/>
      <c r="IB49" s="72"/>
      <c r="IC49" s="72"/>
      <c r="ID49" s="72"/>
      <c r="IE49" s="72"/>
      <c r="IF49" s="72"/>
      <c r="IG49" s="72"/>
      <c r="IH49" s="72"/>
      <c r="II49" s="72"/>
      <c r="IJ49" s="72"/>
      <c r="IK49" s="72"/>
      <c r="IL49" s="72"/>
      <c r="IM49" s="72"/>
      <c r="IN49" s="72"/>
      <c r="IO49" s="72"/>
    </row>
    <row r="50" spans="2:249">
      <c r="B50" s="247"/>
      <c r="C50" s="86" t="s">
        <v>538</v>
      </c>
      <c r="D50" s="69"/>
      <c r="E50" s="70"/>
      <c r="F50" s="71"/>
      <c r="G50" s="72"/>
      <c r="H50" s="72"/>
      <c r="I50" s="72"/>
      <c r="J50" s="72"/>
      <c r="K50" s="72"/>
      <c r="L50" s="72"/>
      <c r="M50" s="71"/>
      <c r="N50" s="70"/>
      <c r="O50" s="72"/>
      <c r="P50" s="72"/>
      <c r="Q50" s="72"/>
      <c r="R50" s="71"/>
      <c r="S50" s="70"/>
      <c r="T50" s="99" t="s">
        <v>360</v>
      </c>
      <c r="U50" s="72"/>
      <c r="V50" s="72"/>
      <c r="W50" s="72"/>
      <c r="X50" s="72"/>
      <c r="Y50" s="72"/>
      <c r="Z50" s="72"/>
      <c r="AA50" s="72"/>
      <c r="AB50" s="72"/>
      <c r="AC50" s="72"/>
      <c r="AD50" s="72"/>
      <c r="AE50" s="73"/>
      <c r="AF50" s="70"/>
      <c r="AG50" s="72"/>
      <c r="AH50" s="72"/>
      <c r="AI50" s="72"/>
      <c r="AJ50" s="72"/>
      <c r="AK50" s="73"/>
      <c r="AL50" s="72"/>
      <c r="AM50" s="72"/>
      <c r="AN50" s="72"/>
      <c r="AO50" s="72"/>
      <c r="AP50" s="72"/>
      <c r="AQ50" s="72"/>
      <c r="AR50" s="72"/>
      <c r="AS50" s="72"/>
      <c r="AT50" s="72"/>
      <c r="AU50" s="72"/>
      <c r="AV50" s="72"/>
      <c r="AW50" s="72"/>
      <c r="AX50" s="72"/>
      <c r="AY50" s="72"/>
      <c r="AZ50" s="72"/>
      <c r="BA50" s="72"/>
      <c r="BB50" s="72"/>
      <c r="BC50" s="72"/>
      <c r="BD50" s="72"/>
      <c r="BE50" s="72"/>
      <c r="BF50" s="72"/>
      <c r="BG50" s="72"/>
      <c r="BH50" s="72"/>
      <c r="BI50" s="72"/>
      <c r="BJ50" s="72"/>
      <c r="BK50" s="72"/>
      <c r="BL50" s="72"/>
      <c r="BM50" s="72"/>
      <c r="BN50" s="72"/>
      <c r="BO50" s="72"/>
      <c r="BP50" s="72"/>
      <c r="BQ50" s="72"/>
      <c r="BR50" s="72"/>
      <c r="BS50" s="72"/>
      <c r="BT50" s="72"/>
      <c r="BU50" s="72"/>
      <c r="BV50" s="72"/>
      <c r="BW50" s="72"/>
      <c r="BX50" s="72"/>
      <c r="BY50" s="72"/>
      <c r="BZ50" s="72"/>
      <c r="CA50" s="72"/>
      <c r="CB50" s="72"/>
      <c r="CC50" s="72"/>
      <c r="CD50" s="72"/>
      <c r="CE50" s="72"/>
      <c r="CF50" s="72"/>
      <c r="CG50" s="72"/>
      <c r="CH50" s="72"/>
      <c r="CI50" s="72"/>
      <c r="CJ50" s="72"/>
      <c r="CK50" s="72"/>
      <c r="CL50" s="72"/>
      <c r="CM50" s="72"/>
      <c r="CN50" s="72"/>
      <c r="CO50" s="72"/>
      <c r="CP50" s="72"/>
      <c r="CQ50" s="72"/>
      <c r="CR50" s="72"/>
      <c r="CS50" s="72"/>
      <c r="CT50" s="72"/>
      <c r="CU50" s="72"/>
      <c r="CV50" s="72"/>
      <c r="CW50" s="72"/>
      <c r="CX50" s="72"/>
      <c r="CY50" s="72"/>
      <c r="CZ50" s="72"/>
      <c r="DA50" s="72"/>
      <c r="DB50" s="72"/>
      <c r="DC50" s="72"/>
      <c r="DD50" s="72"/>
      <c r="DE50" s="72"/>
      <c r="DF50" s="72"/>
      <c r="DG50" s="72"/>
      <c r="DH50" s="72"/>
      <c r="DI50" s="72"/>
      <c r="DJ50" s="72"/>
      <c r="DK50" s="72"/>
      <c r="DL50" s="72"/>
      <c r="DM50" s="72"/>
      <c r="DN50" s="72"/>
      <c r="DO50" s="72"/>
      <c r="DP50" s="72"/>
      <c r="DQ50" s="72"/>
      <c r="DR50" s="72"/>
      <c r="DS50" s="72"/>
      <c r="DT50" s="72"/>
      <c r="DU50" s="72"/>
      <c r="DV50" s="72"/>
      <c r="DW50" s="72"/>
      <c r="DX50" s="72"/>
      <c r="DY50" s="72"/>
      <c r="DZ50" s="72"/>
      <c r="EA50" s="72"/>
      <c r="EB50" s="72"/>
      <c r="EC50" s="72"/>
      <c r="ED50" s="72"/>
      <c r="EE50" s="72"/>
      <c r="EF50" s="72"/>
      <c r="EG50" s="72"/>
      <c r="EH50" s="72"/>
      <c r="EI50" s="72"/>
      <c r="EJ50" s="72"/>
      <c r="EK50" s="72"/>
      <c r="EL50" s="72"/>
      <c r="EM50" s="72"/>
      <c r="EN50" s="72"/>
      <c r="EO50" s="72"/>
      <c r="EP50" s="72"/>
      <c r="EQ50" s="72"/>
      <c r="ER50" s="72"/>
      <c r="ES50" s="72"/>
      <c r="ET50" s="72"/>
      <c r="EU50" s="72"/>
      <c r="EV50" s="72"/>
      <c r="EW50" s="72"/>
      <c r="EX50" s="72"/>
      <c r="EY50" s="72"/>
      <c r="EZ50" s="72"/>
      <c r="FA50" s="72"/>
      <c r="FB50" s="72"/>
      <c r="FC50" s="72"/>
      <c r="FD50" s="72"/>
      <c r="FE50" s="72"/>
      <c r="FF50" s="72"/>
      <c r="FG50" s="72"/>
      <c r="FH50" s="72"/>
      <c r="FI50" s="72"/>
      <c r="FJ50" s="72"/>
      <c r="FK50" s="72"/>
      <c r="FL50" s="72"/>
      <c r="FM50" s="72"/>
      <c r="FN50" s="72"/>
      <c r="FO50" s="72"/>
      <c r="FP50" s="72"/>
      <c r="FQ50" s="72"/>
      <c r="FR50" s="72"/>
      <c r="FS50" s="72"/>
      <c r="FT50" s="72"/>
      <c r="FU50" s="72"/>
      <c r="FV50" s="72"/>
      <c r="FW50" s="72"/>
      <c r="FX50" s="72"/>
      <c r="FY50" s="72"/>
      <c r="FZ50" s="72"/>
      <c r="GA50" s="72"/>
      <c r="GB50" s="72"/>
      <c r="GC50" s="72"/>
      <c r="GD50" s="72"/>
      <c r="GE50" s="72"/>
      <c r="GF50" s="72"/>
      <c r="GG50" s="72"/>
      <c r="GH50" s="72"/>
      <c r="GI50" s="72"/>
      <c r="GJ50" s="72"/>
      <c r="GK50" s="72"/>
      <c r="GL50" s="72"/>
      <c r="GM50" s="72"/>
      <c r="GN50" s="72"/>
      <c r="GO50" s="72"/>
      <c r="GP50" s="72"/>
      <c r="GQ50" s="72"/>
      <c r="GR50" s="72"/>
      <c r="GS50" s="72"/>
      <c r="GT50" s="72"/>
      <c r="GU50" s="72"/>
      <c r="GV50" s="72"/>
      <c r="GW50" s="72"/>
      <c r="GX50" s="72"/>
      <c r="GY50" s="72"/>
      <c r="GZ50" s="72"/>
      <c r="HA50" s="72"/>
      <c r="HB50" s="72"/>
      <c r="HC50" s="72"/>
      <c r="HD50" s="72"/>
      <c r="HE50" s="72"/>
      <c r="HF50" s="72"/>
      <c r="HG50" s="72"/>
      <c r="HH50" s="72"/>
      <c r="HI50" s="72"/>
      <c r="HJ50" s="72"/>
      <c r="HK50" s="72"/>
      <c r="HL50" s="72"/>
      <c r="HM50" s="72"/>
      <c r="HN50" s="72"/>
      <c r="HO50" s="72"/>
      <c r="HP50" s="72"/>
      <c r="HQ50" s="72"/>
      <c r="HR50" s="72"/>
      <c r="HS50" s="72"/>
      <c r="HT50" s="72"/>
      <c r="HU50" s="72"/>
      <c r="HV50" s="72"/>
      <c r="HW50" s="72"/>
      <c r="HX50" s="72"/>
      <c r="HY50" s="72"/>
      <c r="HZ50" s="72"/>
      <c r="IA50" s="72"/>
      <c r="IB50" s="72"/>
      <c r="IC50" s="72"/>
      <c r="ID50" s="72"/>
      <c r="IE50" s="72"/>
      <c r="IF50" s="72"/>
      <c r="IG50" s="72"/>
      <c r="IH50" s="72"/>
      <c r="II50" s="72"/>
      <c r="IJ50" s="72"/>
      <c r="IK50" s="72"/>
      <c r="IL50" s="72"/>
      <c r="IM50" s="72"/>
      <c r="IN50" s="72"/>
      <c r="IO50" s="72"/>
    </row>
    <row r="51" spans="2:249">
      <c r="B51" s="247"/>
      <c r="C51" s="86" t="s">
        <v>539</v>
      </c>
      <c r="D51" s="69"/>
      <c r="E51" s="70"/>
      <c r="F51" s="71"/>
      <c r="G51" s="72"/>
      <c r="H51" s="72"/>
      <c r="I51" s="72"/>
      <c r="J51" s="72"/>
      <c r="K51" s="72"/>
      <c r="L51" s="72"/>
      <c r="M51" s="71"/>
      <c r="N51" s="70"/>
      <c r="O51" s="72"/>
      <c r="P51" s="72"/>
      <c r="Q51" s="72"/>
      <c r="R51" s="71"/>
      <c r="S51" s="70"/>
      <c r="T51" s="72"/>
      <c r="U51" s="99" t="s">
        <v>360</v>
      </c>
      <c r="V51" s="72"/>
      <c r="W51" s="72"/>
      <c r="X51" s="72"/>
      <c r="Y51" s="72"/>
      <c r="Z51" s="72"/>
      <c r="AA51" s="72"/>
      <c r="AB51" s="72"/>
      <c r="AC51" s="72"/>
      <c r="AD51" s="72"/>
      <c r="AE51" s="73"/>
      <c r="AF51" s="70"/>
      <c r="AG51" s="72"/>
      <c r="AH51" s="72"/>
      <c r="AI51" s="72"/>
      <c r="AJ51" s="72"/>
      <c r="AK51" s="73"/>
      <c r="AL51" s="72"/>
      <c r="AM51" s="72"/>
      <c r="AN51" s="72"/>
      <c r="AO51" s="72"/>
      <c r="AP51" s="72"/>
      <c r="AQ51" s="72"/>
      <c r="AR51" s="72"/>
      <c r="AS51" s="72"/>
      <c r="AT51" s="72"/>
      <c r="AU51" s="72"/>
      <c r="AV51" s="72"/>
      <c r="AW51" s="72"/>
      <c r="AX51" s="72"/>
      <c r="AY51" s="72"/>
      <c r="AZ51" s="72"/>
      <c r="BA51" s="72"/>
      <c r="BB51" s="72"/>
      <c r="BC51" s="72"/>
      <c r="BD51" s="72"/>
      <c r="BE51" s="72"/>
      <c r="BF51" s="72"/>
      <c r="BG51" s="72"/>
      <c r="BH51" s="72"/>
      <c r="BI51" s="72"/>
      <c r="BJ51" s="72"/>
      <c r="BK51" s="72"/>
      <c r="BL51" s="72"/>
      <c r="BM51" s="72"/>
      <c r="BN51" s="72"/>
      <c r="BO51" s="72"/>
      <c r="BP51" s="72"/>
      <c r="BQ51" s="72"/>
      <c r="BR51" s="72"/>
      <c r="BS51" s="72"/>
      <c r="BT51" s="72"/>
      <c r="BU51" s="72"/>
      <c r="BV51" s="72"/>
      <c r="BW51" s="72"/>
      <c r="BX51" s="72"/>
      <c r="BY51" s="72"/>
      <c r="BZ51" s="72"/>
      <c r="CA51" s="72"/>
      <c r="CB51" s="72"/>
      <c r="CC51" s="72"/>
      <c r="CD51" s="72"/>
      <c r="CE51" s="72"/>
      <c r="CF51" s="72"/>
      <c r="CG51" s="72"/>
      <c r="CH51" s="72"/>
      <c r="CI51" s="72"/>
      <c r="CJ51" s="72"/>
      <c r="CK51" s="72"/>
      <c r="CL51" s="72"/>
      <c r="CM51" s="72"/>
      <c r="CN51" s="72"/>
      <c r="CO51" s="72"/>
      <c r="CP51" s="72"/>
      <c r="CQ51" s="72"/>
      <c r="CR51" s="72"/>
      <c r="CS51" s="72"/>
      <c r="CT51" s="72"/>
      <c r="CU51" s="72"/>
      <c r="CV51" s="72"/>
      <c r="CW51" s="72"/>
      <c r="CX51" s="72"/>
      <c r="CY51" s="72"/>
      <c r="CZ51" s="72"/>
      <c r="DA51" s="72"/>
      <c r="DB51" s="72"/>
      <c r="DC51" s="72"/>
      <c r="DD51" s="72"/>
      <c r="DE51" s="72"/>
      <c r="DF51" s="72"/>
      <c r="DG51" s="72"/>
      <c r="DH51" s="72"/>
      <c r="DI51" s="72"/>
      <c r="DJ51" s="72"/>
      <c r="DK51" s="72"/>
      <c r="DL51" s="72"/>
      <c r="DM51" s="72"/>
      <c r="DN51" s="72"/>
      <c r="DO51" s="72"/>
      <c r="DP51" s="72"/>
      <c r="DQ51" s="72"/>
      <c r="DR51" s="72"/>
      <c r="DS51" s="72"/>
      <c r="DT51" s="72"/>
      <c r="DU51" s="72"/>
      <c r="DV51" s="72"/>
      <c r="DW51" s="72"/>
      <c r="DX51" s="72"/>
      <c r="DY51" s="72"/>
      <c r="DZ51" s="72"/>
      <c r="EA51" s="72"/>
      <c r="EB51" s="72"/>
      <c r="EC51" s="72"/>
      <c r="ED51" s="72"/>
      <c r="EE51" s="72"/>
      <c r="EF51" s="72"/>
      <c r="EG51" s="72"/>
      <c r="EH51" s="72"/>
      <c r="EI51" s="72"/>
      <c r="EJ51" s="72"/>
      <c r="EK51" s="72"/>
      <c r="EL51" s="72"/>
      <c r="EM51" s="72"/>
      <c r="EN51" s="72"/>
      <c r="EO51" s="72"/>
      <c r="EP51" s="72"/>
      <c r="EQ51" s="72"/>
      <c r="ER51" s="72"/>
      <c r="ES51" s="72"/>
      <c r="ET51" s="72"/>
      <c r="EU51" s="72"/>
      <c r="EV51" s="72"/>
      <c r="EW51" s="72"/>
      <c r="EX51" s="72"/>
      <c r="EY51" s="72"/>
      <c r="EZ51" s="72"/>
      <c r="FA51" s="72"/>
      <c r="FB51" s="72"/>
      <c r="FC51" s="72"/>
      <c r="FD51" s="72"/>
      <c r="FE51" s="72"/>
      <c r="FF51" s="72"/>
      <c r="FG51" s="72"/>
      <c r="FH51" s="72"/>
      <c r="FI51" s="72"/>
      <c r="FJ51" s="72"/>
      <c r="FK51" s="72"/>
      <c r="FL51" s="72"/>
      <c r="FM51" s="72"/>
      <c r="FN51" s="72"/>
      <c r="FO51" s="72"/>
      <c r="FP51" s="72"/>
      <c r="FQ51" s="72"/>
      <c r="FR51" s="72"/>
      <c r="FS51" s="72"/>
      <c r="FT51" s="72"/>
      <c r="FU51" s="72"/>
      <c r="FV51" s="72"/>
      <c r="FW51" s="72"/>
      <c r="FX51" s="72"/>
      <c r="FY51" s="72"/>
      <c r="FZ51" s="72"/>
      <c r="GA51" s="72"/>
      <c r="GB51" s="72"/>
      <c r="GC51" s="72"/>
      <c r="GD51" s="72"/>
      <c r="GE51" s="72"/>
      <c r="GF51" s="72"/>
      <c r="GG51" s="72"/>
      <c r="GH51" s="72"/>
      <c r="GI51" s="72"/>
      <c r="GJ51" s="72"/>
      <c r="GK51" s="72"/>
      <c r="GL51" s="72"/>
      <c r="GM51" s="72"/>
      <c r="GN51" s="72"/>
      <c r="GO51" s="72"/>
      <c r="GP51" s="72"/>
      <c r="GQ51" s="72"/>
      <c r="GR51" s="72"/>
      <c r="GS51" s="72"/>
      <c r="GT51" s="72"/>
      <c r="GU51" s="72"/>
      <c r="GV51" s="72"/>
      <c r="GW51" s="72"/>
      <c r="GX51" s="72"/>
      <c r="GY51" s="72"/>
      <c r="GZ51" s="72"/>
      <c r="HA51" s="72"/>
      <c r="HB51" s="72"/>
      <c r="HC51" s="72"/>
      <c r="HD51" s="72"/>
      <c r="HE51" s="72"/>
      <c r="HF51" s="72"/>
      <c r="HG51" s="72"/>
      <c r="HH51" s="72"/>
      <c r="HI51" s="72"/>
      <c r="HJ51" s="72"/>
      <c r="HK51" s="72"/>
      <c r="HL51" s="72"/>
      <c r="HM51" s="72"/>
      <c r="HN51" s="72"/>
      <c r="HO51" s="72"/>
      <c r="HP51" s="72"/>
      <c r="HQ51" s="72"/>
      <c r="HR51" s="72"/>
      <c r="HS51" s="72"/>
      <c r="HT51" s="72"/>
      <c r="HU51" s="72"/>
      <c r="HV51" s="72"/>
      <c r="HW51" s="72"/>
      <c r="HX51" s="72"/>
      <c r="HY51" s="72"/>
      <c r="HZ51" s="72"/>
      <c r="IA51" s="72"/>
      <c r="IB51" s="72"/>
      <c r="IC51" s="72"/>
      <c r="ID51" s="72"/>
      <c r="IE51" s="72"/>
      <c r="IF51" s="72"/>
      <c r="IG51" s="72"/>
      <c r="IH51" s="72"/>
      <c r="II51" s="72"/>
      <c r="IJ51" s="72"/>
      <c r="IK51" s="72"/>
      <c r="IL51" s="72"/>
      <c r="IM51" s="72"/>
      <c r="IN51" s="72"/>
      <c r="IO51" s="72"/>
    </row>
    <row r="52" spans="2:249">
      <c r="B52" s="247"/>
      <c r="C52" s="86" t="s">
        <v>540</v>
      </c>
      <c r="D52" s="69"/>
      <c r="E52" s="70"/>
      <c r="F52" s="71"/>
      <c r="G52" s="72"/>
      <c r="H52" s="72"/>
      <c r="I52" s="72"/>
      <c r="J52" s="72"/>
      <c r="K52" s="72"/>
      <c r="L52" s="72"/>
      <c r="M52" s="71"/>
      <c r="N52" s="70"/>
      <c r="O52" s="72"/>
      <c r="P52" s="72"/>
      <c r="Q52" s="72"/>
      <c r="R52" s="71"/>
      <c r="S52" s="70"/>
      <c r="T52" s="72"/>
      <c r="U52" s="72"/>
      <c r="V52" s="99" t="s">
        <v>360</v>
      </c>
      <c r="W52" s="72"/>
      <c r="X52" s="72"/>
      <c r="Y52" s="72"/>
      <c r="Z52" s="72"/>
      <c r="AA52" s="72"/>
      <c r="AB52" s="72"/>
      <c r="AC52" s="72"/>
      <c r="AD52" s="72"/>
      <c r="AE52" s="73"/>
      <c r="AF52" s="70"/>
      <c r="AG52" s="72"/>
      <c r="AH52" s="72"/>
      <c r="AI52" s="72"/>
      <c r="AJ52" s="72"/>
      <c r="AK52" s="73"/>
      <c r="AL52" s="72"/>
      <c r="AM52" s="72"/>
      <c r="AN52" s="72"/>
      <c r="AO52" s="72"/>
      <c r="AP52" s="72"/>
      <c r="AQ52" s="72"/>
      <c r="AR52" s="72"/>
      <c r="AS52" s="72"/>
      <c r="AT52" s="72"/>
      <c r="AU52" s="72"/>
      <c r="AV52" s="72"/>
      <c r="AW52" s="72"/>
      <c r="AX52" s="72"/>
      <c r="AY52" s="72"/>
      <c r="AZ52" s="72"/>
      <c r="BA52" s="72"/>
      <c r="BB52" s="72"/>
      <c r="BC52" s="72"/>
      <c r="BD52" s="72"/>
      <c r="BE52" s="72"/>
      <c r="BF52" s="72"/>
      <c r="BG52" s="72"/>
      <c r="BH52" s="72"/>
      <c r="BI52" s="72"/>
      <c r="BJ52" s="72"/>
      <c r="BK52" s="72"/>
      <c r="BL52" s="72"/>
      <c r="BM52" s="72"/>
      <c r="BN52" s="72"/>
      <c r="BO52" s="72"/>
      <c r="BP52" s="72"/>
      <c r="BQ52" s="72"/>
      <c r="BR52" s="72"/>
      <c r="BS52" s="72"/>
      <c r="BT52" s="72"/>
      <c r="BU52" s="72"/>
      <c r="BV52" s="72"/>
      <c r="BW52" s="72"/>
      <c r="BX52" s="72"/>
      <c r="BY52" s="72"/>
      <c r="BZ52" s="72"/>
      <c r="CA52" s="72"/>
      <c r="CB52" s="72"/>
      <c r="CC52" s="72"/>
      <c r="CD52" s="72"/>
      <c r="CE52" s="72"/>
      <c r="CF52" s="72"/>
      <c r="CG52" s="72"/>
      <c r="CH52" s="72"/>
      <c r="CI52" s="72"/>
      <c r="CJ52" s="72"/>
      <c r="CK52" s="72"/>
      <c r="CL52" s="72"/>
      <c r="CM52" s="72"/>
      <c r="CN52" s="72"/>
      <c r="CO52" s="72"/>
      <c r="CP52" s="72"/>
      <c r="CQ52" s="72"/>
      <c r="CR52" s="72"/>
      <c r="CS52" s="72"/>
      <c r="CT52" s="72"/>
      <c r="CU52" s="72"/>
      <c r="CV52" s="72"/>
      <c r="CW52" s="72"/>
      <c r="CX52" s="72"/>
      <c r="CY52" s="72"/>
      <c r="CZ52" s="72"/>
      <c r="DA52" s="72"/>
      <c r="DB52" s="72"/>
      <c r="DC52" s="72"/>
      <c r="DD52" s="72"/>
      <c r="DE52" s="72"/>
      <c r="DF52" s="72"/>
      <c r="DG52" s="72"/>
      <c r="DH52" s="72"/>
      <c r="DI52" s="72"/>
      <c r="DJ52" s="72"/>
      <c r="DK52" s="72"/>
      <c r="DL52" s="72"/>
      <c r="DM52" s="72"/>
      <c r="DN52" s="72"/>
      <c r="DO52" s="72"/>
      <c r="DP52" s="72"/>
      <c r="DQ52" s="72"/>
      <c r="DR52" s="72"/>
      <c r="DS52" s="72"/>
      <c r="DT52" s="72"/>
      <c r="DU52" s="72"/>
      <c r="DV52" s="72"/>
      <c r="DW52" s="72"/>
      <c r="DX52" s="72"/>
      <c r="DY52" s="72"/>
      <c r="DZ52" s="72"/>
      <c r="EA52" s="72"/>
      <c r="EB52" s="72"/>
      <c r="EC52" s="72"/>
      <c r="ED52" s="72"/>
      <c r="EE52" s="72"/>
      <c r="EF52" s="72"/>
      <c r="EG52" s="72"/>
      <c r="EH52" s="72"/>
      <c r="EI52" s="72"/>
      <c r="EJ52" s="72"/>
      <c r="EK52" s="72"/>
      <c r="EL52" s="72"/>
      <c r="EM52" s="72"/>
      <c r="EN52" s="72"/>
      <c r="EO52" s="72"/>
      <c r="EP52" s="72"/>
      <c r="EQ52" s="72"/>
      <c r="ER52" s="72"/>
      <c r="ES52" s="72"/>
      <c r="ET52" s="72"/>
      <c r="EU52" s="72"/>
      <c r="EV52" s="72"/>
      <c r="EW52" s="72"/>
      <c r="EX52" s="72"/>
      <c r="EY52" s="72"/>
      <c r="EZ52" s="72"/>
      <c r="FA52" s="72"/>
      <c r="FB52" s="72"/>
      <c r="FC52" s="72"/>
      <c r="FD52" s="72"/>
      <c r="FE52" s="72"/>
      <c r="FF52" s="72"/>
      <c r="FG52" s="72"/>
      <c r="FH52" s="72"/>
      <c r="FI52" s="72"/>
      <c r="FJ52" s="72"/>
      <c r="FK52" s="72"/>
      <c r="FL52" s="72"/>
      <c r="FM52" s="72"/>
      <c r="FN52" s="72"/>
      <c r="FO52" s="72"/>
      <c r="FP52" s="72"/>
      <c r="FQ52" s="72"/>
      <c r="FR52" s="72"/>
      <c r="FS52" s="72"/>
      <c r="FT52" s="72"/>
      <c r="FU52" s="72"/>
      <c r="FV52" s="72"/>
      <c r="FW52" s="72"/>
      <c r="FX52" s="72"/>
      <c r="FY52" s="72"/>
      <c r="FZ52" s="72"/>
      <c r="GA52" s="72"/>
      <c r="GB52" s="72"/>
      <c r="GC52" s="72"/>
      <c r="GD52" s="72"/>
      <c r="GE52" s="72"/>
      <c r="GF52" s="72"/>
      <c r="GG52" s="72"/>
      <c r="GH52" s="72"/>
      <c r="GI52" s="72"/>
      <c r="GJ52" s="72"/>
      <c r="GK52" s="72"/>
      <c r="GL52" s="72"/>
      <c r="GM52" s="72"/>
      <c r="GN52" s="72"/>
      <c r="GO52" s="72"/>
      <c r="GP52" s="72"/>
      <c r="GQ52" s="72"/>
      <c r="GR52" s="72"/>
      <c r="GS52" s="72"/>
      <c r="GT52" s="72"/>
      <c r="GU52" s="72"/>
      <c r="GV52" s="72"/>
      <c r="GW52" s="72"/>
      <c r="GX52" s="72"/>
      <c r="GY52" s="72"/>
      <c r="GZ52" s="72"/>
      <c r="HA52" s="72"/>
      <c r="HB52" s="72"/>
      <c r="HC52" s="72"/>
      <c r="HD52" s="72"/>
      <c r="HE52" s="72"/>
      <c r="HF52" s="72"/>
      <c r="HG52" s="72"/>
      <c r="HH52" s="72"/>
      <c r="HI52" s="72"/>
      <c r="HJ52" s="72"/>
      <c r="HK52" s="72"/>
      <c r="HL52" s="72"/>
      <c r="HM52" s="72"/>
      <c r="HN52" s="72"/>
      <c r="HO52" s="72"/>
      <c r="HP52" s="72"/>
      <c r="HQ52" s="72"/>
      <c r="HR52" s="72"/>
      <c r="HS52" s="72"/>
      <c r="HT52" s="72"/>
      <c r="HU52" s="72"/>
      <c r="HV52" s="72"/>
      <c r="HW52" s="72"/>
      <c r="HX52" s="72"/>
      <c r="HY52" s="72"/>
      <c r="HZ52" s="72"/>
      <c r="IA52" s="72"/>
      <c r="IB52" s="72"/>
      <c r="IC52" s="72"/>
      <c r="ID52" s="72"/>
      <c r="IE52" s="72"/>
      <c r="IF52" s="72"/>
      <c r="IG52" s="72"/>
      <c r="IH52" s="72"/>
      <c r="II52" s="72"/>
      <c r="IJ52" s="72"/>
      <c r="IK52" s="72"/>
      <c r="IL52" s="72"/>
      <c r="IM52" s="72"/>
      <c r="IN52" s="72"/>
      <c r="IO52" s="72"/>
    </row>
    <row r="53" spans="2:249">
      <c r="B53" s="247"/>
      <c r="C53" s="86" t="s">
        <v>541</v>
      </c>
      <c r="D53" s="69"/>
      <c r="E53" s="70"/>
      <c r="F53" s="71"/>
      <c r="G53" s="72"/>
      <c r="H53" s="72"/>
      <c r="I53" s="72"/>
      <c r="J53" s="72"/>
      <c r="K53" s="72"/>
      <c r="L53" s="72"/>
      <c r="M53" s="71"/>
      <c r="N53" s="70"/>
      <c r="O53" s="72"/>
      <c r="P53" s="72"/>
      <c r="Q53" s="72"/>
      <c r="R53" s="71"/>
      <c r="S53" s="70"/>
      <c r="T53" s="72"/>
      <c r="U53" s="72"/>
      <c r="V53" s="72"/>
      <c r="W53" s="99" t="s">
        <v>360</v>
      </c>
      <c r="X53" s="72"/>
      <c r="Y53" s="72"/>
      <c r="Z53" s="72"/>
      <c r="AA53" s="72"/>
      <c r="AB53" s="72"/>
      <c r="AC53" s="72"/>
      <c r="AD53" s="72"/>
      <c r="AE53" s="73"/>
      <c r="AF53" s="70"/>
      <c r="AG53" s="72"/>
      <c r="AH53" s="72"/>
      <c r="AI53" s="72"/>
      <c r="AJ53" s="72"/>
      <c r="AK53" s="73"/>
      <c r="AL53" s="72"/>
      <c r="AM53" s="72"/>
      <c r="AN53" s="72"/>
      <c r="AO53" s="72"/>
      <c r="AP53" s="72"/>
      <c r="AQ53" s="72"/>
      <c r="AR53" s="72"/>
      <c r="AS53" s="72"/>
      <c r="AT53" s="72"/>
      <c r="AU53" s="72"/>
      <c r="AV53" s="72"/>
      <c r="AW53" s="72"/>
      <c r="AX53" s="72"/>
      <c r="AY53" s="72"/>
      <c r="AZ53" s="72"/>
      <c r="BA53" s="72"/>
      <c r="BB53" s="72"/>
      <c r="BC53" s="72"/>
      <c r="BD53" s="72"/>
      <c r="BE53" s="72"/>
      <c r="BF53" s="72"/>
      <c r="BG53" s="72"/>
      <c r="BH53" s="72"/>
      <c r="BI53" s="72"/>
      <c r="BJ53" s="72"/>
      <c r="BK53" s="72"/>
      <c r="BL53" s="72"/>
      <c r="BM53" s="72"/>
      <c r="BN53" s="72"/>
      <c r="BO53" s="72"/>
      <c r="BP53" s="72"/>
      <c r="BQ53" s="72"/>
      <c r="BR53" s="72"/>
      <c r="BS53" s="72"/>
      <c r="BT53" s="72"/>
      <c r="BU53" s="72"/>
      <c r="BV53" s="72"/>
      <c r="BW53" s="72"/>
      <c r="BX53" s="72"/>
      <c r="BY53" s="72"/>
      <c r="BZ53" s="72"/>
      <c r="CA53" s="72"/>
      <c r="CB53" s="72"/>
      <c r="CC53" s="72"/>
      <c r="CD53" s="72"/>
      <c r="CE53" s="72"/>
      <c r="CF53" s="72"/>
      <c r="CG53" s="72"/>
      <c r="CH53" s="72"/>
      <c r="CI53" s="72"/>
      <c r="CJ53" s="72"/>
      <c r="CK53" s="72"/>
      <c r="CL53" s="72"/>
      <c r="CM53" s="72"/>
      <c r="CN53" s="72"/>
      <c r="CO53" s="72"/>
      <c r="CP53" s="72"/>
      <c r="CQ53" s="72"/>
      <c r="CR53" s="72"/>
      <c r="CS53" s="72"/>
      <c r="CT53" s="72"/>
      <c r="CU53" s="72"/>
      <c r="CV53" s="72"/>
      <c r="CW53" s="72"/>
      <c r="CX53" s="72"/>
      <c r="CY53" s="72"/>
      <c r="CZ53" s="72"/>
      <c r="DA53" s="72"/>
      <c r="DB53" s="72"/>
      <c r="DC53" s="72"/>
      <c r="DD53" s="72"/>
      <c r="DE53" s="72"/>
      <c r="DF53" s="72"/>
      <c r="DG53" s="72"/>
      <c r="DH53" s="72"/>
      <c r="DI53" s="72"/>
      <c r="DJ53" s="72"/>
      <c r="DK53" s="72"/>
      <c r="DL53" s="72"/>
      <c r="DM53" s="72"/>
      <c r="DN53" s="72"/>
      <c r="DO53" s="72"/>
      <c r="DP53" s="72"/>
      <c r="DQ53" s="72"/>
      <c r="DR53" s="72"/>
      <c r="DS53" s="72"/>
      <c r="DT53" s="72"/>
      <c r="DU53" s="72"/>
      <c r="DV53" s="72"/>
      <c r="DW53" s="72"/>
      <c r="DX53" s="72"/>
      <c r="DY53" s="72"/>
      <c r="DZ53" s="72"/>
      <c r="EA53" s="72"/>
      <c r="EB53" s="72"/>
      <c r="EC53" s="72"/>
      <c r="ED53" s="72"/>
      <c r="EE53" s="72"/>
      <c r="EF53" s="72"/>
      <c r="EG53" s="72"/>
      <c r="EH53" s="72"/>
      <c r="EI53" s="72"/>
      <c r="EJ53" s="72"/>
      <c r="EK53" s="72"/>
      <c r="EL53" s="72"/>
      <c r="EM53" s="72"/>
      <c r="EN53" s="72"/>
      <c r="EO53" s="72"/>
      <c r="EP53" s="72"/>
      <c r="EQ53" s="72"/>
      <c r="ER53" s="72"/>
      <c r="ES53" s="72"/>
      <c r="ET53" s="72"/>
      <c r="EU53" s="72"/>
      <c r="EV53" s="72"/>
      <c r="EW53" s="72"/>
      <c r="EX53" s="72"/>
      <c r="EY53" s="72"/>
      <c r="EZ53" s="72"/>
      <c r="FA53" s="72"/>
      <c r="FB53" s="72"/>
      <c r="FC53" s="72"/>
      <c r="FD53" s="72"/>
      <c r="FE53" s="72"/>
      <c r="FF53" s="72"/>
      <c r="FG53" s="72"/>
      <c r="FH53" s="72"/>
      <c r="FI53" s="72"/>
      <c r="FJ53" s="72"/>
      <c r="FK53" s="72"/>
      <c r="FL53" s="72"/>
      <c r="FM53" s="72"/>
      <c r="FN53" s="72"/>
      <c r="FO53" s="72"/>
      <c r="FP53" s="72"/>
      <c r="FQ53" s="72"/>
      <c r="FR53" s="72"/>
      <c r="FS53" s="72"/>
      <c r="FT53" s="72"/>
      <c r="FU53" s="72"/>
      <c r="FV53" s="72"/>
      <c r="FW53" s="72"/>
      <c r="FX53" s="72"/>
      <c r="FY53" s="72"/>
      <c r="FZ53" s="72"/>
      <c r="GA53" s="72"/>
      <c r="GB53" s="72"/>
      <c r="GC53" s="72"/>
      <c r="GD53" s="72"/>
      <c r="GE53" s="72"/>
      <c r="GF53" s="72"/>
      <c r="GG53" s="72"/>
      <c r="GH53" s="72"/>
      <c r="GI53" s="72"/>
      <c r="GJ53" s="72"/>
      <c r="GK53" s="72"/>
      <c r="GL53" s="72"/>
      <c r="GM53" s="72"/>
      <c r="GN53" s="72"/>
      <c r="GO53" s="72"/>
      <c r="GP53" s="72"/>
      <c r="GQ53" s="72"/>
      <c r="GR53" s="72"/>
      <c r="GS53" s="72"/>
      <c r="GT53" s="72"/>
      <c r="GU53" s="72"/>
      <c r="GV53" s="72"/>
      <c r="GW53" s="72"/>
      <c r="GX53" s="72"/>
      <c r="GY53" s="72"/>
      <c r="GZ53" s="72"/>
      <c r="HA53" s="72"/>
      <c r="HB53" s="72"/>
      <c r="HC53" s="72"/>
      <c r="HD53" s="72"/>
      <c r="HE53" s="72"/>
      <c r="HF53" s="72"/>
      <c r="HG53" s="72"/>
      <c r="HH53" s="72"/>
      <c r="HI53" s="72"/>
      <c r="HJ53" s="72"/>
      <c r="HK53" s="72"/>
      <c r="HL53" s="72"/>
      <c r="HM53" s="72"/>
      <c r="HN53" s="72"/>
      <c r="HO53" s="72"/>
      <c r="HP53" s="72"/>
      <c r="HQ53" s="72"/>
      <c r="HR53" s="72"/>
      <c r="HS53" s="72"/>
      <c r="HT53" s="72"/>
      <c r="HU53" s="72"/>
      <c r="HV53" s="72"/>
      <c r="HW53" s="72"/>
      <c r="HX53" s="72"/>
      <c r="HY53" s="72"/>
      <c r="HZ53" s="72"/>
      <c r="IA53" s="72"/>
      <c r="IB53" s="72"/>
      <c r="IC53" s="72"/>
      <c r="ID53" s="72"/>
      <c r="IE53" s="72"/>
      <c r="IF53" s="72"/>
      <c r="IG53" s="72"/>
      <c r="IH53" s="72"/>
      <c r="II53" s="72"/>
      <c r="IJ53" s="72"/>
      <c r="IK53" s="72"/>
      <c r="IL53" s="72"/>
      <c r="IM53" s="72"/>
      <c r="IN53" s="72"/>
      <c r="IO53" s="72"/>
    </row>
    <row r="54" spans="2:249">
      <c r="B54" s="247"/>
      <c r="C54" s="86" t="s">
        <v>542</v>
      </c>
      <c r="D54" s="69"/>
      <c r="E54" s="70"/>
      <c r="F54" s="71"/>
      <c r="G54" s="72"/>
      <c r="H54" s="72"/>
      <c r="I54" s="72"/>
      <c r="J54" s="72"/>
      <c r="K54" s="72"/>
      <c r="L54" s="72"/>
      <c r="M54" s="71"/>
      <c r="N54" s="70"/>
      <c r="O54" s="72"/>
      <c r="P54" s="72"/>
      <c r="Q54" s="72"/>
      <c r="R54" s="71"/>
      <c r="S54" s="70"/>
      <c r="T54" s="72"/>
      <c r="U54" s="72"/>
      <c r="V54" s="72"/>
      <c r="W54" s="72"/>
      <c r="X54" s="99" t="s">
        <v>360</v>
      </c>
      <c r="Y54" s="72"/>
      <c r="Z54" s="72"/>
      <c r="AA54" s="72"/>
      <c r="AB54" s="72"/>
      <c r="AC54" s="72"/>
      <c r="AD54" s="72"/>
      <c r="AE54" s="73"/>
      <c r="AF54" s="70"/>
      <c r="AG54" s="72"/>
      <c r="AH54" s="72"/>
      <c r="AI54" s="72"/>
      <c r="AJ54" s="72"/>
      <c r="AK54" s="73"/>
      <c r="AL54" s="72"/>
      <c r="AM54" s="72"/>
      <c r="AN54" s="72"/>
      <c r="AO54" s="72"/>
      <c r="AP54" s="72"/>
      <c r="AQ54" s="72"/>
      <c r="AR54" s="72"/>
      <c r="AS54" s="72"/>
      <c r="AT54" s="72"/>
      <c r="AU54" s="72"/>
      <c r="AV54" s="72"/>
      <c r="AW54" s="72"/>
      <c r="AX54" s="72"/>
      <c r="AY54" s="72"/>
      <c r="AZ54" s="72"/>
      <c r="BA54" s="72"/>
      <c r="BB54" s="72"/>
      <c r="BC54" s="72"/>
      <c r="BD54" s="72"/>
      <c r="BE54" s="72"/>
      <c r="BF54" s="72"/>
      <c r="BG54" s="72"/>
      <c r="BH54" s="72"/>
      <c r="BI54" s="72"/>
      <c r="BJ54" s="72"/>
      <c r="BK54" s="72"/>
      <c r="BL54" s="72"/>
      <c r="BM54" s="72"/>
      <c r="BN54" s="72"/>
      <c r="BO54" s="72"/>
      <c r="BP54" s="72"/>
      <c r="BQ54" s="72"/>
      <c r="BR54" s="72"/>
      <c r="BS54" s="72"/>
      <c r="BT54" s="72"/>
      <c r="BU54" s="72"/>
      <c r="BV54" s="72"/>
      <c r="BW54" s="72"/>
      <c r="BX54" s="72"/>
      <c r="BY54" s="72"/>
      <c r="BZ54" s="72"/>
      <c r="CA54" s="72"/>
      <c r="CB54" s="72"/>
      <c r="CC54" s="72"/>
      <c r="CD54" s="72"/>
      <c r="CE54" s="72"/>
      <c r="CF54" s="72"/>
      <c r="CG54" s="72"/>
      <c r="CH54" s="72"/>
      <c r="CI54" s="72"/>
      <c r="CJ54" s="72"/>
      <c r="CK54" s="72"/>
      <c r="CL54" s="72"/>
      <c r="CM54" s="72"/>
      <c r="CN54" s="72"/>
      <c r="CO54" s="72"/>
      <c r="CP54" s="72"/>
      <c r="CQ54" s="72"/>
      <c r="CR54" s="72"/>
      <c r="CS54" s="72"/>
      <c r="CT54" s="72"/>
      <c r="CU54" s="72"/>
      <c r="CV54" s="72"/>
      <c r="CW54" s="72"/>
      <c r="CX54" s="72"/>
      <c r="CY54" s="72"/>
      <c r="CZ54" s="72"/>
      <c r="DA54" s="72"/>
      <c r="DB54" s="72"/>
      <c r="DC54" s="72"/>
      <c r="DD54" s="72"/>
      <c r="DE54" s="72"/>
      <c r="DF54" s="72"/>
      <c r="DG54" s="72"/>
      <c r="DH54" s="72"/>
      <c r="DI54" s="72"/>
      <c r="DJ54" s="72"/>
      <c r="DK54" s="72"/>
      <c r="DL54" s="72"/>
      <c r="DM54" s="72"/>
      <c r="DN54" s="72"/>
      <c r="DO54" s="72"/>
      <c r="DP54" s="72"/>
      <c r="DQ54" s="72"/>
      <c r="DR54" s="72"/>
      <c r="DS54" s="72"/>
      <c r="DT54" s="72"/>
      <c r="DU54" s="72"/>
      <c r="DV54" s="72"/>
      <c r="DW54" s="72"/>
      <c r="DX54" s="72"/>
      <c r="DY54" s="72"/>
      <c r="DZ54" s="72"/>
      <c r="EA54" s="72"/>
      <c r="EB54" s="72"/>
      <c r="EC54" s="72"/>
      <c r="ED54" s="72"/>
      <c r="EE54" s="72"/>
      <c r="EF54" s="72"/>
      <c r="EG54" s="72"/>
      <c r="EH54" s="72"/>
      <c r="EI54" s="72"/>
      <c r="EJ54" s="72"/>
      <c r="EK54" s="72"/>
      <c r="EL54" s="72"/>
      <c r="EM54" s="72"/>
      <c r="EN54" s="72"/>
      <c r="EO54" s="72"/>
      <c r="EP54" s="72"/>
      <c r="EQ54" s="72"/>
      <c r="ER54" s="72"/>
      <c r="ES54" s="72"/>
      <c r="ET54" s="72"/>
      <c r="EU54" s="72"/>
      <c r="EV54" s="72"/>
      <c r="EW54" s="72"/>
      <c r="EX54" s="72"/>
      <c r="EY54" s="72"/>
      <c r="EZ54" s="72"/>
      <c r="FA54" s="72"/>
      <c r="FB54" s="72"/>
      <c r="FC54" s="72"/>
      <c r="FD54" s="72"/>
      <c r="FE54" s="72"/>
      <c r="FF54" s="72"/>
      <c r="FG54" s="72"/>
      <c r="FH54" s="72"/>
      <c r="FI54" s="72"/>
      <c r="FJ54" s="72"/>
      <c r="FK54" s="72"/>
      <c r="FL54" s="72"/>
      <c r="FM54" s="72"/>
      <c r="FN54" s="72"/>
      <c r="FO54" s="72"/>
      <c r="FP54" s="72"/>
      <c r="FQ54" s="72"/>
      <c r="FR54" s="72"/>
      <c r="FS54" s="72"/>
      <c r="FT54" s="72"/>
      <c r="FU54" s="72"/>
      <c r="FV54" s="72"/>
      <c r="FW54" s="72"/>
      <c r="FX54" s="72"/>
      <c r="FY54" s="72"/>
      <c r="FZ54" s="72"/>
      <c r="GA54" s="72"/>
      <c r="GB54" s="72"/>
      <c r="GC54" s="72"/>
      <c r="GD54" s="72"/>
      <c r="GE54" s="72"/>
      <c r="GF54" s="72"/>
      <c r="GG54" s="72"/>
      <c r="GH54" s="72"/>
      <c r="GI54" s="72"/>
      <c r="GJ54" s="72"/>
      <c r="GK54" s="72"/>
      <c r="GL54" s="72"/>
      <c r="GM54" s="72"/>
      <c r="GN54" s="72"/>
      <c r="GO54" s="72"/>
      <c r="GP54" s="72"/>
      <c r="GQ54" s="72"/>
      <c r="GR54" s="72"/>
      <c r="GS54" s="72"/>
      <c r="GT54" s="72"/>
      <c r="GU54" s="72"/>
      <c r="GV54" s="72"/>
      <c r="GW54" s="72"/>
      <c r="GX54" s="72"/>
      <c r="GY54" s="72"/>
      <c r="GZ54" s="72"/>
      <c r="HA54" s="72"/>
      <c r="HB54" s="72"/>
      <c r="HC54" s="72"/>
      <c r="HD54" s="72"/>
      <c r="HE54" s="72"/>
      <c r="HF54" s="72"/>
      <c r="HG54" s="72"/>
      <c r="HH54" s="72"/>
      <c r="HI54" s="72"/>
      <c r="HJ54" s="72"/>
      <c r="HK54" s="72"/>
      <c r="HL54" s="72"/>
      <c r="HM54" s="72"/>
      <c r="HN54" s="72"/>
      <c r="HO54" s="72"/>
      <c r="HP54" s="72"/>
      <c r="HQ54" s="72"/>
      <c r="HR54" s="72"/>
      <c r="HS54" s="72"/>
      <c r="HT54" s="72"/>
      <c r="HU54" s="72"/>
      <c r="HV54" s="72"/>
      <c r="HW54" s="72"/>
      <c r="HX54" s="72"/>
      <c r="HY54" s="72"/>
      <c r="HZ54" s="72"/>
      <c r="IA54" s="72"/>
      <c r="IB54" s="72"/>
      <c r="IC54" s="72"/>
      <c r="ID54" s="72"/>
      <c r="IE54" s="72"/>
      <c r="IF54" s="72"/>
      <c r="IG54" s="72"/>
      <c r="IH54" s="72"/>
      <c r="II54" s="72"/>
      <c r="IJ54" s="72"/>
      <c r="IK54" s="72"/>
      <c r="IL54" s="72"/>
      <c r="IM54" s="72"/>
      <c r="IN54" s="72"/>
      <c r="IO54" s="72"/>
    </row>
    <row r="55" spans="2:249">
      <c r="B55" s="247"/>
      <c r="C55" s="86" t="s">
        <v>543</v>
      </c>
      <c r="D55" s="69"/>
      <c r="E55" s="70"/>
      <c r="F55" s="71"/>
      <c r="G55" s="72"/>
      <c r="H55" s="72"/>
      <c r="I55" s="72"/>
      <c r="J55" s="72"/>
      <c r="K55" s="72"/>
      <c r="L55" s="72"/>
      <c r="M55" s="71"/>
      <c r="N55" s="70"/>
      <c r="O55" s="72"/>
      <c r="P55" s="72"/>
      <c r="Q55" s="72"/>
      <c r="R55" s="71"/>
      <c r="S55" s="70"/>
      <c r="T55" s="72"/>
      <c r="U55" s="72"/>
      <c r="V55" s="72"/>
      <c r="W55" s="72"/>
      <c r="X55" s="72"/>
      <c r="Y55" s="99" t="s">
        <v>360</v>
      </c>
      <c r="Z55" s="72"/>
      <c r="AA55" s="72"/>
      <c r="AB55" s="72"/>
      <c r="AC55" s="72"/>
      <c r="AD55" s="72"/>
      <c r="AE55" s="73"/>
      <c r="AF55" s="70"/>
      <c r="AG55" s="72"/>
      <c r="AH55" s="72"/>
      <c r="AI55" s="72"/>
      <c r="AJ55" s="72"/>
      <c r="AK55" s="73"/>
      <c r="AL55" s="72"/>
      <c r="AM55" s="72"/>
      <c r="AN55" s="72"/>
      <c r="AO55" s="72"/>
      <c r="AP55" s="72"/>
      <c r="AQ55" s="72"/>
      <c r="AR55" s="72"/>
      <c r="AS55" s="72"/>
      <c r="AT55" s="72"/>
      <c r="AU55" s="72"/>
      <c r="AV55" s="72"/>
      <c r="AW55" s="72"/>
      <c r="AX55" s="72"/>
      <c r="AY55" s="72"/>
      <c r="AZ55" s="72"/>
      <c r="BA55" s="72"/>
      <c r="BB55" s="72"/>
      <c r="BC55" s="72"/>
      <c r="BD55" s="72"/>
      <c r="BE55" s="72"/>
      <c r="BF55" s="72"/>
      <c r="BG55" s="72"/>
      <c r="BH55" s="72"/>
      <c r="BI55" s="72"/>
      <c r="BJ55" s="72"/>
      <c r="BK55" s="72"/>
      <c r="BL55" s="72"/>
      <c r="BM55" s="72"/>
      <c r="BN55" s="72"/>
      <c r="BO55" s="72"/>
      <c r="BP55" s="72"/>
      <c r="BQ55" s="72"/>
      <c r="BR55" s="72"/>
      <c r="BS55" s="72"/>
      <c r="BT55" s="72"/>
      <c r="BU55" s="72"/>
      <c r="BV55" s="72"/>
      <c r="BW55" s="72"/>
      <c r="BX55" s="72"/>
      <c r="BY55" s="72"/>
      <c r="BZ55" s="72"/>
      <c r="CA55" s="72"/>
      <c r="CB55" s="72"/>
      <c r="CC55" s="72"/>
      <c r="CD55" s="72"/>
      <c r="CE55" s="72"/>
      <c r="CF55" s="72"/>
      <c r="CG55" s="72"/>
      <c r="CH55" s="72"/>
      <c r="CI55" s="72"/>
      <c r="CJ55" s="72"/>
      <c r="CK55" s="72"/>
      <c r="CL55" s="72"/>
      <c r="CM55" s="72"/>
      <c r="CN55" s="72"/>
      <c r="CO55" s="72"/>
      <c r="CP55" s="72"/>
      <c r="CQ55" s="72"/>
      <c r="CR55" s="72"/>
      <c r="CS55" s="72"/>
      <c r="CT55" s="72"/>
      <c r="CU55" s="72"/>
      <c r="CV55" s="72"/>
      <c r="CW55" s="72"/>
      <c r="CX55" s="72"/>
      <c r="CY55" s="72"/>
      <c r="CZ55" s="72"/>
      <c r="DA55" s="72"/>
      <c r="DB55" s="72"/>
      <c r="DC55" s="72"/>
      <c r="DD55" s="72"/>
      <c r="DE55" s="72"/>
      <c r="DF55" s="72"/>
      <c r="DG55" s="72"/>
      <c r="DH55" s="72"/>
      <c r="DI55" s="72"/>
      <c r="DJ55" s="72"/>
      <c r="DK55" s="72"/>
      <c r="DL55" s="72"/>
      <c r="DM55" s="72"/>
      <c r="DN55" s="72"/>
      <c r="DO55" s="72"/>
      <c r="DP55" s="72"/>
      <c r="DQ55" s="72"/>
      <c r="DR55" s="72"/>
      <c r="DS55" s="72"/>
      <c r="DT55" s="72"/>
      <c r="DU55" s="72"/>
      <c r="DV55" s="72"/>
      <c r="DW55" s="72"/>
      <c r="DX55" s="72"/>
      <c r="DY55" s="72"/>
      <c r="DZ55" s="72"/>
      <c r="EA55" s="72"/>
      <c r="EB55" s="72"/>
      <c r="EC55" s="72"/>
      <c r="ED55" s="72"/>
      <c r="EE55" s="72"/>
      <c r="EF55" s="72"/>
      <c r="EG55" s="72"/>
      <c r="EH55" s="72"/>
      <c r="EI55" s="72"/>
      <c r="EJ55" s="72"/>
      <c r="EK55" s="72"/>
      <c r="EL55" s="72"/>
      <c r="EM55" s="72"/>
      <c r="EN55" s="72"/>
      <c r="EO55" s="72"/>
      <c r="EP55" s="72"/>
      <c r="EQ55" s="72"/>
      <c r="ER55" s="72"/>
      <c r="ES55" s="72"/>
      <c r="ET55" s="72"/>
      <c r="EU55" s="72"/>
      <c r="EV55" s="72"/>
      <c r="EW55" s="72"/>
      <c r="EX55" s="72"/>
      <c r="EY55" s="72"/>
      <c r="EZ55" s="72"/>
      <c r="FA55" s="72"/>
      <c r="FB55" s="72"/>
      <c r="FC55" s="72"/>
      <c r="FD55" s="72"/>
      <c r="FE55" s="72"/>
      <c r="FF55" s="72"/>
      <c r="FG55" s="72"/>
      <c r="FH55" s="72"/>
      <c r="FI55" s="72"/>
      <c r="FJ55" s="72"/>
      <c r="FK55" s="72"/>
      <c r="FL55" s="72"/>
      <c r="FM55" s="72"/>
      <c r="FN55" s="72"/>
      <c r="FO55" s="72"/>
      <c r="FP55" s="72"/>
      <c r="FQ55" s="72"/>
      <c r="FR55" s="72"/>
      <c r="FS55" s="72"/>
      <c r="FT55" s="72"/>
      <c r="FU55" s="72"/>
      <c r="FV55" s="72"/>
      <c r="FW55" s="72"/>
      <c r="FX55" s="72"/>
      <c r="FY55" s="72"/>
      <c r="FZ55" s="72"/>
      <c r="GA55" s="72"/>
      <c r="GB55" s="72"/>
      <c r="GC55" s="72"/>
      <c r="GD55" s="72"/>
      <c r="GE55" s="72"/>
      <c r="GF55" s="72"/>
      <c r="GG55" s="72"/>
      <c r="GH55" s="72"/>
      <c r="GI55" s="72"/>
      <c r="GJ55" s="72"/>
      <c r="GK55" s="72"/>
      <c r="GL55" s="72"/>
      <c r="GM55" s="72"/>
      <c r="GN55" s="72"/>
      <c r="GO55" s="72"/>
      <c r="GP55" s="72"/>
      <c r="GQ55" s="72"/>
      <c r="GR55" s="72"/>
      <c r="GS55" s="72"/>
      <c r="GT55" s="72"/>
      <c r="GU55" s="72"/>
      <c r="GV55" s="72"/>
      <c r="GW55" s="72"/>
      <c r="GX55" s="72"/>
      <c r="GY55" s="72"/>
      <c r="GZ55" s="72"/>
      <c r="HA55" s="72"/>
      <c r="HB55" s="72"/>
      <c r="HC55" s="72"/>
      <c r="HD55" s="72"/>
      <c r="HE55" s="72"/>
      <c r="HF55" s="72"/>
      <c r="HG55" s="72"/>
      <c r="HH55" s="72"/>
      <c r="HI55" s="72"/>
      <c r="HJ55" s="72"/>
      <c r="HK55" s="72"/>
      <c r="HL55" s="72"/>
      <c r="HM55" s="72"/>
      <c r="HN55" s="72"/>
      <c r="HO55" s="72"/>
      <c r="HP55" s="72"/>
      <c r="HQ55" s="72"/>
      <c r="HR55" s="72"/>
      <c r="HS55" s="72"/>
      <c r="HT55" s="72"/>
      <c r="HU55" s="72"/>
      <c r="HV55" s="72"/>
      <c r="HW55" s="72"/>
      <c r="HX55" s="72"/>
      <c r="HY55" s="72"/>
      <c r="HZ55" s="72"/>
      <c r="IA55" s="72"/>
      <c r="IB55" s="72"/>
      <c r="IC55" s="72"/>
      <c r="ID55" s="72"/>
      <c r="IE55" s="72"/>
      <c r="IF55" s="72"/>
      <c r="IG55" s="72"/>
      <c r="IH55" s="72"/>
      <c r="II55" s="72"/>
      <c r="IJ55" s="72"/>
      <c r="IK55" s="72"/>
      <c r="IL55" s="72"/>
      <c r="IM55" s="72"/>
      <c r="IN55" s="72"/>
      <c r="IO55" s="72"/>
    </row>
    <row r="56" spans="2:249">
      <c r="B56" s="247"/>
      <c r="C56" s="86" t="s">
        <v>544</v>
      </c>
      <c r="D56" s="69"/>
      <c r="E56" s="70"/>
      <c r="F56" s="71"/>
      <c r="G56" s="72"/>
      <c r="H56" s="72"/>
      <c r="I56" s="72"/>
      <c r="J56" s="72"/>
      <c r="K56" s="72"/>
      <c r="L56" s="72"/>
      <c r="M56" s="71"/>
      <c r="N56" s="70"/>
      <c r="O56" s="72"/>
      <c r="P56" s="72"/>
      <c r="Q56" s="72"/>
      <c r="R56" s="71"/>
      <c r="S56" s="70"/>
      <c r="T56" s="72"/>
      <c r="U56" s="72"/>
      <c r="V56" s="72"/>
      <c r="W56" s="72"/>
      <c r="X56" s="72"/>
      <c r="Y56" s="72"/>
      <c r="Z56" s="99" t="s">
        <v>360</v>
      </c>
      <c r="AA56" s="72"/>
      <c r="AB56" s="72"/>
      <c r="AC56" s="72"/>
      <c r="AD56" s="72"/>
      <c r="AE56" s="73"/>
      <c r="AF56" s="70"/>
      <c r="AG56" s="72"/>
      <c r="AH56" s="72"/>
      <c r="AI56" s="72"/>
      <c r="AJ56" s="72"/>
      <c r="AK56" s="73"/>
      <c r="AL56" s="72"/>
      <c r="AM56" s="72"/>
      <c r="AN56" s="72"/>
      <c r="AO56" s="72"/>
      <c r="AP56" s="72"/>
      <c r="AQ56" s="72"/>
      <c r="AR56" s="72"/>
      <c r="AS56" s="72"/>
      <c r="AT56" s="72"/>
      <c r="AU56" s="72"/>
      <c r="AV56" s="72"/>
      <c r="AW56" s="72"/>
      <c r="AX56" s="72"/>
      <c r="AY56" s="72"/>
      <c r="AZ56" s="72"/>
      <c r="BA56" s="72"/>
      <c r="BB56" s="72"/>
      <c r="BC56" s="72"/>
      <c r="BD56" s="72"/>
      <c r="BE56" s="72"/>
      <c r="BF56" s="72"/>
      <c r="BG56" s="72"/>
      <c r="BH56" s="72"/>
      <c r="BI56" s="72"/>
      <c r="BJ56" s="72"/>
      <c r="BK56" s="72"/>
      <c r="BL56" s="72"/>
      <c r="BM56" s="72"/>
      <c r="BN56" s="72"/>
      <c r="BO56" s="72"/>
      <c r="BP56" s="72"/>
      <c r="BQ56" s="72"/>
      <c r="BR56" s="72"/>
      <c r="BS56" s="72"/>
      <c r="BT56" s="72"/>
      <c r="BU56" s="72"/>
      <c r="BV56" s="72"/>
      <c r="BW56" s="72"/>
      <c r="BX56" s="72"/>
      <c r="BY56" s="72"/>
      <c r="BZ56" s="72"/>
      <c r="CA56" s="72"/>
      <c r="CB56" s="72"/>
      <c r="CC56" s="72"/>
      <c r="CD56" s="72"/>
      <c r="CE56" s="72"/>
      <c r="CF56" s="72"/>
      <c r="CG56" s="72"/>
      <c r="CH56" s="72"/>
      <c r="CI56" s="72"/>
      <c r="CJ56" s="72"/>
      <c r="CK56" s="72"/>
      <c r="CL56" s="72"/>
      <c r="CM56" s="72"/>
      <c r="CN56" s="72"/>
      <c r="CO56" s="72"/>
      <c r="CP56" s="72"/>
      <c r="CQ56" s="72"/>
      <c r="CR56" s="72"/>
      <c r="CS56" s="72"/>
      <c r="CT56" s="72"/>
      <c r="CU56" s="72"/>
      <c r="CV56" s="72"/>
      <c r="CW56" s="72"/>
      <c r="CX56" s="72"/>
      <c r="CY56" s="72"/>
      <c r="CZ56" s="72"/>
      <c r="DA56" s="72"/>
      <c r="DB56" s="72"/>
      <c r="DC56" s="72"/>
      <c r="DD56" s="72"/>
      <c r="DE56" s="72"/>
      <c r="DF56" s="72"/>
      <c r="DG56" s="72"/>
      <c r="DH56" s="72"/>
      <c r="DI56" s="72"/>
      <c r="DJ56" s="72"/>
      <c r="DK56" s="72"/>
      <c r="DL56" s="72"/>
      <c r="DM56" s="72"/>
      <c r="DN56" s="72"/>
      <c r="DO56" s="72"/>
      <c r="DP56" s="72"/>
      <c r="DQ56" s="72"/>
      <c r="DR56" s="72"/>
      <c r="DS56" s="72"/>
      <c r="DT56" s="72"/>
      <c r="DU56" s="72"/>
      <c r="DV56" s="72"/>
      <c r="DW56" s="72"/>
      <c r="DX56" s="72"/>
      <c r="DY56" s="72"/>
      <c r="DZ56" s="72"/>
      <c r="EA56" s="72"/>
      <c r="EB56" s="72"/>
      <c r="EC56" s="72"/>
      <c r="ED56" s="72"/>
      <c r="EE56" s="72"/>
      <c r="EF56" s="72"/>
      <c r="EG56" s="72"/>
      <c r="EH56" s="72"/>
      <c r="EI56" s="72"/>
      <c r="EJ56" s="72"/>
      <c r="EK56" s="72"/>
      <c r="EL56" s="72"/>
      <c r="EM56" s="72"/>
      <c r="EN56" s="72"/>
      <c r="EO56" s="72"/>
      <c r="EP56" s="72"/>
      <c r="EQ56" s="72"/>
      <c r="ER56" s="72"/>
      <c r="ES56" s="72"/>
      <c r="ET56" s="72"/>
      <c r="EU56" s="72"/>
      <c r="EV56" s="72"/>
      <c r="EW56" s="72"/>
      <c r="EX56" s="72"/>
      <c r="EY56" s="72"/>
      <c r="EZ56" s="72"/>
      <c r="FA56" s="72"/>
      <c r="FB56" s="72"/>
      <c r="FC56" s="72"/>
      <c r="FD56" s="72"/>
      <c r="FE56" s="72"/>
      <c r="FF56" s="72"/>
      <c r="FG56" s="72"/>
      <c r="FH56" s="72"/>
      <c r="FI56" s="72"/>
      <c r="FJ56" s="72"/>
      <c r="FK56" s="72"/>
      <c r="FL56" s="72"/>
      <c r="FM56" s="72"/>
      <c r="FN56" s="72"/>
      <c r="FO56" s="72"/>
      <c r="FP56" s="72"/>
      <c r="FQ56" s="72"/>
      <c r="FR56" s="72"/>
      <c r="FS56" s="72"/>
      <c r="FT56" s="72"/>
      <c r="FU56" s="72"/>
      <c r="FV56" s="72"/>
      <c r="FW56" s="72"/>
      <c r="FX56" s="72"/>
      <c r="FY56" s="72"/>
      <c r="FZ56" s="72"/>
      <c r="GA56" s="72"/>
      <c r="GB56" s="72"/>
      <c r="GC56" s="72"/>
      <c r="GD56" s="72"/>
      <c r="GE56" s="72"/>
      <c r="GF56" s="72"/>
      <c r="GG56" s="72"/>
      <c r="GH56" s="72"/>
      <c r="GI56" s="72"/>
      <c r="GJ56" s="72"/>
      <c r="GK56" s="72"/>
      <c r="GL56" s="72"/>
      <c r="GM56" s="72"/>
      <c r="GN56" s="72"/>
      <c r="GO56" s="72"/>
      <c r="GP56" s="72"/>
      <c r="GQ56" s="72"/>
      <c r="GR56" s="72"/>
      <c r="GS56" s="72"/>
      <c r="GT56" s="72"/>
      <c r="GU56" s="72"/>
      <c r="GV56" s="72"/>
      <c r="GW56" s="72"/>
      <c r="GX56" s="72"/>
      <c r="GY56" s="72"/>
      <c r="GZ56" s="72"/>
      <c r="HA56" s="72"/>
      <c r="HB56" s="72"/>
      <c r="HC56" s="72"/>
      <c r="HD56" s="72"/>
      <c r="HE56" s="72"/>
      <c r="HF56" s="72"/>
      <c r="HG56" s="72"/>
      <c r="HH56" s="72"/>
      <c r="HI56" s="72"/>
      <c r="HJ56" s="72"/>
      <c r="HK56" s="72"/>
      <c r="HL56" s="72"/>
      <c r="HM56" s="72"/>
      <c r="HN56" s="72"/>
      <c r="HO56" s="72"/>
      <c r="HP56" s="72"/>
      <c r="HQ56" s="72"/>
      <c r="HR56" s="72"/>
      <c r="HS56" s="72"/>
      <c r="HT56" s="72"/>
      <c r="HU56" s="72"/>
      <c r="HV56" s="72"/>
      <c r="HW56" s="72"/>
      <c r="HX56" s="72"/>
      <c r="HY56" s="72"/>
      <c r="HZ56" s="72"/>
      <c r="IA56" s="72"/>
      <c r="IB56" s="72"/>
      <c r="IC56" s="72"/>
      <c r="ID56" s="72"/>
      <c r="IE56" s="72"/>
      <c r="IF56" s="72"/>
      <c r="IG56" s="72"/>
      <c r="IH56" s="72"/>
      <c r="II56" s="72"/>
      <c r="IJ56" s="72"/>
      <c r="IK56" s="72"/>
      <c r="IL56" s="72"/>
      <c r="IM56" s="72"/>
      <c r="IN56" s="72"/>
      <c r="IO56" s="72"/>
    </row>
    <row r="57" spans="2:249">
      <c r="B57" s="247"/>
      <c r="C57" s="86" t="s">
        <v>545</v>
      </c>
      <c r="D57" s="69"/>
      <c r="E57" s="70"/>
      <c r="F57" s="71"/>
      <c r="G57" s="72"/>
      <c r="H57" s="72"/>
      <c r="I57" s="72"/>
      <c r="J57" s="72"/>
      <c r="K57" s="72"/>
      <c r="L57" s="72"/>
      <c r="M57" s="71"/>
      <c r="N57" s="70"/>
      <c r="O57" s="72"/>
      <c r="P57" s="72"/>
      <c r="Q57" s="72"/>
      <c r="R57" s="71"/>
      <c r="S57" s="70"/>
      <c r="T57" s="72"/>
      <c r="U57" s="72"/>
      <c r="V57" s="72"/>
      <c r="W57" s="72"/>
      <c r="X57" s="72"/>
      <c r="Y57" s="72"/>
      <c r="Z57" s="72"/>
      <c r="AA57" s="99" t="s">
        <v>360</v>
      </c>
      <c r="AB57" s="72"/>
      <c r="AC57" s="72"/>
      <c r="AD57" s="72"/>
      <c r="AE57" s="73"/>
      <c r="AF57" s="70"/>
      <c r="AG57" s="72"/>
      <c r="AH57" s="72"/>
      <c r="AI57" s="72"/>
      <c r="AJ57" s="72"/>
      <c r="AK57" s="73"/>
      <c r="AL57" s="72"/>
      <c r="AM57" s="72"/>
      <c r="AN57" s="72"/>
      <c r="AO57" s="72"/>
      <c r="AP57" s="72"/>
      <c r="AQ57" s="72"/>
      <c r="AR57" s="72"/>
      <c r="AS57" s="72"/>
      <c r="AT57" s="72"/>
      <c r="AU57" s="72"/>
      <c r="AV57" s="72"/>
      <c r="AW57" s="72"/>
      <c r="AX57" s="72"/>
      <c r="AY57" s="72"/>
      <c r="AZ57" s="72"/>
      <c r="BA57" s="72"/>
      <c r="BB57" s="72"/>
      <c r="BC57" s="72"/>
      <c r="BD57" s="72"/>
      <c r="BE57" s="72"/>
      <c r="BF57" s="72"/>
      <c r="BG57" s="72"/>
      <c r="BH57" s="72"/>
      <c r="BI57" s="72"/>
      <c r="BJ57" s="72"/>
      <c r="BK57" s="72"/>
      <c r="BL57" s="72"/>
      <c r="BM57" s="72"/>
      <c r="BN57" s="72"/>
      <c r="BO57" s="72"/>
      <c r="BP57" s="72"/>
      <c r="BQ57" s="72"/>
      <c r="BR57" s="72"/>
      <c r="BS57" s="72"/>
      <c r="BT57" s="72"/>
      <c r="BU57" s="72"/>
      <c r="BV57" s="72"/>
      <c r="BW57" s="72"/>
      <c r="BX57" s="72"/>
      <c r="BY57" s="72"/>
      <c r="BZ57" s="72"/>
      <c r="CA57" s="72"/>
      <c r="CB57" s="72"/>
      <c r="CC57" s="72"/>
      <c r="CD57" s="72"/>
      <c r="CE57" s="72"/>
      <c r="CF57" s="72"/>
      <c r="CG57" s="72"/>
      <c r="CH57" s="72"/>
      <c r="CI57" s="72"/>
      <c r="CJ57" s="72"/>
      <c r="CK57" s="72"/>
      <c r="CL57" s="72"/>
      <c r="CM57" s="72"/>
      <c r="CN57" s="72"/>
      <c r="CO57" s="72"/>
      <c r="CP57" s="72"/>
      <c r="CQ57" s="72"/>
      <c r="CR57" s="72"/>
      <c r="CS57" s="72"/>
      <c r="CT57" s="72"/>
      <c r="CU57" s="72"/>
      <c r="CV57" s="72"/>
      <c r="CW57" s="72"/>
      <c r="CX57" s="72"/>
      <c r="CY57" s="72"/>
      <c r="CZ57" s="72"/>
      <c r="DA57" s="72"/>
      <c r="DB57" s="72"/>
      <c r="DC57" s="72"/>
      <c r="DD57" s="72"/>
      <c r="DE57" s="72"/>
      <c r="DF57" s="72"/>
      <c r="DG57" s="72"/>
      <c r="DH57" s="72"/>
      <c r="DI57" s="72"/>
      <c r="DJ57" s="72"/>
      <c r="DK57" s="72"/>
      <c r="DL57" s="72"/>
      <c r="DM57" s="72"/>
      <c r="DN57" s="72"/>
      <c r="DO57" s="72"/>
      <c r="DP57" s="72"/>
      <c r="DQ57" s="72"/>
      <c r="DR57" s="72"/>
      <c r="DS57" s="72"/>
      <c r="DT57" s="72"/>
      <c r="DU57" s="72"/>
      <c r="DV57" s="72"/>
      <c r="DW57" s="72"/>
      <c r="DX57" s="72"/>
      <c r="DY57" s="72"/>
      <c r="DZ57" s="72"/>
      <c r="EA57" s="72"/>
      <c r="EB57" s="72"/>
      <c r="EC57" s="72"/>
      <c r="ED57" s="72"/>
      <c r="EE57" s="72"/>
      <c r="EF57" s="72"/>
      <c r="EG57" s="72"/>
      <c r="EH57" s="72"/>
      <c r="EI57" s="72"/>
      <c r="EJ57" s="72"/>
      <c r="EK57" s="72"/>
      <c r="EL57" s="72"/>
      <c r="EM57" s="72"/>
      <c r="EN57" s="72"/>
      <c r="EO57" s="72"/>
      <c r="EP57" s="72"/>
      <c r="EQ57" s="72"/>
      <c r="ER57" s="72"/>
      <c r="ES57" s="72"/>
      <c r="ET57" s="72"/>
      <c r="EU57" s="72"/>
      <c r="EV57" s="72"/>
      <c r="EW57" s="72"/>
      <c r="EX57" s="72"/>
      <c r="EY57" s="72"/>
      <c r="EZ57" s="72"/>
      <c r="FA57" s="72"/>
      <c r="FB57" s="72"/>
      <c r="FC57" s="72"/>
      <c r="FD57" s="72"/>
      <c r="FE57" s="72"/>
      <c r="FF57" s="72"/>
      <c r="FG57" s="72"/>
      <c r="FH57" s="72"/>
      <c r="FI57" s="72"/>
      <c r="FJ57" s="72"/>
      <c r="FK57" s="72"/>
      <c r="FL57" s="72"/>
      <c r="FM57" s="72"/>
      <c r="FN57" s="72"/>
      <c r="FO57" s="72"/>
      <c r="FP57" s="72"/>
      <c r="FQ57" s="72"/>
      <c r="FR57" s="72"/>
      <c r="FS57" s="72"/>
      <c r="FT57" s="72"/>
      <c r="FU57" s="72"/>
      <c r="FV57" s="72"/>
      <c r="FW57" s="72"/>
      <c r="FX57" s="72"/>
      <c r="FY57" s="72"/>
      <c r="FZ57" s="72"/>
      <c r="GA57" s="72"/>
      <c r="GB57" s="72"/>
      <c r="GC57" s="72"/>
      <c r="GD57" s="72"/>
      <c r="GE57" s="72"/>
      <c r="GF57" s="72"/>
      <c r="GG57" s="72"/>
      <c r="GH57" s="72"/>
      <c r="GI57" s="72"/>
      <c r="GJ57" s="72"/>
      <c r="GK57" s="72"/>
      <c r="GL57" s="72"/>
      <c r="GM57" s="72"/>
      <c r="GN57" s="72"/>
      <c r="GO57" s="72"/>
      <c r="GP57" s="72"/>
      <c r="GQ57" s="72"/>
      <c r="GR57" s="72"/>
      <c r="GS57" s="72"/>
      <c r="GT57" s="72"/>
      <c r="GU57" s="72"/>
      <c r="GV57" s="72"/>
      <c r="GW57" s="72"/>
      <c r="GX57" s="72"/>
      <c r="GY57" s="72"/>
      <c r="GZ57" s="72"/>
      <c r="HA57" s="72"/>
      <c r="HB57" s="72"/>
      <c r="HC57" s="72"/>
      <c r="HD57" s="72"/>
      <c r="HE57" s="72"/>
      <c r="HF57" s="72"/>
      <c r="HG57" s="72"/>
      <c r="HH57" s="72"/>
      <c r="HI57" s="72"/>
      <c r="HJ57" s="72"/>
      <c r="HK57" s="72"/>
      <c r="HL57" s="72"/>
      <c r="HM57" s="72"/>
      <c r="HN57" s="72"/>
      <c r="HO57" s="72"/>
      <c r="HP57" s="72"/>
      <c r="HQ57" s="72"/>
      <c r="HR57" s="72"/>
      <c r="HS57" s="72"/>
      <c r="HT57" s="72"/>
      <c r="HU57" s="72"/>
      <c r="HV57" s="72"/>
      <c r="HW57" s="72"/>
      <c r="HX57" s="72"/>
      <c r="HY57" s="72"/>
      <c r="HZ57" s="72"/>
      <c r="IA57" s="72"/>
      <c r="IB57" s="72"/>
      <c r="IC57" s="72"/>
      <c r="ID57" s="72"/>
      <c r="IE57" s="72"/>
      <c r="IF57" s="72"/>
      <c r="IG57" s="72"/>
      <c r="IH57" s="72"/>
      <c r="II57" s="72"/>
      <c r="IJ57" s="72"/>
      <c r="IK57" s="72"/>
      <c r="IL57" s="72"/>
      <c r="IM57" s="72"/>
      <c r="IN57" s="72"/>
      <c r="IO57" s="72"/>
    </row>
    <row r="58" spans="2:249">
      <c r="B58" s="247"/>
      <c r="C58" s="86" t="s">
        <v>546</v>
      </c>
      <c r="D58" s="69"/>
      <c r="E58" s="70"/>
      <c r="F58" s="71"/>
      <c r="G58" s="72"/>
      <c r="H58" s="72"/>
      <c r="I58" s="72"/>
      <c r="J58" s="72"/>
      <c r="K58" s="72"/>
      <c r="L58" s="72"/>
      <c r="M58" s="71"/>
      <c r="N58" s="70"/>
      <c r="O58" s="72"/>
      <c r="P58" s="72"/>
      <c r="Q58" s="72"/>
      <c r="R58" s="71"/>
      <c r="S58" s="70"/>
      <c r="T58" s="72"/>
      <c r="U58" s="72"/>
      <c r="V58" s="72"/>
      <c r="W58" s="72"/>
      <c r="X58" s="72"/>
      <c r="Y58" s="72"/>
      <c r="Z58" s="72"/>
      <c r="AA58" s="72"/>
      <c r="AB58" s="99" t="s">
        <v>360</v>
      </c>
      <c r="AC58" s="72"/>
      <c r="AD58" s="72"/>
      <c r="AE58" s="73"/>
      <c r="AF58" s="70"/>
      <c r="AG58" s="72"/>
      <c r="AH58" s="72"/>
      <c r="AI58" s="72"/>
      <c r="AJ58" s="72"/>
      <c r="AK58" s="73"/>
      <c r="AL58" s="72"/>
      <c r="AM58" s="72"/>
      <c r="AN58" s="72"/>
      <c r="AO58" s="72"/>
      <c r="AP58" s="72"/>
      <c r="AQ58" s="72"/>
      <c r="AR58" s="72"/>
      <c r="AS58" s="72"/>
      <c r="AT58" s="72"/>
      <c r="AU58" s="72"/>
      <c r="AV58" s="72"/>
      <c r="AW58" s="72"/>
      <c r="AX58" s="72"/>
      <c r="AY58" s="72"/>
      <c r="AZ58" s="72"/>
      <c r="BA58" s="72"/>
      <c r="BB58" s="72"/>
      <c r="BC58" s="72"/>
      <c r="BD58" s="72"/>
      <c r="BE58" s="72"/>
      <c r="BF58" s="72"/>
      <c r="BG58" s="72"/>
      <c r="BH58" s="72"/>
      <c r="BI58" s="72"/>
      <c r="BJ58" s="72"/>
      <c r="BK58" s="72"/>
      <c r="BL58" s="72"/>
      <c r="BM58" s="72"/>
      <c r="BN58" s="72"/>
      <c r="BO58" s="72"/>
      <c r="BP58" s="72"/>
      <c r="BQ58" s="72"/>
      <c r="BR58" s="72"/>
      <c r="BS58" s="72"/>
      <c r="BT58" s="72"/>
      <c r="BU58" s="72"/>
      <c r="BV58" s="72"/>
      <c r="BW58" s="72"/>
      <c r="BX58" s="72"/>
      <c r="BY58" s="72"/>
      <c r="BZ58" s="72"/>
      <c r="CA58" s="72"/>
      <c r="CB58" s="72"/>
      <c r="CC58" s="72"/>
      <c r="CD58" s="72"/>
      <c r="CE58" s="72"/>
      <c r="CF58" s="72"/>
      <c r="CG58" s="72"/>
      <c r="CH58" s="72"/>
      <c r="CI58" s="72"/>
      <c r="CJ58" s="72"/>
      <c r="CK58" s="72"/>
      <c r="CL58" s="72"/>
      <c r="CM58" s="72"/>
      <c r="CN58" s="72"/>
      <c r="CO58" s="72"/>
      <c r="CP58" s="72"/>
      <c r="CQ58" s="72"/>
      <c r="CR58" s="72"/>
      <c r="CS58" s="72"/>
      <c r="CT58" s="72"/>
      <c r="CU58" s="72"/>
      <c r="CV58" s="72"/>
      <c r="CW58" s="72"/>
      <c r="CX58" s="72"/>
      <c r="CY58" s="72"/>
      <c r="CZ58" s="72"/>
      <c r="DA58" s="72"/>
      <c r="DB58" s="72"/>
      <c r="DC58" s="72"/>
      <c r="DD58" s="72"/>
      <c r="DE58" s="72"/>
      <c r="DF58" s="72"/>
      <c r="DG58" s="72"/>
      <c r="DH58" s="72"/>
      <c r="DI58" s="72"/>
      <c r="DJ58" s="72"/>
      <c r="DK58" s="72"/>
      <c r="DL58" s="72"/>
      <c r="DM58" s="72"/>
      <c r="DN58" s="72"/>
      <c r="DO58" s="72"/>
      <c r="DP58" s="72"/>
      <c r="DQ58" s="72"/>
      <c r="DR58" s="72"/>
      <c r="DS58" s="72"/>
      <c r="DT58" s="72"/>
      <c r="DU58" s="72"/>
      <c r="DV58" s="72"/>
      <c r="DW58" s="72"/>
      <c r="DX58" s="72"/>
      <c r="DY58" s="72"/>
      <c r="DZ58" s="72"/>
      <c r="EA58" s="72"/>
      <c r="EB58" s="72"/>
      <c r="EC58" s="72"/>
      <c r="ED58" s="72"/>
      <c r="EE58" s="72"/>
      <c r="EF58" s="72"/>
      <c r="EG58" s="72"/>
      <c r="EH58" s="72"/>
      <c r="EI58" s="72"/>
      <c r="EJ58" s="72"/>
      <c r="EK58" s="72"/>
      <c r="EL58" s="72"/>
      <c r="EM58" s="72"/>
      <c r="EN58" s="72"/>
      <c r="EO58" s="72"/>
      <c r="EP58" s="72"/>
      <c r="EQ58" s="72"/>
      <c r="ER58" s="72"/>
      <c r="ES58" s="72"/>
      <c r="ET58" s="72"/>
      <c r="EU58" s="72"/>
      <c r="EV58" s="72"/>
      <c r="EW58" s="72"/>
      <c r="EX58" s="72"/>
      <c r="EY58" s="72"/>
      <c r="EZ58" s="72"/>
      <c r="FA58" s="72"/>
      <c r="FB58" s="72"/>
      <c r="FC58" s="72"/>
      <c r="FD58" s="72"/>
      <c r="FE58" s="72"/>
      <c r="FF58" s="72"/>
      <c r="FG58" s="72"/>
      <c r="FH58" s="72"/>
      <c r="FI58" s="72"/>
      <c r="FJ58" s="72"/>
      <c r="FK58" s="72"/>
      <c r="FL58" s="72"/>
      <c r="FM58" s="72"/>
      <c r="FN58" s="72"/>
      <c r="FO58" s="72"/>
      <c r="FP58" s="72"/>
      <c r="FQ58" s="72"/>
      <c r="FR58" s="72"/>
      <c r="FS58" s="72"/>
      <c r="FT58" s="72"/>
      <c r="FU58" s="72"/>
      <c r="FV58" s="72"/>
      <c r="FW58" s="72"/>
      <c r="FX58" s="72"/>
      <c r="FY58" s="72"/>
      <c r="FZ58" s="72"/>
      <c r="GA58" s="72"/>
      <c r="GB58" s="72"/>
      <c r="GC58" s="72"/>
      <c r="GD58" s="72"/>
      <c r="GE58" s="72"/>
      <c r="GF58" s="72"/>
      <c r="GG58" s="72"/>
      <c r="GH58" s="72"/>
      <c r="GI58" s="72"/>
      <c r="GJ58" s="72"/>
      <c r="GK58" s="72"/>
      <c r="GL58" s="72"/>
      <c r="GM58" s="72"/>
      <c r="GN58" s="72"/>
      <c r="GO58" s="72"/>
      <c r="GP58" s="72"/>
      <c r="GQ58" s="72"/>
      <c r="GR58" s="72"/>
      <c r="GS58" s="72"/>
      <c r="GT58" s="72"/>
      <c r="GU58" s="72"/>
      <c r="GV58" s="72"/>
      <c r="GW58" s="72"/>
      <c r="GX58" s="72"/>
      <c r="GY58" s="72"/>
      <c r="GZ58" s="72"/>
      <c r="HA58" s="72"/>
      <c r="HB58" s="72"/>
      <c r="HC58" s="72"/>
      <c r="HD58" s="72"/>
      <c r="HE58" s="72"/>
      <c r="HF58" s="72"/>
      <c r="HG58" s="72"/>
      <c r="HH58" s="72"/>
      <c r="HI58" s="72"/>
      <c r="HJ58" s="72"/>
      <c r="HK58" s="72"/>
      <c r="HL58" s="72"/>
      <c r="HM58" s="72"/>
      <c r="HN58" s="72"/>
      <c r="HO58" s="72"/>
      <c r="HP58" s="72"/>
      <c r="HQ58" s="72"/>
      <c r="HR58" s="72"/>
      <c r="HS58" s="72"/>
      <c r="HT58" s="72"/>
      <c r="HU58" s="72"/>
      <c r="HV58" s="72"/>
      <c r="HW58" s="72"/>
      <c r="HX58" s="72"/>
      <c r="HY58" s="72"/>
      <c r="HZ58" s="72"/>
      <c r="IA58" s="72"/>
      <c r="IB58" s="72"/>
      <c r="IC58" s="72"/>
      <c r="ID58" s="72"/>
      <c r="IE58" s="72"/>
      <c r="IF58" s="72"/>
      <c r="IG58" s="72"/>
      <c r="IH58" s="72"/>
      <c r="II58" s="72"/>
      <c r="IJ58" s="72"/>
      <c r="IK58" s="72"/>
      <c r="IL58" s="72"/>
      <c r="IM58" s="72"/>
      <c r="IN58" s="72"/>
      <c r="IO58" s="72"/>
    </row>
    <row r="59" spans="2:249">
      <c r="B59" s="247"/>
      <c r="C59" s="86" t="s">
        <v>547</v>
      </c>
      <c r="D59" s="69"/>
      <c r="E59" s="70"/>
      <c r="F59" s="71"/>
      <c r="G59" s="72"/>
      <c r="H59" s="72"/>
      <c r="I59" s="72"/>
      <c r="J59" s="72"/>
      <c r="K59" s="72"/>
      <c r="L59" s="72"/>
      <c r="M59" s="71"/>
      <c r="N59" s="70"/>
      <c r="O59" s="72"/>
      <c r="P59" s="72"/>
      <c r="Q59" s="72"/>
      <c r="R59" s="71"/>
      <c r="S59" s="70"/>
      <c r="T59" s="72"/>
      <c r="U59" s="72"/>
      <c r="V59" s="72"/>
      <c r="W59" s="72"/>
      <c r="X59" s="72"/>
      <c r="Y59" s="72"/>
      <c r="Z59" s="72"/>
      <c r="AA59" s="72"/>
      <c r="AB59" s="72"/>
      <c r="AC59" s="99" t="s">
        <v>360</v>
      </c>
      <c r="AD59" s="72"/>
      <c r="AE59" s="73"/>
      <c r="AF59" s="70"/>
      <c r="AG59" s="72"/>
      <c r="AH59" s="72"/>
      <c r="AI59" s="72"/>
      <c r="AJ59" s="72"/>
      <c r="AK59" s="73"/>
      <c r="AL59" s="72"/>
      <c r="AM59" s="72"/>
      <c r="AN59" s="72"/>
      <c r="AO59" s="72"/>
      <c r="AP59" s="72"/>
      <c r="AQ59" s="72"/>
      <c r="AR59" s="72"/>
      <c r="AS59" s="72"/>
      <c r="AT59" s="72"/>
      <c r="AU59" s="72"/>
      <c r="AV59" s="72"/>
      <c r="AW59" s="72"/>
      <c r="AX59" s="72"/>
      <c r="AY59" s="72"/>
      <c r="AZ59" s="72"/>
      <c r="BA59" s="72"/>
      <c r="BB59" s="72"/>
      <c r="BC59" s="72"/>
      <c r="BD59" s="72"/>
      <c r="BE59" s="72"/>
      <c r="BF59" s="72"/>
      <c r="BG59" s="72"/>
      <c r="BH59" s="72"/>
      <c r="BI59" s="72"/>
      <c r="BJ59" s="72"/>
      <c r="BK59" s="72"/>
      <c r="BL59" s="72"/>
      <c r="BM59" s="72"/>
      <c r="BN59" s="72"/>
      <c r="BO59" s="72"/>
      <c r="BP59" s="72"/>
      <c r="BQ59" s="72"/>
      <c r="BR59" s="72"/>
      <c r="BS59" s="72"/>
      <c r="BT59" s="72"/>
      <c r="BU59" s="72"/>
      <c r="BV59" s="72"/>
      <c r="BW59" s="72"/>
      <c r="BX59" s="72"/>
      <c r="BY59" s="72"/>
      <c r="BZ59" s="72"/>
      <c r="CA59" s="72"/>
      <c r="CB59" s="72"/>
      <c r="CC59" s="72"/>
      <c r="CD59" s="72"/>
      <c r="CE59" s="72"/>
      <c r="CF59" s="72"/>
      <c r="CG59" s="72"/>
      <c r="CH59" s="72"/>
      <c r="CI59" s="72"/>
      <c r="CJ59" s="72"/>
      <c r="CK59" s="72"/>
      <c r="CL59" s="72"/>
      <c r="CM59" s="72"/>
      <c r="CN59" s="72"/>
      <c r="CO59" s="72"/>
      <c r="CP59" s="72"/>
      <c r="CQ59" s="72"/>
      <c r="CR59" s="72"/>
      <c r="CS59" s="72"/>
      <c r="CT59" s="72"/>
      <c r="CU59" s="72"/>
      <c r="CV59" s="72"/>
      <c r="CW59" s="72"/>
      <c r="CX59" s="72"/>
      <c r="CY59" s="72"/>
      <c r="CZ59" s="72"/>
      <c r="DA59" s="72"/>
      <c r="DB59" s="72"/>
      <c r="DC59" s="72"/>
      <c r="DD59" s="72"/>
      <c r="DE59" s="72"/>
      <c r="DF59" s="72"/>
      <c r="DG59" s="72"/>
      <c r="DH59" s="72"/>
      <c r="DI59" s="72"/>
      <c r="DJ59" s="72"/>
      <c r="DK59" s="72"/>
      <c r="DL59" s="72"/>
      <c r="DM59" s="72"/>
      <c r="DN59" s="72"/>
      <c r="DO59" s="72"/>
      <c r="DP59" s="72"/>
      <c r="DQ59" s="72"/>
      <c r="DR59" s="72"/>
      <c r="DS59" s="72"/>
      <c r="DT59" s="72"/>
      <c r="DU59" s="72"/>
      <c r="DV59" s="72"/>
      <c r="DW59" s="72"/>
      <c r="DX59" s="72"/>
      <c r="DY59" s="72"/>
      <c r="DZ59" s="72"/>
      <c r="EA59" s="72"/>
      <c r="EB59" s="72"/>
      <c r="EC59" s="72"/>
      <c r="ED59" s="72"/>
      <c r="EE59" s="72"/>
      <c r="EF59" s="72"/>
      <c r="EG59" s="72"/>
      <c r="EH59" s="72"/>
      <c r="EI59" s="72"/>
      <c r="EJ59" s="72"/>
      <c r="EK59" s="72"/>
      <c r="EL59" s="72"/>
      <c r="EM59" s="72"/>
      <c r="EN59" s="72"/>
      <c r="EO59" s="72"/>
      <c r="EP59" s="72"/>
      <c r="EQ59" s="72"/>
      <c r="ER59" s="72"/>
      <c r="ES59" s="72"/>
      <c r="ET59" s="72"/>
      <c r="EU59" s="72"/>
      <c r="EV59" s="72"/>
      <c r="EW59" s="72"/>
      <c r="EX59" s="72"/>
      <c r="EY59" s="72"/>
      <c r="EZ59" s="72"/>
      <c r="FA59" s="72"/>
      <c r="FB59" s="72"/>
      <c r="FC59" s="72"/>
      <c r="FD59" s="72"/>
      <c r="FE59" s="72"/>
      <c r="FF59" s="72"/>
      <c r="FG59" s="72"/>
      <c r="FH59" s="72"/>
      <c r="FI59" s="72"/>
      <c r="FJ59" s="72"/>
      <c r="FK59" s="72"/>
      <c r="FL59" s="72"/>
      <c r="FM59" s="72"/>
      <c r="FN59" s="72"/>
      <c r="FO59" s="72"/>
      <c r="FP59" s="72"/>
      <c r="FQ59" s="72"/>
      <c r="FR59" s="72"/>
      <c r="FS59" s="72"/>
      <c r="FT59" s="72"/>
      <c r="FU59" s="72"/>
      <c r="FV59" s="72"/>
      <c r="FW59" s="72"/>
      <c r="FX59" s="72"/>
      <c r="FY59" s="72"/>
      <c r="FZ59" s="72"/>
      <c r="GA59" s="72"/>
      <c r="GB59" s="72"/>
      <c r="GC59" s="72"/>
      <c r="GD59" s="72"/>
      <c r="GE59" s="72"/>
      <c r="GF59" s="72"/>
      <c r="GG59" s="72"/>
      <c r="GH59" s="72"/>
      <c r="GI59" s="72"/>
      <c r="GJ59" s="72"/>
      <c r="GK59" s="72"/>
      <c r="GL59" s="72"/>
      <c r="GM59" s="72"/>
      <c r="GN59" s="72"/>
      <c r="GO59" s="72"/>
      <c r="GP59" s="72"/>
      <c r="GQ59" s="72"/>
      <c r="GR59" s="72"/>
      <c r="GS59" s="72"/>
      <c r="GT59" s="72"/>
      <c r="GU59" s="72"/>
      <c r="GV59" s="72"/>
      <c r="GW59" s="72"/>
      <c r="GX59" s="72"/>
      <c r="GY59" s="72"/>
      <c r="GZ59" s="72"/>
      <c r="HA59" s="72"/>
      <c r="HB59" s="72"/>
      <c r="HC59" s="72"/>
      <c r="HD59" s="72"/>
      <c r="HE59" s="72"/>
      <c r="HF59" s="72"/>
      <c r="HG59" s="72"/>
      <c r="HH59" s="72"/>
      <c r="HI59" s="72"/>
      <c r="HJ59" s="72"/>
      <c r="HK59" s="72"/>
      <c r="HL59" s="72"/>
      <c r="HM59" s="72"/>
      <c r="HN59" s="72"/>
      <c r="HO59" s="72"/>
      <c r="HP59" s="72"/>
      <c r="HQ59" s="72"/>
      <c r="HR59" s="72"/>
      <c r="HS59" s="72"/>
      <c r="HT59" s="72"/>
      <c r="HU59" s="72"/>
      <c r="HV59" s="72"/>
      <c r="HW59" s="72"/>
      <c r="HX59" s="72"/>
      <c r="HY59" s="72"/>
      <c r="HZ59" s="72"/>
      <c r="IA59" s="72"/>
      <c r="IB59" s="72"/>
      <c r="IC59" s="72"/>
      <c r="ID59" s="72"/>
      <c r="IE59" s="72"/>
      <c r="IF59" s="72"/>
      <c r="IG59" s="72"/>
      <c r="IH59" s="72"/>
      <c r="II59" s="72"/>
      <c r="IJ59" s="72"/>
      <c r="IK59" s="72"/>
      <c r="IL59" s="72"/>
      <c r="IM59" s="72"/>
      <c r="IN59" s="72"/>
      <c r="IO59" s="72"/>
    </row>
    <row r="60" spans="2:249">
      <c r="B60" s="247"/>
      <c r="C60" s="86" t="s">
        <v>548</v>
      </c>
      <c r="D60" s="69"/>
      <c r="E60" s="70"/>
      <c r="F60" s="71"/>
      <c r="G60" s="72"/>
      <c r="H60" s="72"/>
      <c r="I60" s="72"/>
      <c r="J60" s="72"/>
      <c r="K60" s="72"/>
      <c r="L60" s="72"/>
      <c r="M60" s="71"/>
      <c r="N60" s="70"/>
      <c r="O60" s="72"/>
      <c r="P60" s="72"/>
      <c r="Q60" s="72"/>
      <c r="R60" s="71"/>
      <c r="S60" s="70"/>
      <c r="T60" s="72"/>
      <c r="U60" s="72"/>
      <c r="V60" s="72"/>
      <c r="W60" s="72"/>
      <c r="X60" s="72"/>
      <c r="Y60" s="72"/>
      <c r="Z60" s="72"/>
      <c r="AA60" s="72"/>
      <c r="AB60" s="72"/>
      <c r="AC60" s="72"/>
      <c r="AD60" s="99" t="s">
        <v>360</v>
      </c>
      <c r="AE60" s="73"/>
      <c r="AF60" s="70"/>
      <c r="AG60" s="72"/>
      <c r="AH60" s="72"/>
      <c r="AI60" s="72"/>
      <c r="AJ60" s="72"/>
      <c r="AK60" s="73"/>
      <c r="AL60" s="72"/>
      <c r="AM60" s="72"/>
      <c r="AN60" s="72"/>
      <c r="AO60" s="72"/>
      <c r="AP60" s="72"/>
      <c r="AQ60" s="72"/>
      <c r="AR60" s="72"/>
      <c r="AS60" s="72"/>
      <c r="AT60" s="72"/>
      <c r="AU60" s="72"/>
      <c r="AV60" s="72"/>
      <c r="AW60" s="72"/>
      <c r="AX60" s="72"/>
      <c r="AY60" s="72"/>
      <c r="AZ60" s="72"/>
      <c r="BA60" s="72"/>
      <c r="BB60" s="72"/>
      <c r="BC60" s="72"/>
      <c r="BD60" s="72"/>
      <c r="BE60" s="72"/>
      <c r="BF60" s="72"/>
      <c r="BG60" s="72"/>
      <c r="BH60" s="72"/>
      <c r="BI60" s="72"/>
      <c r="BJ60" s="72"/>
      <c r="BK60" s="72"/>
      <c r="BL60" s="72"/>
      <c r="BM60" s="72"/>
      <c r="BN60" s="72"/>
      <c r="BO60" s="72"/>
      <c r="BP60" s="72"/>
      <c r="BQ60" s="72"/>
      <c r="BR60" s="72"/>
      <c r="BS60" s="72"/>
      <c r="BT60" s="72"/>
      <c r="BU60" s="72"/>
      <c r="BV60" s="72"/>
      <c r="BW60" s="72"/>
      <c r="BX60" s="72"/>
      <c r="BY60" s="72"/>
      <c r="BZ60" s="72"/>
      <c r="CA60" s="72"/>
      <c r="CB60" s="72"/>
      <c r="CC60" s="72"/>
      <c r="CD60" s="72"/>
      <c r="CE60" s="72"/>
      <c r="CF60" s="72"/>
      <c r="CG60" s="72"/>
      <c r="CH60" s="72"/>
      <c r="CI60" s="72"/>
      <c r="CJ60" s="72"/>
      <c r="CK60" s="72"/>
      <c r="CL60" s="72"/>
      <c r="CM60" s="72"/>
      <c r="CN60" s="72"/>
      <c r="CO60" s="72"/>
      <c r="CP60" s="72"/>
      <c r="CQ60" s="72"/>
      <c r="CR60" s="72"/>
      <c r="CS60" s="72"/>
      <c r="CT60" s="72"/>
      <c r="CU60" s="72"/>
      <c r="CV60" s="72"/>
      <c r="CW60" s="72"/>
      <c r="CX60" s="72"/>
      <c r="CY60" s="72"/>
      <c r="CZ60" s="72"/>
      <c r="DA60" s="72"/>
      <c r="DB60" s="72"/>
      <c r="DC60" s="72"/>
      <c r="DD60" s="72"/>
      <c r="DE60" s="72"/>
      <c r="DF60" s="72"/>
      <c r="DG60" s="72"/>
      <c r="DH60" s="72"/>
      <c r="DI60" s="72"/>
      <c r="DJ60" s="72"/>
      <c r="DK60" s="72"/>
      <c r="DL60" s="72"/>
      <c r="DM60" s="72"/>
      <c r="DN60" s="72"/>
      <c r="DO60" s="72"/>
      <c r="DP60" s="72"/>
      <c r="DQ60" s="72"/>
      <c r="DR60" s="72"/>
      <c r="DS60" s="72"/>
      <c r="DT60" s="72"/>
      <c r="DU60" s="72"/>
      <c r="DV60" s="72"/>
      <c r="DW60" s="72"/>
      <c r="DX60" s="72"/>
      <c r="DY60" s="72"/>
      <c r="DZ60" s="72"/>
      <c r="EA60" s="72"/>
      <c r="EB60" s="72"/>
      <c r="EC60" s="72"/>
      <c r="ED60" s="72"/>
      <c r="EE60" s="72"/>
      <c r="EF60" s="72"/>
      <c r="EG60" s="72"/>
      <c r="EH60" s="72"/>
      <c r="EI60" s="72"/>
      <c r="EJ60" s="72"/>
      <c r="EK60" s="72"/>
      <c r="EL60" s="72"/>
      <c r="EM60" s="72"/>
      <c r="EN60" s="72"/>
      <c r="EO60" s="72"/>
      <c r="EP60" s="72"/>
      <c r="EQ60" s="72"/>
      <c r="ER60" s="72"/>
      <c r="ES60" s="72"/>
      <c r="ET60" s="72"/>
      <c r="EU60" s="72"/>
      <c r="EV60" s="72"/>
      <c r="EW60" s="72"/>
      <c r="EX60" s="72"/>
      <c r="EY60" s="72"/>
      <c r="EZ60" s="72"/>
      <c r="FA60" s="72"/>
      <c r="FB60" s="72"/>
      <c r="FC60" s="72"/>
      <c r="FD60" s="72"/>
      <c r="FE60" s="72"/>
      <c r="FF60" s="72"/>
      <c r="FG60" s="72"/>
      <c r="FH60" s="72"/>
      <c r="FI60" s="72"/>
      <c r="FJ60" s="72"/>
      <c r="FK60" s="72"/>
      <c r="FL60" s="72"/>
      <c r="FM60" s="72"/>
      <c r="FN60" s="72"/>
      <c r="FO60" s="72"/>
      <c r="FP60" s="72"/>
      <c r="FQ60" s="72"/>
      <c r="FR60" s="72"/>
      <c r="FS60" s="72"/>
      <c r="FT60" s="72"/>
      <c r="FU60" s="72"/>
      <c r="FV60" s="72"/>
      <c r="FW60" s="72"/>
      <c r="FX60" s="72"/>
      <c r="FY60" s="72"/>
      <c r="FZ60" s="72"/>
      <c r="GA60" s="72"/>
      <c r="GB60" s="72"/>
      <c r="GC60" s="72"/>
      <c r="GD60" s="72"/>
      <c r="GE60" s="72"/>
      <c r="GF60" s="72"/>
      <c r="GG60" s="72"/>
      <c r="GH60" s="72"/>
      <c r="GI60" s="72"/>
      <c r="GJ60" s="72"/>
      <c r="GK60" s="72"/>
      <c r="GL60" s="72"/>
      <c r="GM60" s="72"/>
      <c r="GN60" s="72"/>
      <c r="GO60" s="72"/>
      <c r="GP60" s="72"/>
      <c r="GQ60" s="72"/>
      <c r="GR60" s="72"/>
      <c r="GS60" s="72"/>
      <c r="GT60" s="72"/>
      <c r="GU60" s="72"/>
      <c r="GV60" s="72"/>
      <c r="GW60" s="72"/>
      <c r="GX60" s="72"/>
      <c r="GY60" s="72"/>
      <c r="GZ60" s="72"/>
      <c r="HA60" s="72"/>
      <c r="HB60" s="72"/>
      <c r="HC60" s="72"/>
      <c r="HD60" s="72"/>
      <c r="HE60" s="72"/>
      <c r="HF60" s="72"/>
      <c r="HG60" s="72"/>
      <c r="HH60" s="72"/>
      <c r="HI60" s="72"/>
      <c r="HJ60" s="72"/>
      <c r="HK60" s="72"/>
      <c r="HL60" s="72"/>
      <c r="HM60" s="72"/>
      <c r="HN60" s="72"/>
      <c r="HO60" s="72"/>
      <c r="HP60" s="72"/>
      <c r="HQ60" s="72"/>
      <c r="HR60" s="72"/>
      <c r="HS60" s="72"/>
      <c r="HT60" s="72"/>
      <c r="HU60" s="72"/>
      <c r="HV60" s="72"/>
      <c r="HW60" s="72"/>
      <c r="HX60" s="72"/>
      <c r="HY60" s="72"/>
      <c r="HZ60" s="72"/>
      <c r="IA60" s="72"/>
      <c r="IB60" s="72"/>
      <c r="IC60" s="72"/>
      <c r="ID60" s="72"/>
      <c r="IE60" s="72"/>
      <c r="IF60" s="72"/>
      <c r="IG60" s="72"/>
      <c r="IH60" s="72"/>
      <c r="II60" s="72"/>
      <c r="IJ60" s="72"/>
      <c r="IK60" s="72"/>
      <c r="IL60" s="72"/>
      <c r="IM60" s="72"/>
      <c r="IN60" s="72"/>
      <c r="IO60" s="72"/>
    </row>
    <row r="61" spans="2:249">
      <c r="B61" s="247"/>
      <c r="C61" s="86" t="s">
        <v>549</v>
      </c>
      <c r="D61" s="69"/>
      <c r="E61" s="70"/>
      <c r="F61" s="71"/>
      <c r="G61" s="72"/>
      <c r="H61" s="72"/>
      <c r="I61" s="72"/>
      <c r="J61" s="72"/>
      <c r="K61" s="72"/>
      <c r="L61" s="72"/>
      <c r="M61" s="71"/>
      <c r="N61" s="70"/>
      <c r="O61" s="72"/>
      <c r="P61" s="72"/>
      <c r="Q61" s="72"/>
      <c r="R61" s="71"/>
      <c r="S61" s="70"/>
      <c r="T61" s="72"/>
      <c r="U61" s="72"/>
      <c r="V61" s="72"/>
      <c r="W61" s="72"/>
      <c r="X61" s="72"/>
      <c r="Y61" s="72"/>
      <c r="Z61" s="72"/>
      <c r="AA61" s="72"/>
      <c r="AB61" s="72"/>
      <c r="AC61" s="72"/>
      <c r="AD61" s="72"/>
      <c r="AE61" s="100" t="s">
        <v>360</v>
      </c>
      <c r="AF61" s="70"/>
      <c r="AG61" s="72"/>
      <c r="AH61" s="72"/>
      <c r="AI61" s="72"/>
      <c r="AJ61" s="72"/>
      <c r="AK61" s="73"/>
      <c r="AL61" s="72"/>
      <c r="AM61" s="72"/>
      <c r="AN61" s="72"/>
      <c r="AO61" s="72"/>
      <c r="AP61" s="72"/>
      <c r="AQ61" s="72"/>
      <c r="AR61" s="72"/>
      <c r="AS61" s="72"/>
      <c r="AT61" s="72"/>
      <c r="AU61" s="72"/>
      <c r="AV61" s="72"/>
      <c r="AW61" s="72"/>
      <c r="AX61" s="72"/>
      <c r="AY61" s="72"/>
      <c r="AZ61" s="72"/>
      <c r="BA61" s="72"/>
      <c r="BB61" s="72"/>
      <c r="BC61" s="72"/>
      <c r="BD61" s="72"/>
      <c r="BE61" s="72"/>
      <c r="BF61" s="72"/>
      <c r="BG61" s="72"/>
      <c r="BH61" s="72"/>
      <c r="BI61" s="72"/>
      <c r="BJ61" s="72"/>
      <c r="BK61" s="72"/>
      <c r="BL61" s="72"/>
      <c r="BM61" s="72"/>
      <c r="BN61" s="72"/>
      <c r="BO61" s="72"/>
      <c r="BP61" s="72"/>
      <c r="BQ61" s="72"/>
      <c r="BR61" s="72"/>
      <c r="BS61" s="72"/>
      <c r="BT61" s="72"/>
      <c r="BU61" s="72"/>
      <c r="BV61" s="72"/>
      <c r="BW61" s="72"/>
      <c r="BX61" s="72"/>
      <c r="BY61" s="72"/>
      <c r="BZ61" s="72"/>
      <c r="CA61" s="72"/>
      <c r="CB61" s="72"/>
      <c r="CC61" s="72"/>
      <c r="CD61" s="72"/>
      <c r="CE61" s="72"/>
      <c r="CF61" s="72"/>
      <c r="CG61" s="72"/>
      <c r="CH61" s="72"/>
      <c r="CI61" s="72"/>
      <c r="CJ61" s="72"/>
      <c r="CK61" s="72"/>
      <c r="CL61" s="72"/>
      <c r="CM61" s="72"/>
      <c r="CN61" s="72"/>
      <c r="CO61" s="72"/>
      <c r="CP61" s="72"/>
      <c r="CQ61" s="72"/>
      <c r="CR61" s="72"/>
      <c r="CS61" s="72"/>
      <c r="CT61" s="72"/>
      <c r="CU61" s="72"/>
      <c r="CV61" s="72"/>
      <c r="CW61" s="72"/>
      <c r="CX61" s="72"/>
      <c r="CY61" s="72"/>
      <c r="CZ61" s="72"/>
      <c r="DA61" s="72"/>
      <c r="DB61" s="72"/>
      <c r="DC61" s="72"/>
      <c r="DD61" s="72"/>
      <c r="DE61" s="72"/>
      <c r="DF61" s="72"/>
      <c r="DG61" s="72"/>
      <c r="DH61" s="72"/>
      <c r="DI61" s="72"/>
      <c r="DJ61" s="72"/>
      <c r="DK61" s="72"/>
      <c r="DL61" s="72"/>
      <c r="DM61" s="72"/>
      <c r="DN61" s="72"/>
      <c r="DO61" s="72"/>
      <c r="DP61" s="72"/>
      <c r="DQ61" s="72"/>
      <c r="DR61" s="72"/>
      <c r="DS61" s="72"/>
      <c r="DT61" s="72"/>
      <c r="DU61" s="72"/>
      <c r="DV61" s="72"/>
      <c r="DW61" s="72"/>
      <c r="DX61" s="72"/>
      <c r="DY61" s="72"/>
      <c r="DZ61" s="72"/>
      <c r="EA61" s="72"/>
      <c r="EB61" s="72"/>
      <c r="EC61" s="72"/>
      <c r="ED61" s="72"/>
      <c r="EE61" s="72"/>
      <c r="EF61" s="72"/>
      <c r="EG61" s="72"/>
      <c r="EH61" s="72"/>
      <c r="EI61" s="72"/>
      <c r="EJ61" s="72"/>
      <c r="EK61" s="72"/>
      <c r="EL61" s="72"/>
      <c r="EM61" s="72"/>
      <c r="EN61" s="72"/>
      <c r="EO61" s="72"/>
      <c r="EP61" s="72"/>
      <c r="EQ61" s="72"/>
      <c r="ER61" s="72"/>
      <c r="ES61" s="72"/>
      <c r="ET61" s="72"/>
      <c r="EU61" s="72"/>
      <c r="EV61" s="72"/>
      <c r="EW61" s="72"/>
      <c r="EX61" s="72"/>
      <c r="EY61" s="72"/>
      <c r="EZ61" s="72"/>
      <c r="FA61" s="72"/>
      <c r="FB61" s="72"/>
      <c r="FC61" s="72"/>
      <c r="FD61" s="72"/>
      <c r="FE61" s="72"/>
      <c r="FF61" s="72"/>
      <c r="FG61" s="72"/>
      <c r="FH61" s="72"/>
      <c r="FI61" s="72"/>
      <c r="FJ61" s="72"/>
      <c r="FK61" s="72"/>
      <c r="FL61" s="72"/>
      <c r="FM61" s="72"/>
      <c r="FN61" s="72"/>
      <c r="FO61" s="72"/>
      <c r="FP61" s="72"/>
      <c r="FQ61" s="72"/>
      <c r="FR61" s="72"/>
      <c r="FS61" s="72"/>
      <c r="FT61" s="72"/>
      <c r="FU61" s="72"/>
      <c r="FV61" s="72"/>
      <c r="FW61" s="72"/>
      <c r="FX61" s="72"/>
      <c r="FY61" s="72"/>
      <c r="FZ61" s="72"/>
      <c r="GA61" s="72"/>
      <c r="GB61" s="72"/>
      <c r="GC61" s="72"/>
      <c r="GD61" s="72"/>
      <c r="GE61" s="72"/>
      <c r="GF61" s="72"/>
      <c r="GG61" s="72"/>
      <c r="GH61" s="72"/>
      <c r="GI61" s="72"/>
      <c r="GJ61" s="72"/>
      <c r="GK61" s="72"/>
      <c r="GL61" s="72"/>
      <c r="GM61" s="72"/>
      <c r="GN61" s="72"/>
      <c r="GO61" s="72"/>
      <c r="GP61" s="72"/>
      <c r="GQ61" s="72"/>
      <c r="GR61" s="72"/>
      <c r="GS61" s="72"/>
      <c r="GT61" s="72"/>
      <c r="GU61" s="72"/>
      <c r="GV61" s="72"/>
      <c r="GW61" s="72"/>
      <c r="GX61" s="72"/>
      <c r="GY61" s="72"/>
      <c r="GZ61" s="72"/>
      <c r="HA61" s="72"/>
      <c r="HB61" s="72"/>
      <c r="HC61" s="72"/>
      <c r="HD61" s="72"/>
      <c r="HE61" s="72"/>
      <c r="HF61" s="72"/>
      <c r="HG61" s="72"/>
      <c r="HH61" s="72"/>
      <c r="HI61" s="72"/>
      <c r="HJ61" s="72"/>
      <c r="HK61" s="72"/>
      <c r="HL61" s="72"/>
      <c r="HM61" s="72"/>
      <c r="HN61" s="72"/>
      <c r="HO61" s="72"/>
      <c r="HP61" s="72"/>
      <c r="HQ61" s="72"/>
      <c r="HR61" s="72"/>
      <c r="HS61" s="72"/>
      <c r="HT61" s="72"/>
      <c r="HU61" s="72"/>
      <c r="HV61" s="72"/>
      <c r="HW61" s="72"/>
      <c r="HX61" s="72"/>
      <c r="HY61" s="72"/>
      <c r="HZ61" s="72"/>
      <c r="IA61" s="72"/>
      <c r="IB61" s="72"/>
      <c r="IC61" s="72"/>
      <c r="ID61" s="72"/>
      <c r="IE61" s="72"/>
      <c r="IF61" s="72"/>
      <c r="IG61" s="72"/>
      <c r="IH61" s="72"/>
      <c r="II61" s="72"/>
      <c r="IJ61" s="72"/>
      <c r="IK61" s="72"/>
      <c r="IL61" s="72"/>
      <c r="IM61" s="72"/>
      <c r="IN61" s="72"/>
      <c r="IO61" s="72"/>
    </row>
    <row r="62" spans="2:249">
      <c r="B62" s="162"/>
      <c r="C62" s="86" t="s">
        <v>596</v>
      </c>
      <c r="D62" s="69" t="s">
        <v>360</v>
      </c>
      <c r="E62" s="70" t="s">
        <v>360</v>
      </c>
      <c r="F62" s="71" t="s">
        <v>360</v>
      </c>
      <c r="G62" s="72" t="s">
        <v>360</v>
      </c>
      <c r="H62" s="72" t="s">
        <v>360</v>
      </c>
      <c r="I62" s="72" t="s">
        <v>360</v>
      </c>
      <c r="J62" s="72" t="s">
        <v>360</v>
      </c>
      <c r="K62" s="72" t="s">
        <v>360</v>
      </c>
      <c r="L62" s="72" t="s">
        <v>360</v>
      </c>
      <c r="M62" s="71" t="s">
        <v>360</v>
      </c>
      <c r="N62" s="88" t="s">
        <v>360</v>
      </c>
      <c r="O62" s="87" t="s">
        <v>360</v>
      </c>
      <c r="P62" s="87" t="s">
        <v>360</v>
      </c>
      <c r="Q62" s="87" t="s">
        <v>360</v>
      </c>
      <c r="R62" s="166" t="s">
        <v>360</v>
      </c>
      <c r="S62" s="70"/>
      <c r="T62" s="72"/>
      <c r="U62" s="72"/>
      <c r="V62" s="72"/>
      <c r="W62" s="72"/>
      <c r="X62" s="72"/>
      <c r="Y62" s="72"/>
      <c r="Z62" s="72"/>
      <c r="AA62" s="72"/>
      <c r="AB62" s="72"/>
      <c r="AC62" s="72"/>
      <c r="AD62" s="72"/>
      <c r="AE62" s="73"/>
      <c r="AF62" s="70" t="s">
        <v>360</v>
      </c>
      <c r="AG62" s="72" t="s">
        <v>360</v>
      </c>
      <c r="AH62" s="72" t="s">
        <v>360</v>
      </c>
      <c r="AI62" s="72" t="s">
        <v>360</v>
      </c>
      <c r="AJ62" s="72" t="s">
        <v>360</v>
      </c>
      <c r="AK62" s="73" t="s">
        <v>360</v>
      </c>
      <c r="AL62" s="72"/>
      <c r="AM62" s="72"/>
      <c r="AN62" s="72"/>
      <c r="AO62" s="72"/>
      <c r="AP62" s="72"/>
      <c r="AQ62" s="72"/>
      <c r="AR62" s="72"/>
      <c r="AS62" s="72"/>
      <c r="AT62" s="72"/>
      <c r="AU62" s="72"/>
      <c r="AV62" s="72"/>
      <c r="AW62" s="72"/>
      <c r="AX62" s="72"/>
      <c r="AY62" s="72"/>
      <c r="AZ62" s="72"/>
      <c r="BA62" s="72"/>
      <c r="BB62" s="72"/>
      <c r="BC62" s="72"/>
      <c r="BD62" s="72"/>
      <c r="BE62" s="72"/>
      <c r="BF62" s="72"/>
      <c r="BG62" s="72"/>
      <c r="BH62" s="72"/>
      <c r="BI62" s="72"/>
      <c r="BJ62" s="72"/>
      <c r="BK62" s="72"/>
      <c r="BL62" s="72"/>
      <c r="BM62" s="72"/>
      <c r="BN62" s="72"/>
      <c r="BO62" s="72"/>
      <c r="BP62" s="72"/>
      <c r="BQ62" s="72"/>
      <c r="BR62" s="72"/>
      <c r="BS62" s="72"/>
      <c r="BT62" s="72"/>
      <c r="BU62" s="72"/>
      <c r="BV62" s="72"/>
      <c r="BW62" s="72"/>
      <c r="BX62" s="72"/>
      <c r="BY62" s="72"/>
      <c r="BZ62" s="72"/>
      <c r="CA62" s="72"/>
      <c r="CB62" s="72"/>
      <c r="CC62" s="72"/>
      <c r="CD62" s="72"/>
      <c r="CE62" s="72"/>
      <c r="CF62" s="72"/>
      <c r="CG62" s="72"/>
      <c r="CH62" s="72"/>
      <c r="CI62" s="72"/>
      <c r="CJ62" s="72"/>
      <c r="CK62" s="72"/>
      <c r="CL62" s="72"/>
      <c r="CM62" s="72"/>
      <c r="CN62" s="72"/>
      <c r="CO62" s="72"/>
      <c r="CP62" s="72"/>
      <c r="CQ62" s="72"/>
      <c r="CR62" s="72"/>
      <c r="CS62" s="72"/>
      <c r="CT62" s="72"/>
      <c r="CU62" s="72"/>
      <c r="CV62" s="72"/>
      <c r="CW62" s="72"/>
      <c r="CX62" s="72"/>
      <c r="CY62" s="72"/>
      <c r="CZ62" s="72"/>
      <c r="DA62" s="72"/>
      <c r="DB62" s="72"/>
      <c r="DC62" s="72"/>
      <c r="DD62" s="72"/>
      <c r="DE62" s="72"/>
      <c r="DF62" s="72"/>
      <c r="DG62" s="72"/>
      <c r="DH62" s="72"/>
      <c r="DI62" s="72"/>
      <c r="DJ62" s="72"/>
      <c r="DK62" s="72"/>
      <c r="DL62" s="72"/>
      <c r="DM62" s="72"/>
      <c r="DN62" s="72"/>
      <c r="DO62" s="72"/>
      <c r="DP62" s="72"/>
      <c r="DQ62" s="72"/>
      <c r="DR62" s="72"/>
      <c r="DS62" s="72"/>
      <c r="DT62" s="72"/>
      <c r="DU62" s="72"/>
      <c r="DV62" s="72"/>
      <c r="DW62" s="72"/>
      <c r="DX62" s="72"/>
      <c r="DY62" s="72"/>
      <c r="DZ62" s="72"/>
      <c r="EA62" s="72"/>
      <c r="EB62" s="72"/>
      <c r="EC62" s="72"/>
      <c r="ED62" s="72"/>
      <c r="EE62" s="72"/>
      <c r="EF62" s="72"/>
      <c r="EG62" s="72"/>
      <c r="EH62" s="72"/>
      <c r="EI62" s="72"/>
      <c r="EJ62" s="72"/>
      <c r="EK62" s="72"/>
      <c r="EL62" s="72"/>
      <c r="EM62" s="72"/>
      <c r="EN62" s="72"/>
      <c r="EO62" s="72"/>
      <c r="EP62" s="72"/>
      <c r="EQ62" s="72"/>
      <c r="ER62" s="72"/>
      <c r="ES62" s="72"/>
      <c r="ET62" s="72"/>
      <c r="EU62" s="72"/>
      <c r="EV62" s="72"/>
      <c r="EW62" s="72"/>
      <c r="EX62" s="72"/>
      <c r="EY62" s="72"/>
      <c r="EZ62" s="72"/>
      <c r="FA62" s="72"/>
      <c r="FB62" s="72"/>
      <c r="FC62" s="72"/>
      <c r="FD62" s="72"/>
      <c r="FE62" s="72"/>
      <c r="FF62" s="72"/>
      <c r="FG62" s="72"/>
      <c r="FH62" s="72"/>
      <c r="FI62" s="72"/>
      <c r="FJ62" s="72"/>
      <c r="FK62" s="72"/>
      <c r="FL62" s="72"/>
      <c r="FM62" s="72"/>
      <c r="FN62" s="72"/>
      <c r="FO62" s="72"/>
      <c r="FP62" s="72"/>
      <c r="FQ62" s="72"/>
      <c r="FR62" s="72"/>
      <c r="FS62" s="72"/>
      <c r="FT62" s="72"/>
      <c r="FU62" s="72"/>
      <c r="FV62" s="72"/>
      <c r="FW62" s="72"/>
      <c r="FX62" s="72"/>
      <c r="FY62" s="72"/>
      <c r="FZ62" s="72"/>
      <c r="GA62" s="72"/>
      <c r="GB62" s="72"/>
      <c r="GC62" s="72"/>
      <c r="GD62" s="72"/>
      <c r="GE62" s="72"/>
      <c r="GF62" s="72"/>
      <c r="GG62" s="72"/>
      <c r="GH62" s="72"/>
      <c r="GI62" s="72"/>
      <c r="GJ62" s="72"/>
      <c r="GK62" s="72"/>
      <c r="GL62" s="72"/>
      <c r="GM62" s="72"/>
      <c r="GN62" s="72"/>
      <c r="GO62" s="72"/>
      <c r="GP62" s="72"/>
      <c r="GQ62" s="72"/>
      <c r="GR62" s="72"/>
      <c r="GS62" s="72"/>
      <c r="GT62" s="72"/>
      <c r="GU62" s="72"/>
      <c r="GV62" s="72"/>
      <c r="GW62" s="72"/>
      <c r="GX62" s="72"/>
      <c r="GY62" s="72"/>
      <c r="GZ62" s="72"/>
      <c r="HA62" s="72"/>
      <c r="HB62" s="72"/>
      <c r="HC62" s="72"/>
      <c r="HD62" s="72"/>
      <c r="HE62" s="72"/>
      <c r="HF62" s="72"/>
      <c r="HG62" s="72"/>
      <c r="HH62" s="72"/>
      <c r="HI62" s="72"/>
      <c r="HJ62" s="72"/>
      <c r="HK62" s="72"/>
      <c r="HL62" s="72"/>
      <c r="HM62" s="72"/>
      <c r="HN62" s="72"/>
      <c r="HO62" s="72"/>
      <c r="HP62" s="72"/>
      <c r="HQ62" s="72"/>
      <c r="HR62" s="72"/>
      <c r="HS62" s="72"/>
      <c r="HT62" s="72"/>
      <c r="HU62" s="72"/>
      <c r="HV62" s="72"/>
      <c r="HW62" s="72"/>
      <c r="HX62" s="72"/>
      <c r="HY62" s="72"/>
      <c r="HZ62" s="72"/>
      <c r="IA62" s="72"/>
      <c r="IB62" s="72"/>
      <c r="IC62" s="72"/>
      <c r="ID62" s="72"/>
      <c r="IE62" s="72"/>
      <c r="IF62" s="72"/>
      <c r="IG62" s="72"/>
      <c r="IH62" s="72"/>
      <c r="II62" s="72"/>
      <c r="IJ62" s="72"/>
      <c r="IK62" s="72"/>
      <c r="IL62" s="72"/>
      <c r="IM62" s="72"/>
      <c r="IN62" s="72"/>
      <c r="IO62" s="72"/>
    </row>
    <row r="63" spans="2:249">
      <c r="B63" s="79" t="s">
        <v>453</v>
      </c>
      <c r="C63" s="59" t="s">
        <v>516</v>
      </c>
      <c r="D63" s="81"/>
      <c r="E63" s="82"/>
      <c r="F63" s="83"/>
      <c r="G63" s="84"/>
      <c r="H63" s="84"/>
      <c r="I63" s="84"/>
      <c r="J63" s="84"/>
      <c r="K63" s="84"/>
      <c r="L63" s="84"/>
      <c r="M63" s="83"/>
      <c r="N63" s="82"/>
      <c r="O63" s="84"/>
      <c r="P63" s="84"/>
      <c r="Q63" s="84"/>
      <c r="R63" s="83"/>
      <c r="S63" s="82"/>
      <c r="T63" s="84"/>
      <c r="U63" s="84"/>
      <c r="V63" s="84"/>
      <c r="W63" s="84"/>
      <c r="X63" s="84"/>
      <c r="Y63" s="84"/>
      <c r="Z63" s="84"/>
      <c r="AA63" s="84"/>
      <c r="AB63" s="84"/>
      <c r="AC63" s="84"/>
      <c r="AD63" s="84"/>
      <c r="AE63" s="85"/>
      <c r="AF63" s="82"/>
      <c r="AG63" s="84"/>
      <c r="AH63" s="84"/>
      <c r="AI63" s="84"/>
      <c r="AJ63" s="84"/>
      <c r="AK63" s="85"/>
      <c r="AL63" s="84"/>
      <c r="AM63" s="84"/>
      <c r="AN63" s="84"/>
      <c r="AO63" s="84"/>
      <c r="AP63" s="84"/>
      <c r="AQ63" s="84"/>
      <c r="AR63" s="84"/>
      <c r="AS63" s="84"/>
      <c r="AT63" s="84"/>
      <c r="AU63" s="84"/>
      <c r="AV63" s="84"/>
      <c r="AW63" s="84"/>
      <c r="AX63" s="84"/>
      <c r="AY63" s="84"/>
      <c r="AZ63" s="84"/>
      <c r="BA63" s="84"/>
      <c r="BB63" s="84"/>
      <c r="BC63" s="84"/>
      <c r="BD63" s="84"/>
      <c r="BE63" s="84"/>
      <c r="BF63" s="84"/>
      <c r="BG63" s="84"/>
      <c r="BH63" s="84"/>
      <c r="BI63" s="84"/>
      <c r="BJ63" s="84"/>
      <c r="BK63" s="84"/>
      <c r="BL63" s="84"/>
      <c r="BM63" s="84"/>
      <c r="BN63" s="84"/>
      <c r="BO63" s="84"/>
      <c r="BP63" s="84"/>
      <c r="BQ63" s="84"/>
      <c r="BR63" s="84"/>
      <c r="BS63" s="84"/>
      <c r="BT63" s="84"/>
      <c r="BU63" s="84"/>
      <c r="BV63" s="84"/>
      <c r="BW63" s="84"/>
      <c r="BX63" s="84"/>
      <c r="BY63" s="84"/>
      <c r="BZ63" s="84"/>
      <c r="CA63" s="84"/>
      <c r="CB63" s="84"/>
      <c r="CC63" s="84"/>
      <c r="CD63" s="84"/>
      <c r="CE63" s="84"/>
      <c r="CF63" s="84"/>
      <c r="CG63" s="84"/>
      <c r="CH63" s="84"/>
      <c r="CI63" s="84"/>
      <c r="CJ63" s="84"/>
      <c r="CK63" s="84"/>
      <c r="CL63" s="84"/>
      <c r="CM63" s="84"/>
      <c r="CN63" s="84"/>
      <c r="CO63" s="84"/>
      <c r="CP63" s="84"/>
      <c r="CQ63" s="84"/>
      <c r="CR63" s="84"/>
      <c r="CS63" s="84"/>
      <c r="CT63" s="84"/>
      <c r="CU63" s="84"/>
      <c r="CV63" s="84"/>
      <c r="CW63" s="84"/>
      <c r="CX63" s="84"/>
      <c r="CY63" s="84"/>
      <c r="CZ63" s="84"/>
      <c r="DA63" s="84"/>
      <c r="DB63" s="84"/>
      <c r="DC63" s="84"/>
      <c r="DD63" s="84"/>
      <c r="DE63" s="84"/>
      <c r="DF63" s="84"/>
      <c r="DG63" s="84"/>
      <c r="DH63" s="84"/>
      <c r="DI63" s="84"/>
      <c r="DJ63" s="84"/>
      <c r="DK63" s="84"/>
      <c r="DL63" s="84"/>
      <c r="DM63" s="84"/>
      <c r="DN63" s="84"/>
      <c r="DO63" s="84"/>
      <c r="DP63" s="84"/>
      <c r="DQ63" s="84"/>
      <c r="DR63" s="84"/>
      <c r="DS63" s="84"/>
      <c r="DT63" s="84"/>
      <c r="DU63" s="84"/>
      <c r="DV63" s="84"/>
      <c r="DW63" s="84"/>
      <c r="DX63" s="84"/>
      <c r="DY63" s="84"/>
      <c r="DZ63" s="84"/>
      <c r="EA63" s="84"/>
      <c r="EB63" s="84"/>
      <c r="EC63" s="84"/>
      <c r="ED63" s="84"/>
      <c r="EE63" s="84"/>
      <c r="EF63" s="84"/>
      <c r="EG63" s="84"/>
      <c r="EH63" s="84"/>
      <c r="EI63" s="84"/>
      <c r="EJ63" s="84"/>
      <c r="EK63" s="84"/>
      <c r="EL63" s="84"/>
      <c r="EM63" s="84"/>
      <c r="EN63" s="84"/>
      <c r="EO63" s="84"/>
      <c r="EP63" s="84"/>
      <c r="EQ63" s="84"/>
      <c r="ER63" s="84"/>
      <c r="ES63" s="84"/>
      <c r="ET63" s="84"/>
      <c r="EU63" s="84"/>
      <c r="EV63" s="84"/>
      <c r="EW63" s="84"/>
      <c r="EX63" s="84"/>
      <c r="EY63" s="84"/>
      <c r="EZ63" s="84"/>
      <c r="FA63" s="84"/>
      <c r="FB63" s="84"/>
      <c r="FC63" s="84"/>
      <c r="FD63" s="84"/>
      <c r="FE63" s="84"/>
      <c r="FF63" s="84"/>
      <c r="FG63" s="84"/>
      <c r="FH63" s="84"/>
      <c r="FI63" s="84"/>
      <c r="FJ63" s="84"/>
      <c r="FK63" s="84"/>
      <c r="FL63" s="84"/>
      <c r="FM63" s="84"/>
      <c r="FN63" s="84"/>
      <c r="FO63" s="84"/>
      <c r="FP63" s="84"/>
      <c r="FQ63" s="84"/>
      <c r="FR63" s="84"/>
      <c r="FS63" s="84"/>
      <c r="FT63" s="84"/>
      <c r="FU63" s="84"/>
      <c r="FV63" s="84"/>
      <c r="FW63" s="84"/>
      <c r="FX63" s="84"/>
      <c r="FY63" s="84"/>
      <c r="FZ63" s="84"/>
      <c r="GA63" s="84"/>
      <c r="GB63" s="84"/>
      <c r="GC63" s="84"/>
      <c r="GD63" s="84"/>
      <c r="GE63" s="84"/>
      <c r="GF63" s="84"/>
      <c r="GG63" s="84"/>
      <c r="GH63" s="84"/>
      <c r="GI63" s="84"/>
      <c r="GJ63" s="84"/>
      <c r="GK63" s="84"/>
      <c r="GL63" s="84"/>
      <c r="GM63" s="84"/>
      <c r="GN63" s="84"/>
      <c r="GO63" s="84"/>
      <c r="GP63" s="84"/>
      <c r="GQ63" s="84"/>
      <c r="GR63" s="84"/>
      <c r="GS63" s="84"/>
      <c r="GT63" s="84"/>
      <c r="GU63" s="84"/>
      <c r="GV63" s="84"/>
      <c r="GW63" s="84"/>
      <c r="GX63" s="84"/>
      <c r="GY63" s="84"/>
      <c r="GZ63" s="84"/>
      <c r="HA63" s="84"/>
      <c r="HB63" s="84"/>
      <c r="HC63" s="84"/>
      <c r="HD63" s="84"/>
      <c r="HE63" s="84"/>
      <c r="HF63" s="84"/>
      <c r="HG63" s="84"/>
      <c r="HH63" s="84"/>
      <c r="HI63" s="84"/>
      <c r="HJ63" s="84"/>
      <c r="HK63" s="84"/>
      <c r="HL63" s="84"/>
      <c r="HM63" s="84"/>
      <c r="HN63" s="84"/>
      <c r="HO63" s="84"/>
      <c r="HP63" s="84"/>
      <c r="HQ63" s="84"/>
      <c r="HR63" s="84"/>
      <c r="HS63" s="84"/>
      <c r="HT63" s="84"/>
      <c r="HU63" s="84"/>
      <c r="HV63" s="84"/>
      <c r="HW63" s="84"/>
      <c r="HX63" s="84"/>
      <c r="HY63" s="84"/>
      <c r="HZ63" s="84"/>
      <c r="IA63" s="84"/>
      <c r="IB63" s="84"/>
      <c r="IC63" s="84"/>
      <c r="ID63" s="84"/>
      <c r="IE63" s="84"/>
      <c r="IF63" s="84"/>
      <c r="IG63" s="84"/>
      <c r="IH63" s="84"/>
      <c r="II63" s="84"/>
      <c r="IJ63" s="84"/>
      <c r="IK63" s="84"/>
      <c r="IL63" s="84"/>
      <c r="IM63" s="84"/>
      <c r="IN63" s="84"/>
      <c r="IO63" s="84"/>
    </row>
    <row r="64" spans="2:249">
      <c r="B64" s="261" t="s">
        <v>528</v>
      </c>
      <c r="C64" s="103" t="s">
        <v>566</v>
      </c>
      <c r="D64" s="69" t="s">
        <v>360</v>
      </c>
      <c r="E64" s="70" t="s">
        <v>360</v>
      </c>
      <c r="F64" s="71" t="s">
        <v>360</v>
      </c>
      <c r="G64" s="72" t="s">
        <v>360</v>
      </c>
      <c r="H64" s="72" t="s">
        <v>360</v>
      </c>
      <c r="I64" s="72" t="s">
        <v>360</v>
      </c>
      <c r="J64" s="72" t="s">
        <v>360</v>
      </c>
      <c r="K64" s="72" t="s">
        <v>360</v>
      </c>
      <c r="L64" s="72" t="s">
        <v>360</v>
      </c>
      <c r="M64" s="71" t="s">
        <v>360</v>
      </c>
      <c r="N64" s="88"/>
      <c r="O64" s="87"/>
      <c r="P64" s="99" t="s">
        <v>360</v>
      </c>
      <c r="Q64" s="87"/>
      <c r="R64" s="166"/>
      <c r="S64" s="70" t="s">
        <v>360</v>
      </c>
      <c r="T64" s="72" t="s">
        <v>360</v>
      </c>
      <c r="U64" s="72" t="s">
        <v>360</v>
      </c>
      <c r="V64" s="72" t="s">
        <v>360</v>
      </c>
      <c r="W64" s="72" t="s">
        <v>360</v>
      </c>
      <c r="X64" s="72" t="s">
        <v>360</v>
      </c>
      <c r="Y64" s="72" t="s">
        <v>360</v>
      </c>
      <c r="Z64" s="72" t="s">
        <v>360</v>
      </c>
      <c r="AA64" s="72" t="s">
        <v>360</v>
      </c>
      <c r="AB64" s="72" t="s">
        <v>360</v>
      </c>
      <c r="AC64" s="72" t="s">
        <v>360</v>
      </c>
      <c r="AD64" s="72" t="s">
        <v>360</v>
      </c>
      <c r="AE64" s="73" t="s">
        <v>360</v>
      </c>
      <c r="AF64" s="70" t="s">
        <v>360</v>
      </c>
      <c r="AG64" s="72" t="s">
        <v>360</v>
      </c>
      <c r="AH64" s="72" t="s">
        <v>360</v>
      </c>
      <c r="AI64" s="72" t="s">
        <v>360</v>
      </c>
      <c r="AJ64" s="72" t="s">
        <v>360</v>
      </c>
      <c r="AK64" s="73" t="s">
        <v>360</v>
      </c>
      <c r="AL64" s="72"/>
      <c r="AM64" s="72"/>
      <c r="AN64" s="72"/>
      <c r="AO64" s="72"/>
      <c r="AP64" s="72"/>
      <c r="AQ64" s="72"/>
      <c r="AR64" s="72"/>
      <c r="AS64" s="72"/>
      <c r="AT64" s="72"/>
      <c r="AU64" s="72"/>
      <c r="AV64" s="72"/>
      <c r="AW64" s="72"/>
      <c r="AX64" s="72"/>
      <c r="AY64" s="72"/>
      <c r="AZ64" s="72"/>
      <c r="BA64" s="72"/>
      <c r="BB64" s="72"/>
      <c r="BC64" s="72"/>
      <c r="BD64" s="72"/>
      <c r="BE64" s="72"/>
      <c r="BF64" s="72"/>
      <c r="BG64" s="72"/>
      <c r="BH64" s="72"/>
      <c r="BI64" s="72"/>
      <c r="BJ64" s="72"/>
      <c r="BK64" s="72"/>
      <c r="BL64" s="72"/>
      <c r="BM64" s="72"/>
      <c r="BN64" s="72"/>
      <c r="BO64" s="72"/>
      <c r="BP64" s="72"/>
      <c r="BQ64" s="72"/>
      <c r="BR64" s="72"/>
      <c r="BS64" s="72"/>
      <c r="BT64" s="72"/>
      <c r="BU64" s="72"/>
      <c r="BV64" s="72"/>
      <c r="BW64" s="72"/>
      <c r="BX64" s="72"/>
      <c r="BY64" s="72"/>
      <c r="BZ64" s="72"/>
      <c r="CA64" s="72"/>
      <c r="CB64" s="72"/>
      <c r="CC64" s="72"/>
      <c r="CD64" s="72"/>
      <c r="CE64" s="72"/>
      <c r="CF64" s="72"/>
      <c r="CG64" s="72"/>
      <c r="CH64" s="72"/>
      <c r="CI64" s="72"/>
      <c r="CJ64" s="72"/>
      <c r="CK64" s="72"/>
      <c r="CL64" s="72"/>
      <c r="CM64" s="72"/>
      <c r="CN64" s="72"/>
      <c r="CO64" s="72"/>
      <c r="CP64" s="72"/>
      <c r="CQ64" s="72"/>
      <c r="CR64" s="72"/>
      <c r="CS64" s="72"/>
      <c r="CT64" s="72"/>
      <c r="CU64" s="72"/>
      <c r="CV64" s="72"/>
      <c r="CW64" s="72"/>
      <c r="CX64" s="72"/>
      <c r="CY64" s="72"/>
      <c r="CZ64" s="72"/>
      <c r="DA64" s="72"/>
      <c r="DB64" s="72"/>
      <c r="DC64" s="72"/>
      <c r="DD64" s="72"/>
      <c r="DE64" s="72"/>
      <c r="DF64" s="72"/>
      <c r="DG64" s="72"/>
      <c r="DH64" s="72"/>
      <c r="DI64" s="72"/>
      <c r="DJ64" s="72"/>
      <c r="DK64" s="72"/>
      <c r="DL64" s="72"/>
      <c r="DM64" s="72"/>
      <c r="DN64" s="72"/>
      <c r="DO64" s="72"/>
      <c r="DP64" s="72"/>
      <c r="DQ64" s="72"/>
      <c r="DR64" s="72"/>
      <c r="DS64" s="72"/>
      <c r="DT64" s="72"/>
      <c r="DU64" s="72"/>
      <c r="DV64" s="72"/>
      <c r="DW64" s="72"/>
      <c r="DX64" s="72"/>
      <c r="DY64" s="72"/>
      <c r="DZ64" s="72"/>
      <c r="EA64" s="72"/>
      <c r="EB64" s="72"/>
      <c r="EC64" s="72"/>
      <c r="ED64" s="72"/>
      <c r="EE64" s="72"/>
      <c r="EF64" s="72"/>
      <c r="EG64" s="72"/>
      <c r="EH64" s="72"/>
      <c r="EI64" s="72"/>
      <c r="EJ64" s="72"/>
      <c r="EK64" s="72"/>
      <c r="EL64" s="72"/>
      <c r="EM64" s="72"/>
      <c r="EN64" s="72"/>
      <c r="EO64" s="72"/>
      <c r="EP64" s="72"/>
      <c r="EQ64" s="72"/>
      <c r="ER64" s="72"/>
      <c r="ES64" s="72"/>
      <c r="ET64" s="72"/>
      <c r="EU64" s="72"/>
      <c r="EV64" s="72"/>
      <c r="EW64" s="72"/>
      <c r="EX64" s="72"/>
      <c r="EY64" s="72"/>
      <c r="EZ64" s="72"/>
      <c r="FA64" s="72"/>
      <c r="FB64" s="72"/>
      <c r="FC64" s="72"/>
      <c r="FD64" s="72"/>
      <c r="FE64" s="72"/>
      <c r="FF64" s="72"/>
      <c r="FG64" s="72"/>
      <c r="FH64" s="72"/>
      <c r="FI64" s="72"/>
      <c r="FJ64" s="72"/>
      <c r="FK64" s="72"/>
      <c r="FL64" s="72"/>
      <c r="FM64" s="72"/>
      <c r="FN64" s="72"/>
      <c r="FO64" s="72"/>
      <c r="FP64" s="72"/>
      <c r="FQ64" s="72"/>
      <c r="FR64" s="72"/>
      <c r="FS64" s="72"/>
      <c r="FT64" s="72"/>
      <c r="FU64" s="72"/>
      <c r="FV64" s="72"/>
      <c r="FW64" s="72"/>
      <c r="FX64" s="72"/>
      <c r="FY64" s="72"/>
      <c r="FZ64" s="72"/>
      <c r="GA64" s="72"/>
      <c r="GB64" s="72"/>
      <c r="GC64" s="72"/>
      <c r="GD64" s="72"/>
      <c r="GE64" s="72"/>
      <c r="GF64" s="72"/>
      <c r="GG64" s="72"/>
      <c r="GH64" s="72"/>
      <c r="GI64" s="72"/>
      <c r="GJ64" s="72"/>
      <c r="GK64" s="72"/>
      <c r="GL64" s="72"/>
      <c r="GM64" s="72"/>
      <c r="GN64" s="72"/>
      <c r="GO64" s="72"/>
      <c r="GP64" s="72"/>
      <c r="GQ64" s="72"/>
      <c r="GR64" s="72"/>
      <c r="GS64" s="72"/>
      <c r="GT64" s="72"/>
      <c r="GU64" s="72"/>
      <c r="GV64" s="72"/>
      <c r="GW64" s="72"/>
      <c r="GX64" s="72"/>
      <c r="GY64" s="72"/>
      <c r="GZ64" s="72"/>
      <c r="HA64" s="72"/>
      <c r="HB64" s="72"/>
      <c r="HC64" s="72"/>
      <c r="HD64" s="72"/>
      <c r="HE64" s="72"/>
      <c r="HF64" s="72"/>
      <c r="HG64" s="72"/>
      <c r="HH64" s="72"/>
      <c r="HI64" s="72"/>
      <c r="HJ64" s="72"/>
      <c r="HK64" s="72"/>
      <c r="HL64" s="72"/>
      <c r="HM64" s="72"/>
      <c r="HN64" s="72"/>
      <c r="HO64" s="72"/>
      <c r="HP64" s="72"/>
      <c r="HQ64" s="72"/>
      <c r="HR64" s="72"/>
      <c r="HS64" s="72"/>
      <c r="HT64" s="72"/>
      <c r="HU64" s="72"/>
      <c r="HV64" s="72"/>
      <c r="HW64" s="72"/>
      <c r="HX64" s="72"/>
      <c r="HY64" s="72"/>
      <c r="HZ64" s="72"/>
      <c r="IA64" s="72"/>
      <c r="IB64" s="72"/>
      <c r="IC64" s="72"/>
      <c r="ID64" s="72"/>
      <c r="IE64" s="72"/>
      <c r="IF64" s="72"/>
      <c r="IG64" s="72"/>
      <c r="IH64" s="72"/>
      <c r="II64" s="72"/>
      <c r="IJ64" s="72"/>
      <c r="IK64" s="72"/>
      <c r="IL64" s="72"/>
      <c r="IM64" s="72"/>
      <c r="IN64" s="72"/>
      <c r="IO64" s="72"/>
    </row>
    <row r="65" spans="2:249">
      <c r="B65" s="262"/>
      <c r="C65" s="103" t="s">
        <v>574</v>
      </c>
      <c r="D65" s="104"/>
      <c r="E65" s="105"/>
      <c r="F65" s="106"/>
      <c r="G65" s="72"/>
      <c r="H65" s="108"/>
      <c r="I65" s="108"/>
      <c r="J65" s="108"/>
      <c r="K65" s="108"/>
      <c r="L65" s="108"/>
      <c r="M65" s="106"/>
      <c r="N65" s="97" t="s">
        <v>360</v>
      </c>
      <c r="O65" s="99" t="s">
        <v>360</v>
      </c>
      <c r="P65" s="72"/>
      <c r="Q65" s="99" t="s">
        <v>360</v>
      </c>
      <c r="R65" s="98" t="s">
        <v>360</v>
      </c>
      <c r="S65" s="105"/>
      <c r="T65" s="108"/>
      <c r="U65" s="108"/>
      <c r="V65" s="108"/>
      <c r="W65" s="108"/>
      <c r="X65" s="108"/>
      <c r="Y65" s="108"/>
      <c r="Z65" s="108"/>
      <c r="AA65" s="108"/>
      <c r="AB65" s="108"/>
      <c r="AC65" s="108"/>
      <c r="AD65" s="108"/>
      <c r="AE65" s="109"/>
      <c r="AF65" s="105"/>
      <c r="AG65" s="108"/>
      <c r="AH65" s="108"/>
      <c r="AI65" s="108"/>
      <c r="AJ65" s="108"/>
      <c r="AK65" s="109"/>
      <c r="AL65" s="108"/>
      <c r="AM65" s="108"/>
      <c r="AN65" s="108"/>
      <c r="AO65" s="108"/>
      <c r="AP65" s="108"/>
      <c r="AQ65" s="108"/>
      <c r="AR65" s="108"/>
      <c r="AS65" s="108"/>
      <c r="AT65" s="108"/>
      <c r="AU65" s="108"/>
      <c r="AV65" s="108"/>
      <c r="AW65" s="108"/>
      <c r="AX65" s="108"/>
      <c r="AY65" s="108"/>
      <c r="AZ65" s="108"/>
      <c r="BA65" s="108"/>
      <c r="BB65" s="108"/>
      <c r="BC65" s="108"/>
      <c r="BD65" s="108"/>
      <c r="BE65" s="108"/>
      <c r="BF65" s="108"/>
      <c r="BG65" s="108"/>
      <c r="BH65" s="108"/>
      <c r="BI65" s="108"/>
      <c r="BJ65" s="108"/>
      <c r="BK65" s="108"/>
      <c r="BL65" s="108"/>
      <c r="BM65" s="108"/>
      <c r="BN65" s="108"/>
      <c r="BO65" s="108"/>
      <c r="BP65" s="108"/>
      <c r="BQ65" s="108"/>
      <c r="BR65" s="108"/>
      <c r="BS65" s="108"/>
      <c r="BT65" s="108"/>
      <c r="BU65" s="108"/>
      <c r="BV65" s="108"/>
      <c r="BW65" s="108"/>
      <c r="BX65" s="108"/>
      <c r="BY65" s="108"/>
      <c r="BZ65" s="108"/>
      <c r="CA65" s="108"/>
      <c r="CB65" s="108"/>
      <c r="CC65" s="108"/>
      <c r="CD65" s="108"/>
      <c r="CE65" s="108"/>
      <c r="CF65" s="108"/>
      <c r="CG65" s="108"/>
      <c r="CH65" s="108"/>
      <c r="CI65" s="108"/>
      <c r="CJ65" s="108"/>
      <c r="CK65" s="108"/>
      <c r="CL65" s="108"/>
      <c r="CM65" s="108"/>
      <c r="CN65" s="108"/>
      <c r="CO65" s="108"/>
      <c r="CP65" s="108"/>
      <c r="CQ65" s="108"/>
      <c r="CR65" s="108"/>
      <c r="CS65" s="108"/>
      <c r="CT65" s="108"/>
      <c r="CU65" s="108"/>
      <c r="CV65" s="108"/>
      <c r="CW65" s="108"/>
      <c r="CX65" s="108"/>
      <c r="CY65" s="108"/>
      <c r="CZ65" s="108"/>
      <c r="DA65" s="108"/>
      <c r="DB65" s="108"/>
      <c r="DC65" s="108"/>
      <c r="DD65" s="108"/>
      <c r="DE65" s="108"/>
      <c r="DF65" s="108"/>
      <c r="DG65" s="108"/>
      <c r="DH65" s="108"/>
      <c r="DI65" s="108"/>
      <c r="DJ65" s="108"/>
      <c r="DK65" s="108"/>
      <c r="DL65" s="108"/>
      <c r="DM65" s="108"/>
      <c r="DN65" s="108"/>
      <c r="DO65" s="108"/>
      <c r="DP65" s="108"/>
      <c r="DQ65" s="108"/>
      <c r="DR65" s="108"/>
      <c r="DS65" s="108"/>
      <c r="DT65" s="108"/>
      <c r="DU65" s="108"/>
      <c r="DV65" s="108"/>
      <c r="DW65" s="108"/>
      <c r="DX65" s="108"/>
      <c r="DY65" s="108"/>
      <c r="DZ65" s="108"/>
      <c r="EA65" s="108"/>
      <c r="EB65" s="108"/>
      <c r="EC65" s="108"/>
      <c r="ED65" s="108"/>
      <c r="EE65" s="108"/>
      <c r="EF65" s="108"/>
      <c r="EG65" s="108"/>
      <c r="EH65" s="108"/>
      <c r="EI65" s="108"/>
      <c r="EJ65" s="108"/>
      <c r="EK65" s="108"/>
      <c r="EL65" s="108"/>
      <c r="EM65" s="108"/>
      <c r="EN65" s="108"/>
      <c r="EO65" s="108"/>
      <c r="EP65" s="108"/>
      <c r="EQ65" s="108"/>
      <c r="ER65" s="108"/>
      <c r="ES65" s="108"/>
      <c r="ET65" s="108"/>
      <c r="EU65" s="108"/>
      <c r="EV65" s="108"/>
      <c r="EW65" s="108"/>
      <c r="EX65" s="108"/>
      <c r="EY65" s="108"/>
      <c r="EZ65" s="108"/>
      <c r="FA65" s="108"/>
      <c r="FB65" s="108"/>
      <c r="FC65" s="108"/>
      <c r="FD65" s="108"/>
      <c r="FE65" s="108"/>
      <c r="FF65" s="108"/>
      <c r="FG65" s="108"/>
      <c r="FH65" s="108"/>
      <c r="FI65" s="108"/>
      <c r="FJ65" s="108"/>
      <c r="FK65" s="108"/>
      <c r="FL65" s="108"/>
      <c r="FM65" s="108"/>
      <c r="FN65" s="108"/>
      <c r="FO65" s="108"/>
      <c r="FP65" s="108"/>
      <c r="FQ65" s="108"/>
      <c r="FR65" s="108"/>
      <c r="FS65" s="108"/>
      <c r="FT65" s="108"/>
      <c r="FU65" s="108"/>
      <c r="FV65" s="108"/>
      <c r="FW65" s="108"/>
      <c r="FX65" s="108"/>
      <c r="FY65" s="108"/>
      <c r="FZ65" s="108"/>
      <c r="GA65" s="108"/>
      <c r="GB65" s="108"/>
      <c r="GC65" s="108"/>
      <c r="GD65" s="108"/>
      <c r="GE65" s="108"/>
      <c r="GF65" s="108"/>
      <c r="GG65" s="108"/>
      <c r="GH65" s="108"/>
      <c r="GI65" s="108"/>
      <c r="GJ65" s="108"/>
      <c r="GK65" s="108"/>
      <c r="GL65" s="108"/>
      <c r="GM65" s="108"/>
      <c r="GN65" s="108"/>
      <c r="GO65" s="108"/>
      <c r="GP65" s="108"/>
      <c r="GQ65" s="108"/>
      <c r="GR65" s="108"/>
      <c r="GS65" s="108"/>
      <c r="GT65" s="108"/>
      <c r="GU65" s="108"/>
      <c r="GV65" s="108"/>
      <c r="GW65" s="108"/>
      <c r="GX65" s="108"/>
      <c r="GY65" s="108"/>
      <c r="GZ65" s="108"/>
      <c r="HA65" s="108"/>
      <c r="HB65" s="108"/>
      <c r="HC65" s="108"/>
      <c r="HD65" s="108"/>
      <c r="HE65" s="108"/>
      <c r="HF65" s="108"/>
      <c r="HG65" s="108"/>
      <c r="HH65" s="108"/>
      <c r="HI65" s="108"/>
      <c r="HJ65" s="108"/>
      <c r="HK65" s="108"/>
      <c r="HL65" s="108"/>
      <c r="HM65" s="108"/>
      <c r="HN65" s="108"/>
      <c r="HO65" s="108"/>
      <c r="HP65" s="108"/>
      <c r="HQ65" s="108"/>
      <c r="HR65" s="108"/>
      <c r="HS65" s="108"/>
      <c r="HT65" s="108"/>
      <c r="HU65" s="108"/>
      <c r="HV65" s="108"/>
      <c r="HW65" s="108"/>
      <c r="HX65" s="108"/>
      <c r="HY65" s="108"/>
      <c r="HZ65" s="108"/>
      <c r="IA65" s="108"/>
      <c r="IB65" s="108"/>
      <c r="IC65" s="108"/>
      <c r="ID65" s="108"/>
      <c r="IE65" s="108"/>
      <c r="IF65" s="108"/>
      <c r="IG65" s="108"/>
      <c r="IH65" s="108"/>
      <c r="II65" s="108"/>
      <c r="IJ65" s="108"/>
      <c r="IK65" s="108"/>
      <c r="IL65" s="108"/>
      <c r="IM65" s="108"/>
      <c r="IN65" s="108"/>
      <c r="IO65" s="108"/>
    </row>
    <row r="66" spans="2:249">
      <c r="B66" s="248" t="s">
        <v>550</v>
      </c>
      <c r="C66" s="248"/>
      <c r="D66" s="74"/>
      <c r="E66" s="101"/>
      <c r="F66" s="102"/>
      <c r="G66" s="77"/>
      <c r="H66" s="77"/>
      <c r="I66" s="77"/>
      <c r="J66" s="77"/>
      <c r="K66" s="77"/>
      <c r="L66" s="77"/>
      <c r="M66" s="76"/>
      <c r="N66" s="75"/>
      <c r="O66" s="77"/>
      <c r="P66" s="77"/>
      <c r="Q66" s="77"/>
      <c r="R66" s="76"/>
      <c r="S66" s="75"/>
      <c r="T66" s="77"/>
      <c r="U66" s="77"/>
      <c r="V66" s="77"/>
      <c r="W66" s="77"/>
      <c r="X66" s="77"/>
      <c r="Y66" s="77"/>
      <c r="Z66" s="77"/>
      <c r="AA66" s="77"/>
      <c r="AB66" s="77"/>
      <c r="AC66" s="77"/>
      <c r="AD66" s="77"/>
      <c r="AE66" s="78"/>
      <c r="AF66" s="101"/>
      <c r="AG66" s="163"/>
      <c r="AH66" s="163"/>
      <c r="AI66" s="163"/>
      <c r="AJ66" s="163"/>
      <c r="AK66" s="221"/>
      <c r="AL66" s="163"/>
      <c r="AM66" s="163"/>
      <c r="AN66" s="163"/>
      <c r="AO66" s="163"/>
      <c r="AP66" s="163"/>
      <c r="AQ66" s="163"/>
      <c r="AR66" s="163"/>
      <c r="AS66" s="163"/>
      <c r="AT66" s="163"/>
      <c r="AU66" s="163"/>
      <c r="AV66" s="163"/>
      <c r="AW66" s="163"/>
      <c r="AX66" s="163"/>
      <c r="AY66" s="163"/>
      <c r="AZ66" s="163"/>
      <c r="BA66" s="163"/>
      <c r="BB66" s="163"/>
      <c r="BC66" s="163"/>
      <c r="BD66" s="163"/>
      <c r="BE66" s="163"/>
      <c r="BF66" s="163"/>
      <c r="BG66" s="163"/>
      <c r="BH66" s="163"/>
      <c r="BI66" s="163"/>
      <c r="BJ66" s="163"/>
      <c r="BK66" s="163"/>
      <c r="BL66" s="163"/>
      <c r="BM66" s="163"/>
      <c r="BN66" s="163"/>
      <c r="BO66" s="163"/>
      <c r="BP66" s="163"/>
      <c r="BQ66" s="163"/>
      <c r="BR66" s="163"/>
      <c r="BS66" s="163"/>
      <c r="BT66" s="163"/>
      <c r="BU66" s="163"/>
      <c r="BV66" s="163"/>
      <c r="BW66" s="163"/>
      <c r="BX66" s="163"/>
      <c r="BY66" s="163"/>
      <c r="BZ66" s="163"/>
      <c r="CA66" s="163"/>
      <c r="CB66" s="163"/>
      <c r="CC66" s="163"/>
      <c r="CD66" s="163"/>
      <c r="CE66" s="163"/>
      <c r="CF66" s="163"/>
      <c r="CG66" s="163"/>
      <c r="CH66" s="163"/>
      <c r="CI66" s="163"/>
      <c r="CJ66" s="163"/>
      <c r="CK66" s="163"/>
      <c r="CL66" s="163"/>
      <c r="CM66" s="163"/>
      <c r="CN66" s="163"/>
      <c r="CO66" s="163"/>
      <c r="CP66" s="163"/>
      <c r="CQ66" s="163"/>
      <c r="CR66" s="163"/>
      <c r="CS66" s="163"/>
      <c r="CT66" s="163"/>
      <c r="CU66" s="163"/>
      <c r="CV66" s="163"/>
      <c r="CW66" s="163"/>
      <c r="CX66" s="163"/>
      <c r="CY66" s="163"/>
      <c r="CZ66" s="163"/>
      <c r="DA66" s="163"/>
      <c r="DB66" s="163"/>
      <c r="DC66" s="163"/>
      <c r="DD66" s="163"/>
      <c r="DE66" s="163"/>
      <c r="DF66" s="163"/>
      <c r="DG66" s="163"/>
      <c r="DH66" s="163"/>
      <c r="DI66" s="163"/>
      <c r="DJ66" s="163"/>
      <c r="DK66" s="163"/>
      <c r="DL66" s="163"/>
      <c r="DM66" s="163"/>
      <c r="DN66" s="163"/>
      <c r="DO66" s="163"/>
      <c r="DP66" s="163"/>
      <c r="DQ66" s="163"/>
      <c r="DR66" s="163"/>
      <c r="DS66" s="163"/>
      <c r="DT66" s="163"/>
      <c r="DU66" s="163"/>
      <c r="DV66" s="163"/>
      <c r="DW66" s="163"/>
      <c r="DX66" s="163"/>
      <c r="DY66" s="163"/>
      <c r="DZ66" s="163"/>
      <c r="EA66" s="163"/>
      <c r="EB66" s="163"/>
      <c r="EC66" s="163"/>
      <c r="ED66" s="163"/>
      <c r="EE66" s="163"/>
      <c r="EF66" s="163"/>
      <c r="EG66" s="163"/>
      <c r="EH66" s="163"/>
      <c r="EI66" s="163"/>
      <c r="EJ66" s="163"/>
      <c r="EK66" s="163"/>
      <c r="EL66" s="163"/>
      <c r="EM66" s="163"/>
      <c r="EN66" s="163"/>
      <c r="EO66" s="163"/>
      <c r="EP66" s="163"/>
      <c r="EQ66" s="163"/>
      <c r="ER66" s="163"/>
      <c r="ES66" s="163"/>
      <c r="ET66" s="163"/>
      <c r="EU66" s="163"/>
      <c r="EV66" s="163"/>
      <c r="EW66" s="163"/>
      <c r="EX66" s="163"/>
      <c r="EY66" s="163"/>
      <c r="EZ66" s="163"/>
      <c r="FA66" s="163"/>
      <c r="FB66" s="163"/>
      <c r="FC66" s="163"/>
      <c r="FD66" s="163"/>
      <c r="FE66" s="163"/>
      <c r="FF66" s="163"/>
      <c r="FG66" s="163"/>
      <c r="FH66" s="163"/>
      <c r="FI66" s="163"/>
      <c r="FJ66" s="163"/>
      <c r="FK66" s="163"/>
      <c r="FL66" s="163"/>
      <c r="FM66" s="163"/>
      <c r="FN66" s="163"/>
      <c r="FO66" s="163"/>
      <c r="FP66" s="163"/>
      <c r="FQ66" s="163"/>
      <c r="FR66" s="163"/>
      <c r="FS66" s="163"/>
      <c r="FT66" s="163"/>
      <c r="FU66" s="163"/>
      <c r="FV66" s="163"/>
      <c r="FW66" s="163"/>
      <c r="FX66" s="163"/>
      <c r="FY66" s="163"/>
      <c r="FZ66" s="163"/>
      <c r="GA66" s="163"/>
      <c r="GB66" s="163"/>
      <c r="GC66" s="163"/>
      <c r="GD66" s="163"/>
      <c r="GE66" s="163"/>
      <c r="GF66" s="163"/>
      <c r="GG66" s="163"/>
      <c r="GH66" s="163"/>
      <c r="GI66" s="163"/>
      <c r="GJ66" s="163"/>
      <c r="GK66" s="163"/>
      <c r="GL66" s="163"/>
      <c r="GM66" s="163"/>
      <c r="GN66" s="163"/>
      <c r="GO66" s="163"/>
      <c r="GP66" s="163"/>
      <c r="GQ66" s="163"/>
      <c r="GR66" s="163"/>
      <c r="GS66" s="163"/>
      <c r="GT66" s="163"/>
      <c r="GU66" s="163"/>
      <c r="GV66" s="163"/>
      <c r="GW66" s="163"/>
      <c r="GX66" s="163"/>
      <c r="GY66" s="163"/>
      <c r="GZ66" s="163"/>
      <c r="HA66" s="163"/>
      <c r="HB66" s="163"/>
      <c r="HC66" s="163"/>
      <c r="HD66" s="163"/>
      <c r="HE66" s="163"/>
      <c r="HF66" s="163"/>
      <c r="HG66" s="163"/>
      <c r="HH66" s="163"/>
      <c r="HI66" s="163"/>
      <c r="HJ66" s="163"/>
      <c r="HK66" s="163"/>
      <c r="HL66" s="163"/>
      <c r="HM66" s="163"/>
      <c r="HN66" s="163"/>
      <c r="HO66" s="163"/>
      <c r="HP66" s="163"/>
      <c r="HQ66" s="163"/>
      <c r="HR66" s="163"/>
      <c r="HS66" s="163"/>
      <c r="HT66" s="163"/>
      <c r="HU66" s="163"/>
      <c r="HV66" s="163"/>
      <c r="HW66" s="163"/>
      <c r="HX66" s="163"/>
      <c r="HY66" s="163"/>
      <c r="HZ66" s="163"/>
      <c r="IA66" s="163"/>
      <c r="IB66" s="163"/>
      <c r="IC66" s="163"/>
      <c r="ID66" s="163"/>
      <c r="IE66" s="163"/>
      <c r="IF66" s="163"/>
      <c r="IG66" s="163"/>
      <c r="IH66" s="163"/>
      <c r="II66" s="163"/>
      <c r="IJ66" s="163"/>
      <c r="IK66" s="163"/>
      <c r="IL66" s="163"/>
      <c r="IM66" s="163"/>
      <c r="IN66" s="163"/>
      <c r="IO66" s="163"/>
    </row>
    <row r="67" spans="2:249">
      <c r="B67" s="60" t="s">
        <v>451</v>
      </c>
      <c r="C67" s="59" t="s">
        <v>520</v>
      </c>
      <c r="D67" s="81"/>
      <c r="E67" s="82"/>
      <c r="F67" s="83"/>
      <c r="G67" s="84"/>
      <c r="H67" s="84"/>
      <c r="I67" s="84"/>
      <c r="J67" s="84"/>
      <c r="K67" s="84"/>
      <c r="L67" s="84"/>
      <c r="M67" s="83"/>
      <c r="N67" s="82"/>
      <c r="O67" s="84"/>
      <c r="P67" s="84"/>
      <c r="Q67" s="84"/>
      <c r="R67" s="83"/>
      <c r="S67" s="82"/>
      <c r="T67" s="84"/>
      <c r="U67" s="84"/>
      <c r="V67" s="84"/>
      <c r="W67" s="84"/>
      <c r="X67" s="84"/>
      <c r="Y67" s="84"/>
      <c r="Z67" s="84"/>
      <c r="AA67" s="84"/>
      <c r="AB67" s="84"/>
      <c r="AC67" s="84"/>
      <c r="AD67" s="84"/>
      <c r="AE67" s="85"/>
      <c r="AF67" s="82"/>
      <c r="AG67" s="84"/>
      <c r="AH67" s="84"/>
      <c r="AI67" s="84"/>
      <c r="AJ67" s="84"/>
      <c r="AK67" s="85"/>
      <c r="AL67" s="84"/>
      <c r="AM67" s="84"/>
      <c r="AN67" s="84"/>
      <c r="AO67" s="84"/>
      <c r="AP67" s="84"/>
      <c r="AQ67" s="84"/>
      <c r="AR67" s="84"/>
      <c r="AS67" s="84"/>
      <c r="AT67" s="84"/>
      <c r="AU67" s="84"/>
      <c r="AV67" s="84"/>
      <c r="AW67" s="84"/>
      <c r="AX67" s="84"/>
      <c r="AY67" s="84"/>
      <c r="AZ67" s="84"/>
      <c r="BA67" s="84"/>
      <c r="BB67" s="84"/>
      <c r="BC67" s="84"/>
      <c r="BD67" s="84"/>
      <c r="BE67" s="84"/>
      <c r="BF67" s="84"/>
      <c r="BG67" s="84"/>
      <c r="BH67" s="84"/>
      <c r="BI67" s="84"/>
      <c r="BJ67" s="84"/>
      <c r="BK67" s="84"/>
      <c r="BL67" s="84"/>
      <c r="BM67" s="84"/>
      <c r="BN67" s="84"/>
      <c r="BO67" s="84"/>
      <c r="BP67" s="84"/>
      <c r="BQ67" s="84"/>
      <c r="BR67" s="84"/>
      <c r="BS67" s="84"/>
      <c r="BT67" s="84"/>
      <c r="BU67" s="84"/>
      <c r="BV67" s="84"/>
      <c r="BW67" s="84"/>
      <c r="BX67" s="84"/>
      <c r="BY67" s="84"/>
      <c r="BZ67" s="84"/>
      <c r="CA67" s="84"/>
      <c r="CB67" s="84"/>
      <c r="CC67" s="84"/>
      <c r="CD67" s="84"/>
      <c r="CE67" s="84"/>
      <c r="CF67" s="84"/>
      <c r="CG67" s="84"/>
      <c r="CH67" s="84"/>
      <c r="CI67" s="84"/>
      <c r="CJ67" s="84"/>
      <c r="CK67" s="84"/>
      <c r="CL67" s="84"/>
      <c r="CM67" s="84"/>
      <c r="CN67" s="84"/>
      <c r="CO67" s="84"/>
      <c r="CP67" s="84"/>
      <c r="CQ67" s="84"/>
      <c r="CR67" s="84"/>
      <c r="CS67" s="84"/>
      <c r="CT67" s="84"/>
      <c r="CU67" s="84"/>
      <c r="CV67" s="84"/>
      <c r="CW67" s="84"/>
      <c r="CX67" s="84"/>
      <c r="CY67" s="84"/>
      <c r="CZ67" s="84"/>
      <c r="DA67" s="84"/>
      <c r="DB67" s="84"/>
      <c r="DC67" s="84"/>
      <c r="DD67" s="84"/>
      <c r="DE67" s="84"/>
      <c r="DF67" s="84"/>
      <c r="DG67" s="84"/>
      <c r="DH67" s="84"/>
      <c r="DI67" s="84"/>
      <c r="DJ67" s="84"/>
      <c r="DK67" s="84"/>
      <c r="DL67" s="84"/>
      <c r="DM67" s="84"/>
      <c r="DN67" s="84"/>
      <c r="DO67" s="84"/>
      <c r="DP67" s="84"/>
      <c r="DQ67" s="84"/>
      <c r="DR67" s="84"/>
      <c r="DS67" s="84"/>
      <c r="DT67" s="84"/>
      <c r="DU67" s="84"/>
      <c r="DV67" s="84"/>
      <c r="DW67" s="84"/>
      <c r="DX67" s="84"/>
      <c r="DY67" s="84"/>
      <c r="DZ67" s="84"/>
      <c r="EA67" s="84"/>
      <c r="EB67" s="84"/>
      <c r="EC67" s="84"/>
      <c r="ED67" s="84"/>
      <c r="EE67" s="84"/>
      <c r="EF67" s="84"/>
      <c r="EG67" s="84"/>
      <c r="EH67" s="84"/>
      <c r="EI67" s="84"/>
      <c r="EJ67" s="84"/>
      <c r="EK67" s="84"/>
      <c r="EL67" s="84"/>
      <c r="EM67" s="84"/>
      <c r="EN67" s="84"/>
      <c r="EO67" s="84"/>
      <c r="EP67" s="84"/>
      <c r="EQ67" s="84"/>
      <c r="ER67" s="84"/>
      <c r="ES67" s="84"/>
      <c r="ET67" s="84"/>
      <c r="EU67" s="84"/>
      <c r="EV67" s="84"/>
      <c r="EW67" s="84"/>
      <c r="EX67" s="84"/>
      <c r="EY67" s="84"/>
      <c r="EZ67" s="84"/>
      <c r="FA67" s="84"/>
      <c r="FB67" s="84"/>
      <c r="FC67" s="84"/>
      <c r="FD67" s="84"/>
      <c r="FE67" s="84"/>
      <c r="FF67" s="84"/>
      <c r="FG67" s="84"/>
      <c r="FH67" s="84"/>
      <c r="FI67" s="84"/>
      <c r="FJ67" s="84"/>
      <c r="FK67" s="84"/>
      <c r="FL67" s="84"/>
      <c r="FM67" s="84"/>
      <c r="FN67" s="84"/>
      <c r="FO67" s="84"/>
      <c r="FP67" s="84"/>
      <c r="FQ67" s="84"/>
      <c r="FR67" s="84"/>
      <c r="FS67" s="84"/>
      <c r="FT67" s="84"/>
      <c r="FU67" s="84"/>
      <c r="FV67" s="84"/>
      <c r="FW67" s="84"/>
      <c r="FX67" s="84"/>
      <c r="FY67" s="84"/>
      <c r="FZ67" s="84"/>
      <c r="GA67" s="84"/>
      <c r="GB67" s="84"/>
      <c r="GC67" s="84"/>
      <c r="GD67" s="84"/>
      <c r="GE67" s="84"/>
      <c r="GF67" s="84"/>
      <c r="GG67" s="84"/>
      <c r="GH67" s="84"/>
      <c r="GI67" s="84"/>
      <c r="GJ67" s="84"/>
      <c r="GK67" s="84"/>
      <c r="GL67" s="84"/>
      <c r="GM67" s="84"/>
      <c r="GN67" s="84"/>
      <c r="GO67" s="84"/>
      <c r="GP67" s="84"/>
      <c r="GQ67" s="84"/>
      <c r="GR67" s="84"/>
      <c r="GS67" s="84"/>
      <c r="GT67" s="84"/>
      <c r="GU67" s="84"/>
      <c r="GV67" s="84"/>
      <c r="GW67" s="84"/>
      <c r="GX67" s="84"/>
      <c r="GY67" s="84"/>
      <c r="GZ67" s="84"/>
      <c r="HA67" s="84"/>
      <c r="HB67" s="84"/>
      <c r="HC67" s="84"/>
      <c r="HD67" s="84"/>
      <c r="HE67" s="84"/>
      <c r="HF67" s="84"/>
      <c r="HG67" s="84"/>
      <c r="HH67" s="84"/>
      <c r="HI67" s="84"/>
      <c r="HJ67" s="84"/>
      <c r="HK67" s="84"/>
      <c r="HL67" s="84"/>
      <c r="HM67" s="84"/>
      <c r="HN67" s="84"/>
      <c r="HO67" s="84"/>
      <c r="HP67" s="84"/>
      <c r="HQ67" s="84"/>
      <c r="HR67" s="84"/>
      <c r="HS67" s="84"/>
      <c r="HT67" s="84"/>
      <c r="HU67" s="84"/>
      <c r="HV67" s="84"/>
      <c r="HW67" s="84"/>
      <c r="HX67" s="84"/>
      <c r="HY67" s="84"/>
      <c r="HZ67" s="84"/>
      <c r="IA67" s="84"/>
      <c r="IB67" s="84"/>
      <c r="IC67" s="84"/>
      <c r="ID67" s="84"/>
      <c r="IE67" s="84"/>
      <c r="IF67" s="84"/>
      <c r="IG67" s="84"/>
      <c r="IH67" s="84"/>
      <c r="II67" s="84"/>
      <c r="IJ67" s="84"/>
      <c r="IK67" s="84"/>
      <c r="IL67" s="84"/>
      <c r="IM67" s="84"/>
      <c r="IN67" s="84"/>
      <c r="IO67" s="84"/>
    </row>
    <row r="68" spans="2:249">
      <c r="B68" s="110"/>
      <c r="C68" s="62">
        <v>1</v>
      </c>
      <c r="D68" s="69" t="s">
        <v>360</v>
      </c>
      <c r="E68" s="70" t="s">
        <v>360</v>
      </c>
      <c r="F68" s="71" t="s">
        <v>360</v>
      </c>
      <c r="G68" s="72" t="s">
        <v>360</v>
      </c>
      <c r="H68" s="72" t="s">
        <v>360</v>
      </c>
      <c r="I68" s="72" t="s">
        <v>360</v>
      </c>
      <c r="J68" s="72" t="s">
        <v>360</v>
      </c>
      <c r="K68" s="72" t="s">
        <v>360</v>
      </c>
      <c r="L68" s="72" t="s">
        <v>360</v>
      </c>
      <c r="M68" s="71" t="s">
        <v>360</v>
      </c>
      <c r="N68" s="88" t="s">
        <v>360</v>
      </c>
      <c r="O68" s="87" t="s">
        <v>360</v>
      </c>
      <c r="P68" s="87" t="s">
        <v>360</v>
      </c>
      <c r="Q68" s="87" t="s">
        <v>360</v>
      </c>
      <c r="R68" s="166" t="s">
        <v>360</v>
      </c>
      <c r="S68" s="70" t="s">
        <v>360</v>
      </c>
      <c r="T68" s="72" t="s">
        <v>360</v>
      </c>
      <c r="U68" s="72" t="s">
        <v>360</v>
      </c>
      <c r="V68" s="72" t="s">
        <v>360</v>
      </c>
      <c r="W68" s="72" t="s">
        <v>360</v>
      </c>
      <c r="X68" s="72" t="s">
        <v>360</v>
      </c>
      <c r="Y68" s="72" t="s">
        <v>360</v>
      </c>
      <c r="Z68" s="72" t="s">
        <v>360</v>
      </c>
      <c r="AA68" s="72" t="s">
        <v>360</v>
      </c>
      <c r="AB68" s="72" t="s">
        <v>360</v>
      </c>
      <c r="AC68" s="72" t="s">
        <v>360</v>
      </c>
      <c r="AD68" s="72" t="s">
        <v>360</v>
      </c>
      <c r="AE68" s="73" t="s">
        <v>360</v>
      </c>
      <c r="AF68" s="70" t="s">
        <v>360</v>
      </c>
      <c r="AG68" s="72" t="s">
        <v>360</v>
      </c>
      <c r="AH68" s="72" t="s">
        <v>360</v>
      </c>
      <c r="AI68" s="72" t="s">
        <v>360</v>
      </c>
      <c r="AJ68" s="72" t="s">
        <v>360</v>
      </c>
      <c r="AK68" s="73" t="s">
        <v>360</v>
      </c>
      <c r="AL68" s="72" t="s">
        <v>360</v>
      </c>
      <c r="AM68" s="72" t="s">
        <v>360</v>
      </c>
      <c r="AN68" s="72" t="s">
        <v>360</v>
      </c>
      <c r="AO68" s="72" t="s">
        <v>360</v>
      </c>
      <c r="AP68" s="72" t="s">
        <v>360</v>
      </c>
      <c r="AQ68" s="72" t="s">
        <v>360</v>
      </c>
      <c r="AR68" s="72" t="s">
        <v>360</v>
      </c>
      <c r="AS68" s="72" t="s">
        <v>360</v>
      </c>
      <c r="AT68" s="72" t="s">
        <v>360</v>
      </c>
      <c r="AU68" s="72" t="s">
        <v>360</v>
      </c>
      <c r="AV68" s="72" t="s">
        <v>360</v>
      </c>
      <c r="AW68" s="72" t="s">
        <v>360</v>
      </c>
      <c r="AX68" s="72" t="s">
        <v>360</v>
      </c>
      <c r="AY68" s="72" t="s">
        <v>360</v>
      </c>
      <c r="AZ68" s="72" t="s">
        <v>360</v>
      </c>
      <c r="BA68" s="72" t="s">
        <v>360</v>
      </c>
      <c r="BB68" s="72" t="s">
        <v>360</v>
      </c>
      <c r="BC68" s="72" t="s">
        <v>360</v>
      </c>
      <c r="BD68" s="72" t="s">
        <v>360</v>
      </c>
      <c r="BE68" s="72" t="s">
        <v>360</v>
      </c>
      <c r="BF68" s="72" t="s">
        <v>360</v>
      </c>
      <c r="BG68" s="72" t="s">
        <v>360</v>
      </c>
      <c r="BH68" s="72" t="s">
        <v>360</v>
      </c>
      <c r="BI68" s="72" t="s">
        <v>360</v>
      </c>
      <c r="BJ68" s="72" t="s">
        <v>360</v>
      </c>
      <c r="BK68" s="72" t="s">
        <v>360</v>
      </c>
      <c r="BL68" s="72" t="s">
        <v>360</v>
      </c>
      <c r="BM68" s="72" t="s">
        <v>360</v>
      </c>
      <c r="BN68" s="72" t="s">
        <v>360</v>
      </c>
      <c r="BO68" s="72" t="s">
        <v>360</v>
      </c>
      <c r="BP68" s="72" t="s">
        <v>360</v>
      </c>
      <c r="BQ68" s="72" t="s">
        <v>360</v>
      </c>
      <c r="BR68" s="72" t="s">
        <v>360</v>
      </c>
      <c r="BS68" s="72" t="s">
        <v>360</v>
      </c>
      <c r="BT68" s="72" t="s">
        <v>360</v>
      </c>
      <c r="BU68" s="72" t="s">
        <v>360</v>
      </c>
      <c r="BV68" s="72" t="s">
        <v>360</v>
      </c>
      <c r="BW68" s="72" t="s">
        <v>360</v>
      </c>
      <c r="BX68" s="72" t="s">
        <v>360</v>
      </c>
      <c r="BY68" s="72" t="s">
        <v>360</v>
      </c>
      <c r="BZ68" s="72" t="s">
        <v>360</v>
      </c>
      <c r="CA68" s="72" t="s">
        <v>360</v>
      </c>
      <c r="CB68" s="72" t="s">
        <v>360</v>
      </c>
      <c r="CC68" s="72" t="s">
        <v>360</v>
      </c>
      <c r="CD68" s="72" t="s">
        <v>360</v>
      </c>
      <c r="CE68" s="72"/>
      <c r="CF68" s="72"/>
      <c r="CG68" s="72"/>
      <c r="CH68" s="72"/>
      <c r="CI68" s="72"/>
      <c r="CJ68" s="72"/>
      <c r="CK68" s="72"/>
      <c r="CL68" s="72"/>
      <c r="CM68" s="72"/>
      <c r="CN68" s="72"/>
      <c r="CO68" s="72"/>
      <c r="CP68" s="72"/>
      <c r="CQ68" s="72"/>
      <c r="CR68" s="72"/>
      <c r="CS68" s="72"/>
      <c r="CT68" s="72"/>
      <c r="CU68" s="72"/>
      <c r="CV68" s="72"/>
      <c r="CW68" s="72"/>
      <c r="CX68" s="72"/>
      <c r="CY68" s="72"/>
      <c r="CZ68" s="72"/>
      <c r="DA68" s="72"/>
      <c r="DB68" s="72"/>
      <c r="DC68" s="72"/>
      <c r="DD68" s="72"/>
      <c r="DE68" s="72"/>
      <c r="DF68" s="72"/>
      <c r="DG68" s="72"/>
      <c r="DH68" s="72"/>
      <c r="DI68" s="72"/>
      <c r="DJ68" s="72"/>
      <c r="DK68" s="72"/>
      <c r="DL68" s="72"/>
      <c r="DM68" s="72"/>
      <c r="DN68" s="72"/>
      <c r="DO68" s="72"/>
      <c r="DP68" s="72"/>
      <c r="DQ68" s="72"/>
      <c r="DR68" s="72"/>
      <c r="DS68" s="72"/>
      <c r="DT68" s="72"/>
      <c r="DU68" s="72"/>
      <c r="DV68" s="72"/>
      <c r="DW68" s="72"/>
      <c r="DX68" s="72"/>
      <c r="DY68" s="72"/>
      <c r="DZ68" s="72"/>
      <c r="EA68" s="72"/>
      <c r="EB68" s="72"/>
      <c r="EC68" s="72"/>
      <c r="ED68" s="72"/>
      <c r="EE68" s="72"/>
      <c r="EF68" s="72"/>
      <c r="EG68" s="72"/>
      <c r="EH68" s="72"/>
      <c r="EI68" s="72"/>
      <c r="EJ68" s="72"/>
      <c r="EK68" s="72"/>
      <c r="EL68" s="72"/>
      <c r="EM68" s="72"/>
      <c r="EN68" s="72"/>
      <c r="EO68" s="72"/>
      <c r="EP68" s="72"/>
      <c r="EQ68" s="72"/>
      <c r="ER68" s="72"/>
      <c r="ES68" s="72"/>
      <c r="ET68" s="72"/>
      <c r="EU68" s="72"/>
      <c r="EV68" s="72"/>
      <c r="EW68" s="72"/>
      <c r="EX68" s="72"/>
      <c r="EY68" s="72"/>
      <c r="EZ68" s="72"/>
      <c r="FA68" s="72"/>
      <c r="FB68" s="72"/>
      <c r="FC68" s="72"/>
      <c r="FD68" s="72"/>
      <c r="FE68" s="72"/>
      <c r="FF68" s="72"/>
      <c r="FG68" s="72"/>
      <c r="FH68" s="72"/>
      <c r="FI68" s="72"/>
      <c r="FJ68" s="72"/>
      <c r="FK68" s="72"/>
      <c r="FL68" s="72"/>
      <c r="FM68" s="72"/>
      <c r="FN68" s="72"/>
      <c r="FO68" s="72"/>
      <c r="FP68" s="72"/>
      <c r="FQ68" s="72"/>
      <c r="FR68" s="72"/>
      <c r="FS68" s="72"/>
      <c r="FT68" s="72"/>
      <c r="FU68" s="72"/>
      <c r="FV68" s="72"/>
      <c r="FW68" s="72"/>
      <c r="FX68" s="72"/>
      <c r="FY68" s="72"/>
      <c r="FZ68" s="72"/>
      <c r="GA68" s="72"/>
      <c r="GB68" s="72"/>
      <c r="GC68" s="72"/>
      <c r="GD68" s="72"/>
      <c r="GE68" s="72"/>
      <c r="GF68" s="72"/>
      <c r="GG68" s="72"/>
      <c r="GH68" s="72"/>
      <c r="GI68" s="72"/>
      <c r="GJ68" s="72"/>
      <c r="GK68" s="72"/>
      <c r="GL68" s="72"/>
      <c r="GM68" s="72"/>
      <c r="GN68" s="72"/>
      <c r="GO68" s="72"/>
      <c r="GP68" s="72"/>
      <c r="GQ68" s="72"/>
      <c r="GR68" s="72"/>
      <c r="GS68" s="72"/>
      <c r="GT68" s="72"/>
      <c r="GU68" s="72"/>
      <c r="GV68" s="72"/>
      <c r="GW68" s="72"/>
      <c r="GX68" s="72"/>
      <c r="GY68" s="72"/>
      <c r="GZ68" s="72"/>
      <c r="HA68" s="72"/>
      <c r="HB68" s="72"/>
      <c r="HC68" s="72"/>
      <c r="HD68" s="72"/>
      <c r="HE68" s="72"/>
      <c r="HF68" s="72"/>
      <c r="HG68" s="72"/>
      <c r="HH68" s="72"/>
      <c r="HI68" s="72"/>
      <c r="HJ68" s="72"/>
      <c r="HK68" s="72"/>
      <c r="HL68" s="72"/>
      <c r="HM68" s="72"/>
      <c r="HN68" s="72"/>
      <c r="HO68" s="72"/>
      <c r="HP68" s="72"/>
      <c r="HQ68" s="72"/>
      <c r="HR68" s="72"/>
      <c r="HS68" s="72"/>
      <c r="HT68" s="72"/>
      <c r="HU68" s="72"/>
      <c r="HV68" s="72"/>
      <c r="HW68" s="72"/>
      <c r="HX68" s="72"/>
      <c r="HY68" s="72"/>
      <c r="HZ68" s="72"/>
      <c r="IA68" s="72"/>
      <c r="IB68" s="72"/>
      <c r="IC68" s="72"/>
      <c r="ID68" s="72"/>
      <c r="IE68" s="72"/>
      <c r="IF68" s="72"/>
      <c r="IG68" s="72"/>
      <c r="IH68" s="72"/>
      <c r="II68" s="72"/>
      <c r="IJ68" s="72"/>
      <c r="IK68" s="72"/>
      <c r="IL68" s="72"/>
      <c r="IM68" s="72"/>
      <c r="IN68" s="72"/>
      <c r="IO68" s="72"/>
    </row>
    <row r="69" spans="2:249">
      <c r="B69" s="59" t="s">
        <v>452</v>
      </c>
      <c r="C69" s="59" t="s">
        <v>521</v>
      </c>
      <c r="D69" s="91"/>
      <c r="E69" s="92"/>
      <c r="F69" s="93"/>
      <c r="G69" s="94"/>
      <c r="H69" s="94"/>
      <c r="I69" s="94"/>
      <c r="J69" s="94"/>
      <c r="K69" s="94"/>
      <c r="L69" s="94"/>
      <c r="M69" s="93"/>
      <c r="N69" s="92"/>
      <c r="O69" s="94"/>
      <c r="P69" s="94"/>
      <c r="Q69" s="94"/>
      <c r="R69" s="93"/>
      <c r="S69" s="92"/>
      <c r="T69" s="94"/>
      <c r="U69" s="94"/>
      <c r="V69" s="94"/>
      <c r="W69" s="94"/>
      <c r="X69" s="94"/>
      <c r="Y69" s="94"/>
      <c r="Z69" s="94"/>
      <c r="AA69" s="94"/>
      <c r="AB69" s="94"/>
      <c r="AC69" s="94"/>
      <c r="AD69" s="94"/>
      <c r="AE69" s="95"/>
      <c r="AF69" s="92"/>
      <c r="AG69" s="94"/>
      <c r="AH69" s="94"/>
      <c r="AI69" s="94"/>
      <c r="AJ69" s="94"/>
      <c r="AK69" s="95"/>
      <c r="AL69" s="94"/>
      <c r="AM69" s="94"/>
      <c r="AN69" s="94"/>
      <c r="AO69" s="94"/>
      <c r="AP69" s="94"/>
      <c r="AQ69" s="94"/>
      <c r="AR69" s="94"/>
      <c r="AS69" s="94"/>
      <c r="AT69" s="94"/>
      <c r="AU69" s="94"/>
      <c r="AV69" s="94"/>
      <c r="AW69" s="94"/>
      <c r="AX69" s="94"/>
      <c r="AY69" s="94"/>
      <c r="AZ69" s="94"/>
      <c r="BA69" s="94"/>
      <c r="BB69" s="94"/>
      <c r="BC69" s="94"/>
      <c r="BD69" s="94"/>
      <c r="BE69" s="94"/>
      <c r="BF69" s="94"/>
      <c r="BG69" s="94"/>
      <c r="BH69" s="94"/>
      <c r="BI69" s="94"/>
      <c r="BJ69" s="94"/>
      <c r="BK69" s="94"/>
      <c r="BL69" s="94"/>
      <c r="BM69" s="94"/>
      <c r="BN69" s="94"/>
      <c r="BO69" s="94"/>
      <c r="BP69" s="94"/>
      <c r="BQ69" s="94"/>
      <c r="BR69" s="94"/>
      <c r="BS69" s="94"/>
      <c r="BT69" s="94"/>
      <c r="BU69" s="94"/>
      <c r="BV69" s="94"/>
      <c r="BW69" s="94"/>
      <c r="BX69" s="94"/>
      <c r="BY69" s="94"/>
      <c r="BZ69" s="94"/>
      <c r="CA69" s="94"/>
      <c r="CB69" s="94"/>
      <c r="CC69" s="94"/>
      <c r="CD69" s="94"/>
      <c r="CE69" s="94"/>
      <c r="CF69" s="94"/>
      <c r="CG69" s="94"/>
      <c r="CH69" s="94"/>
      <c r="CI69" s="94"/>
      <c r="CJ69" s="94"/>
      <c r="CK69" s="94"/>
      <c r="CL69" s="94"/>
      <c r="CM69" s="94"/>
      <c r="CN69" s="94"/>
      <c r="CO69" s="94"/>
      <c r="CP69" s="94"/>
      <c r="CQ69" s="94"/>
      <c r="CR69" s="94"/>
      <c r="CS69" s="94"/>
      <c r="CT69" s="94"/>
      <c r="CU69" s="94"/>
      <c r="CV69" s="94"/>
      <c r="CW69" s="94"/>
      <c r="CX69" s="94"/>
      <c r="CY69" s="94"/>
      <c r="CZ69" s="94"/>
      <c r="DA69" s="94"/>
      <c r="DB69" s="94"/>
      <c r="DC69" s="94"/>
      <c r="DD69" s="94"/>
      <c r="DE69" s="94"/>
      <c r="DF69" s="94"/>
      <c r="DG69" s="94"/>
      <c r="DH69" s="94"/>
      <c r="DI69" s="94"/>
      <c r="DJ69" s="94"/>
      <c r="DK69" s="94"/>
      <c r="DL69" s="94"/>
      <c r="DM69" s="94"/>
      <c r="DN69" s="94"/>
      <c r="DO69" s="94"/>
      <c r="DP69" s="94"/>
      <c r="DQ69" s="94"/>
      <c r="DR69" s="94"/>
      <c r="DS69" s="94"/>
      <c r="DT69" s="94"/>
      <c r="DU69" s="94"/>
      <c r="DV69" s="94"/>
      <c r="DW69" s="94"/>
      <c r="DX69" s="94"/>
      <c r="DY69" s="94"/>
      <c r="DZ69" s="94"/>
      <c r="EA69" s="94"/>
      <c r="EB69" s="94"/>
      <c r="EC69" s="94"/>
      <c r="ED69" s="94"/>
      <c r="EE69" s="94"/>
      <c r="EF69" s="94"/>
      <c r="EG69" s="94"/>
      <c r="EH69" s="94"/>
      <c r="EI69" s="94"/>
      <c r="EJ69" s="94"/>
      <c r="EK69" s="94"/>
      <c r="EL69" s="94"/>
      <c r="EM69" s="94"/>
      <c r="EN69" s="94"/>
      <c r="EO69" s="94"/>
      <c r="EP69" s="94"/>
      <c r="EQ69" s="94"/>
      <c r="ER69" s="94"/>
      <c r="ES69" s="94"/>
      <c r="ET69" s="94"/>
      <c r="EU69" s="94"/>
      <c r="EV69" s="94"/>
      <c r="EW69" s="94"/>
      <c r="EX69" s="94"/>
      <c r="EY69" s="94"/>
      <c r="EZ69" s="94"/>
      <c r="FA69" s="94"/>
      <c r="FB69" s="94"/>
      <c r="FC69" s="94"/>
      <c r="FD69" s="94"/>
      <c r="FE69" s="94"/>
      <c r="FF69" s="94"/>
      <c r="FG69" s="94"/>
      <c r="FH69" s="94"/>
      <c r="FI69" s="94"/>
      <c r="FJ69" s="94"/>
      <c r="FK69" s="94"/>
      <c r="FL69" s="94"/>
      <c r="FM69" s="94"/>
      <c r="FN69" s="94"/>
      <c r="FO69" s="94"/>
      <c r="FP69" s="94"/>
      <c r="FQ69" s="94"/>
      <c r="FR69" s="94"/>
      <c r="FS69" s="94"/>
      <c r="FT69" s="94"/>
      <c r="FU69" s="94"/>
      <c r="FV69" s="94"/>
      <c r="FW69" s="94"/>
      <c r="FX69" s="94"/>
      <c r="FY69" s="94"/>
      <c r="FZ69" s="94"/>
      <c r="GA69" s="94"/>
      <c r="GB69" s="94"/>
      <c r="GC69" s="94"/>
      <c r="GD69" s="94"/>
      <c r="GE69" s="94"/>
      <c r="GF69" s="94"/>
      <c r="GG69" s="94"/>
      <c r="GH69" s="94"/>
      <c r="GI69" s="94"/>
      <c r="GJ69" s="94"/>
      <c r="GK69" s="94"/>
      <c r="GL69" s="94"/>
      <c r="GM69" s="94"/>
      <c r="GN69" s="94"/>
      <c r="GO69" s="94"/>
      <c r="GP69" s="94"/>
      <c r="GQ69" s="94"/>
      <c r="GR69" s="94"/>
      <c r="GS69" s="94"/>
      <c r="GT69" s="94"/>
      <c r="GU69" s="94"/>
      <c r="GV69" s="94"/>
      <c r="GW69" s="94"/>
      <c r="GX69" s="94"/>
      <c r="GY69" s="94"/>
      <c r="GZ69" s="94"/>
      <c r="HA69" s="94"/>
      <c r="HB69" s="94"/>
      <c r="HC69" s="94"/>
      <c r="HD69" s="94"/>
      <c r="HE69" s="94"/>
      <c r="HF69" s="94"/>
      <c r="HG69" s="94"/>
      <c r="HH69" s="94"/>
      <c r="HI69" s="94"/>
      <c r="HJ69" s="94"/>
      <c r="HK69" s="94"/>
      <c r="HL69" s="94"/>
      <c r="HM69" s="94"/>
      <c r="HN69" s="94"/>
      <c r="HO69" s="94"/>
      <c r="HP69" s="94"/>
      <c r="HQ69" s="94"/>
      <c r="HR69" s="94"/>
      <c r="HS69" s="94"/>
      <c r="HT69" s="94"/>
      <c r="HU69" s="94"/>
      <c r="HV69" s="94"/>
      <c r="HW69" s="94"/>
      <c r="HX69" s="94"/>
      <c r="HY69" s="94"/>
      <c r="HZ69" s="94"/>
      <c r="IA69" s="94"/>
      <c r="IB69" s="94"/>
      <c r="IC69" s="94"/>
      <c r="ID69" s="94"/>
      <c r="IE69" s="94"/>
      <c r="IF69" s="94"/>
      <c r="IG69" s="94"/>
      <c r="IH69" s="94"/>
      <c r="II69" s="94"/>
      <c r="IJ69" s="94"/>
      <c r="IK69" s="94"/>
      <c r="IL69" s="94"/>
      <c r="IM69" s="94"/>
      <c r="IN69" s="94"/>
      <c r="IO69" s="94"/>
    </row>
    <row r="70" spans="2:249">
      <c r="B70" s="90"/>
      <c r="C70" s="62" t="s">
        <v>575</v>
      </c>
      <c r="D70" s="69" t="s">
        <v>360</v>
      </c>
      <c r="E70" s="70" t="s">
        <v>360</v>
      </c>
      <c r="F70" s="71" t="s">
        <v>360</v>
      </c>
      <c r="G70" s="72" t="s">
        <v>360</v>
      </c>
      <c r="H70" s="72" t="s">
        <v>360</v>
      </c>
      <c r="I70" s="72" t="s">
        <v>360</v>
      </c>
      <c r="J70" s="72" t="s">
        <v>360</v>
      </c>
      <c r="K70" s="72" t="s">
        <v>360</v>
      </c>
      <c r="L70" s="72" t="s">
        <v>360</v>
      </c>
      <c r="M70" s="71" t="s">
        <v>360</v>
      </c>
      <c r="N70" s="88" t="s">
        <v>360</v>
      </c>
      <c r="O70" s="87" t="s">
        <v>360</v>
      </c>
      <c r="P70" s="87" t="s">
        <v>360</v>
      </c>
      <c r="Q70" s="87" t="s">
        <v>360</v>
      </c>
      <c r="R70" s="166" t="s">
        <v>360</v>
      </c>
      <c r="S70" s="70" t="s">
        <v>360</v>
      </c>
      <c r="T70" s="72" t="s">
        <v>360</v>
      </c>
      <c r="U70" s="72" t="s">
        <v>360</v>
      </c>
      <c r="V70" s="72" t="s">
        <v>360</v>
      </c>
      <c r="W70" s="72" t="s">
        <v>360</v>
      </c>
      <c r="X70" s="72" t="s">
        <v>360</v>
      </c>
      <c r="Y70" s="72" t="s">
        <v>360</v>
      </c>
      <c r="Z70" s="72" t="s">
        <v>360</v>
      </c>
      <c r="AA70" s="72" t="s">
        <v>360</v>
      </c>
      <c r="AB70" s="72" t="s">
        <v>360</v>
      </c>
      <c r="AC70" s="72" t="s">
        <v>360</v>
      </c>
      <c r="AD70" s="72" t="s">
        <v>360</v>
      </c>
      <c r="AE70" s="73" t="s">
        <v>360</v>
      </c>
      <c r="AF70" s="70" t="s">
        <v>360</v>
      </c>
      <c r="AG70" s="72" t="s">
        <v>360</v>
      </c>
      <c r="AH70" s="72" t="s">
        <v>360</v>
      </c>
      <c r="AI70" s="72" t="s">
        <v>360</v>
      </c>
      <c r="AJ70" s="72" t="s">
        <v>360</v>
      </c>
      <c r="AK70" s="73" t="s">
        <v>360</v>
      </c>
      <c r="AL70" s="72" t="s">
        <v>360</v>
      </c>
      <c r="AM70" s="72" t="s">
        <v>360</v>
      </c>
      <c r="AN70" s="72" t="s">
        <v>360</v>
      </c>
      <c r="AO70" s="72" t="s">
        <v>360</v>
      </c>
      <c r="AP70" s="72" t="s">
        <v>360</v>
      </c>
      <c r="AQ70" s="72" t="s">
        <v>360</v>
      </c>
      <c r="AR70" s="72" t="s">
        <v>360</v>
      </c>
      <c r="AS70" s="72" t="s">
        <v>360</v>
      </c>
      <c r="AT70" s="72" t="s">
        <v>360</v>
      </c>
      <c r="AU70" s="72" t="s">
        <v>360</v>
      </c>
      <c r="AV70" s="72" t="s">
        <v>360</v>
      </c>
      <c r="AW70" s="72" t="s">
        <v>360</v>
      </c>
      <c r="AX70" s="72" t="s">
        <v>360</v>
      </c>
      <c r="AY70" s="72" t="s">
        <v>360</v>
      </c>
      <c r="AZ70" s="72" t="s">
        <v>360</v>
      </c>
      <c r="BA70" s="72" t="s">
        <v>360</v>
      </c>
      <c r="BB70" s="72" t="s">
        <v>360</v>
      </c>
      <c r="BC70" s="72" t="s">
        <v>360</v>
      </c>
      <c r="BD70" s="72" t="s">
        <v>360</v>
      </c>
      <c r="BE70" s="72" t="s">
        <v>360</v>
      </c>
      <c r="BF70" s="72" t="s">
        <v>360</v>
      </c>
      <c r="BG70" s="72" t="s">
        <v>360</v>
      </c>
      <c r="BH70" s="72" t="s">
        <v>360</v>
      </c>
      <c r="BI70" s="72" t="s">
        <v>360</v>
      </c>
      <c r="BJ70" s="72" t="s">
        <v>360</v>
      </c>
      <c r="BK70" s="72" t="s">
        <v>360</v>
      </c>
      <c r="BL70" s="72" t="s">
        <v>360</v>
      </c>
      <c r="BM70" s="72" t="s">
        <v>360</v>
      </c>
      <c r="BN70" s="72" t="s">
        <v>360</v>
      </c>
      <c r="BO70" s="72" t="s">
        <v>360</v>
      </c>
      <c r="BP70" s="72" t="s">
        <v>360</v>
      </c>
      <c r="BQ70" s="72" t="s">
        <v>360</v>
      </c>
      <c r="BR70" s="72" t="s">
        <v>360</v>
      </c>
      <c r="BS70" s="72" t="s">
        <v>360</v>
      </c>
      <c r="BT70" s="72" t="s">
        <v>360</v>
      </c>
      <c r="BU70" s="72" t="s">
        <v>360</v>
      </c>
      <c r="BV70" s="72" t="s">
        <v>360</v>
      </c>
      <c r="BW70" s="72" t="s">
        <v>360</v>
      </c>
      <c r="BX70" s="72" t="s">
        <v>360</v>
      </c>
      <c r="BY70" s="72" t="s">
        <v>360</v>
      </c>
      <c r="BZ70" s="72" t="s">
        <v>360</v>
      </c>
      <c r="CA70" s="72" t="s">
        <v>360</v>
      </c>
      <c r="CB70" s="72" t="s">
        <v>360</v>
      </c>
      <c r="CC70" s="72" t="s">
        <v>360</v>
      </c>
      <c r="CD70" s="72" t="s">
        <v>360</v>
      </c>
      <c r="CE70" s="72"/>
      <c r="CF70" s="72"/>
      <c r="CG70" s="72"/>
      <c r="CH70" s="72"/>
      <c r="CI70" s="72"/>
      <c r="CJ70" s="72"/>
      <c r="CK70" s="72"/>
      <c r="CL70" s="72"/>
      <c r="CM70" s="72"/>
      <c r="CN70" s="72"/>
      <c r="CO70" s="72"/>
      <c r="CP70" s="72"/>
      <c r="CQ70" s="72"/>
      <c r="CR70" s="72"/>
      <c r="CS70" s="72"/>
      <c r="CT70" s="72"/>
      <c r="CU70" s="72"/>
      <c r="CV70" s="72"/>
      <c r="CW70" s="72"/>
      <c r="CX70" s="72"/>
      <c r="CY70" s="72"/>
      <c r="CZ70" s="72"/>
      <c r="DA70" s="72"/>
      <c r="DB70" s="72"/>
      <c r="DC70" s="72"/>
      <c r="DD70" s="72"/>
      <c r="DE70" s="72"/>
      <c r="DF70" s="72"/>
      <c r="DG70" s="72"/>
      <c r="DH70" s="72"/>
      <c r="DI70" s="72"/>
      <c r="DJ70" s="72"/>
      <c r="DK70" s="72"/>
      <c r="DL70" s="72"/>
      <c r="DM70" s="72"/>
      <c r="DN70" s="72"/>
      <c r="DO70" s="72"/>
      <c r="DP70" s="72"/>
      <c r="DQ70" s="72"/>
      <c r="DR70" s="72"/>
      <c r="DS70" s="72"/>
      <c r="DT70" s="72"/>
      <c r="DU70" s="72"/>
      <c r="DV70" s="72"/>
      <c r="DW70" s="72"/>
      <c r="DX70" s="72"/>
      <c r="DY70" s="72"/>
      <c r="DZ70" s="72"/>
      <c r="EA70" s="72"/>
      <c r="EB70" s="72"/>
      <c r="EC70" s="72"/>
      <c r="ED70" s="72"/>
      <c r="EE70" s="72"/>
      <c r="EF70" s="72"/>
      <c r="EG70" s="72"/>
      <c r="EH70" s="72"/>
      <c r="EI70" s="72"/>
      <c r="EJ70" s="72"/>
      <c r="EK70" s="72"/>
      <c r="EL70" s="72"/>
      <c r="EM70" s="72"/>
      <c r="EN70" s="72"/>
      <c r="EO70" s="72"/>
      <c r="EP70" s="72"/>
      <c r="EQ70" s="72"/>
      <c r="ER70" s="72"/>
      <c r="ES70" s="72"/>
      <c r="ET70" s="72"/>
      <c r="EU70" s="72"/>
      <c r="EV70" s="72"/>
      <c r="EW70" s="72"/>
      <c r="EX70" s="72"/>
      <c r="EY70" s="72"/>
      <c r="EZ70" s="72"/>
      <c r="FA70" s="72"/>
      <c r="FB70" s="72"/>
      <c r="FC70" s="72"/>
      <c r="FD70" s="72"/>
      <c r="FE70" s="72"/>
      <c r="FF70" s="72"/>
      <c r="FG70" s="72"/>
      <c r="FH70" s="72"/>
      <c r="FI70" s="72"/>
      <c r="FJ70" s="72"/>
      <c r="FK70" s="72"/>
      <c r="FL70" s="72"/>
      <c r="FM70" s="72"/>
      <c r="FN70" s="72"/>
      <c r="FO70" s="72"/>
      <c r="FP70" s="72"/>
      <c r="FQ70" s="72"/>
      <c r="FR70" s="72"/>
      <c r="FS70" s="72"/>
      <c r="FT70" s="72"/>
      <c r="FU70" s="72"/>
      <c r="FV70" s="72"/>
      <c r="FW70" s="72"/>
      <c r="FX70" s="72"/>
      <c r="FY70" s="72"/>
      <c r="FZ70" s="72"/>
      <c r="GA70" s="72"/>
      <c r="GB70" s="72"/>
      <c r="GC70" s="72"/>
      <c r="GD70" s="72"/>
      <c r="GE70" s="72"/>
      <c r="GF70" s="72"/>
      <c r="GG70" s="72"/>
      <c r="GH70" s="72"/>
      <c r="GI70" s="72"/>
      <c r="GJ70" s="72"/>
      <c r="GK70" s="72"/>
      <c r="GL70" s="72"/>
      <c r="GM70" s="72"/>
      <c r="GN70" s="72"/>
      <c r="GO70" s="72"/>
      <c r="GP70" s="72"/>
      <c r="GQ70" s="72"/>
      <c r="GR70" s="72"/>
      <c r="GS70" s="72"/>
      <c r="GT70" s="72"/>
      <c r="GU70" s="72"/>
      <c r="GV70" s="72"/>
      <c r="GW70" s="72"/>
      <c r="GX70" s="72"/>
      <c r="GY70" s="72"/>
      <c r="GZ70" s="72"/>
      <c r="HA70" s="72"/>
      <c r="HB70" s="72"/>
      <c r="HC70" s="72"/>
      <c r="HD70" s="72"/>
      <c r="HE70" s="72"/>
      <c r="HF70" s="72"/>
      <c r="HG70" s="72"/>
      <c r="HH70" s="72"/>
      <c r="HI70" s="72"/>
      <c r="HJ70" s="72"/>
      <c r="HK70" s="72"/>
      <c r="HL70" s="72"/>
      <c r="HM70" s="72"/>
      <c r="HN70" s="72"/>
      <c r="HO70" s="72"/>
      <c r="HP70" s="72"/>
      <c r="HQ70" s="72"/>
      <c r="HR70" s="72"/>
      <c r="HS70" s="72"/>
      <c r="HT70" s="72"/>
      <c r="HU70" s="72"/>
      <c r="HV70" s="72"/>
      <c r="HW70" s="72"/>
      <c r="HX70" s="72"/>
      <c r="HY70" s="72"/>
      <c r="HZ70" s="72"/>
      <c r="IA70" s="72"/>
      <c r="IB70" s="72"/>
      <c r="IC70" s="72"/>
      <c r="ID70" s="72"/>
      <c r="IE70" s="72"/>
      <c r="IF70" s="72"/>
      <c r="IG70" s="72"/>
      <c r="IH70" s="72"/>
      <c r="II70" s="72"/>
      <c r="IJ70" s="72"/>
      <c r="IK70" s="72"/>
      <c r="IL70" s="72"/>
      <c r="IM70" s="72"/>
      <c r="IN70" s="72"/>
      <c r="IO70" s="72"/>
    </row>
    <row r="71" spans="2:249">
      <c r="B71" s="59" t="s">
        <v>453</v>
      </c>
      <c r="C71" s="59" t="s">
        <v>523</v>
      </c>
      <c r="D71" s="91"/>
      <c r="E71" s="92"/>
      <c r="F71" s="93"/>
      <c r="G71" s="94"/>
      <c r="H71" s="94"/>
      <c r="I71" s="94"/>
      <c r="J71" s="94"/>
      <c r="K71" s="94"/>
      <c r="L71" s="94"/>
      <c r="M71" s="93"/>
      <c r="N71" s="92"/>
      <c r="O71" s="94"/>
      <c r="P71" s="94"/>
      <c r="Q71" s="94"/>
      <c r="R71" s="93"/>
      <c r="S71" s="92"/>
      <c r="T71" s="94"/>
      <c r="U71" s="94"/>
      <c r="V71" s="94"/>
      <c r="W71" s="94"/>
      <c r="X71" s="94"/>
      <c r="Y71" s="94"/>
      <c r="Z71" s="94"/>
      <c r="AA71" s="94"/>
      <c r="AB71" s="94"/>
      <c r="AC71" s="94"/>
      <c r="AD71" s="94"/>
      <c r="AE71" s="95"/>
      <c r="AF71" s="92"/>
      <c r="AG71" s="94"/>
      <c r="AH71" s="94"/>
      <c r="AI71" s="94"/>
      <c r="AJ71" s="94"/>
      <c r="AK71" s="95"/>
      <c r="AL71" s="94"/>
      <c r="AM71" s="94"/>
      <c r="AN71" s="94"/>
      <c r="AO71" s="94"/>
      <c r="AP71" s="94"/>
      <c r="AQ71" s="94"/>
      <c r="AR71" s="94"/>
      <c r="AS71" s="94"/>
      <c r="AT71" s="94"/>
      <c r="AU71" s="94"/>
      <c r="AV71" s="94"/>
      <c r="AW71" s="94"/>
      <c r="AX71" s="94"/>
      <c r="AY71" s="94"/>
      <c r="AZ71" s="94"/>
      <c r="BA71" s="94"/>
      <c r="BB71" s="94"/>
      <c r="BC71" s="94"/>
      <c r="BD71" s="94"/>
      <c r="BE71" s="94"/>
      <c r="BF71" s="94"/>
      <c r="BG71" s="94"/>
      <c r="BH71" s="94"/>
      <c r="BI71" s="94"/>
      <c r="BJ71" s="94"/>
      <c r="BK71" s="94"/>
      <c r="BL71" s="94"/>
      <c r="BM71" s="94"/>
      <c r="BN71" s="94"/>
      <c r="BO71" s="94"/>
      <c r="BP71" s="94"/>
      <c r="BQ71" s="94"/>
      <c r="BR71" s="94"/>
      <c r="BS71" s="94"/>
      <c r="BT71" s="94"/>
      <c r="BU71" s="94"/>
      <c r="BV71" s="94"/>
      <c r="BW71" s="94"/>
      <c r="BX71" s="94"/>
      <c r="BY71" s="94"/>
      <c r="BZ71" s="94"/>
      <c r="CA71" s="94"/>
      <c r="CB71" s="94"/>
      <c r="CC71" s="94"/>
      <c r="CD71" s="94"/>
      <c r="CE71" s="94"/>
      <c r="CF71" s="94"/>
      <c r="CG71" s="94"/>
      <c r="CH71" s="94"/>
      <c r="CI71" s="94"/>
      <c r="CJ71" s="94"/>
      <c r="CK71" s="94"/>
      <c r="CL71" s="94"/>
      <c r="CM71" s="94"/>
      <c r="CN71" s="94"/>
      <c r="CO71" s="94"/>
      <c r="CP71" s="94"/>
      <c r="CQ71" s="94"/>
      <c r="CR71" s="94"/>
      <c r="CS71" s="94"/>
      <c r="CT71" s="94"/>
      <c r="CU71" s="94"/>
      <c r="CV71" s="94"/>
      <c r="CW71" s="94"/>
      <c r="CX71" s="94"/>
      <c r="CY71" s="94"/>
      <c r="CZ71" s="94"/>
      <c r="DA71" s="94"/>
      <c r="DB71" s="94"/>
      <c r="DC71" s="94"/>
      <c r="DD71" s="94"/>
      <c r="DE71" s="94"/>
      <c r="DF71" s="94"/>
      <c r="DG71" s="94"/>
      <c r="DH71" s="94"/>
      <c r="DI71" s="94"/>
      <c r="DJ71" s="94"/>
      <c r="DK71" s="94"/>
      <c r="DL71" s="94"/>
      <c r="DM71" s="94"/>
      <c r="DN71" s="94"/>
      <c r="DO71" s="94"/>
      <c r="DP71" s="94"/>
      <c r="DQ71" s="94"/>
      <c r="DR71" s="94"/>
      <c r="DS71" s="94"/>
      <c r="DT71" s="94"/>
      <c r="DU71" s="94"/>
      <c r="DV71" s="94"/>
      <c r="DW71" s="94"/>
      <c r="DX71" s="94"/>
      <c r="DY71" s="94"/>
      <c r="DZ71" s="94"/>
      <c r="EA71" s="94"/>
      <c r="EB71" s="94"/>
      <c r="EC71" s="94"/>
      <c r="ED71" s="94"/>
      <c r="EE71" s="94"/>
      <c r="EF71" s="94"/>
      <c r="EG71" s="94"/>
      <c r="EH71" s="94"/>
      <c r="EI71" s="94"/>
      <c r="EJ71" s="94"/>
      <c r="EK71" s="94"/>
      <c r="EL71" s="94"/>
      <c r="EM71" s="94"/>
      <c r="EN71" s="94"/>
      <c r="EO71" s="94"/>
      <c r="EP71" s="94"/>
      <c r="EQ71" s="94"/>
      <c r="ER71" s="94"/>
      <c r="ES71" s="94"/>
      <c r="ET71" s="94"/>
      <c r="EU71" s="94"/>
      <c r="EV71" s="94"/>
      <c r="EW71" s="94"/>
      <c r="EX71" s="94"/>
      <c r="EY71" s="94"/>
      <c r="EZ71" s="94"/>
      <c r="FA71" s="94"/>
      <c r="FB71" s="94"/>
      <c r="FC71" s="94"/>
      <c r="FD71" s="94"/>
      <c r="FE71" s="94"/>
      <c r="FF71" s="94"/>
      <c r="FG71" s="94"/>
      <c r="FH71" s="94"/>
      <c r="FI71" s="94"/>
      <c r="FJ71" s="94"/>
      <c r="FK71" s="94"/>
      <c r="FL71" s="94"/>
      <c r="FM71" s="94"/>
      <c r="FN71" s="94"/>
      <c r="FO71" s="94"/>
      <c r="FP71" s="94"/>
      <c r="FQ71" s="94"/>
      <c r="FR71" s="94"/>
      <c r="FS71" s="94"/>
      <c r="FT71" s="94"/>
      <c r="FU71" s="94"/>
      <c r="FV71" s="94"/>
      <c r="FW71" s="94"/>
      <c r="FX71" s="94"/>
      <c r="FY71" s="94"/>
      <c r="FZ71" s="94"/>
      <c r="GA71" s="94"/>
      <c r="GB71" s="94"/>
      <c r="GC71" s="94"/>
      <c r="GD71" s="94"/>
      <c r="GE71" s="94"/>
      <c r="GF71" s="94"/>
      <c r="GG71" s="94"/>
      <c r="GH71" s="94"/>
      <c r="GI71" s="94"/>
      <c r="GJ71" s="94"/>
      <c r="GK71" s="94"/>
      <c r="GL71" s="94"/>
      <c r="GM71" s="94"/>
      <c r="GN71" s="94"/>
      <c r="GO71" s="94"/>
      <c r="GP71" s="94"/>
      <c r="GQ71" s="94"/>
      <c r="GR71" s="94"/>
      <c r="GS71" s="94"/>
      <c r="GT71" s="94"/>
      <c r="GU71" s="94"/>
      <c r="GV71" s="94"/>
      <c r="GW71" s="94"/>
      <c r="GX71" s="94"/>
      <c r="GY71" s="94"/>
      <c r="GZ71" s="94"/>
      <c r="HA71" s="94"/>
      <c r="HB71" s="94"/>
      <c r="HC71" s="94"/>
      <c r="HD71" s="94"/>
      <c r="HE71" s="94"/>
      <c r="HF71" s="94"/>
      <c r="HG71" s="94"/>
      <c r="HH71" s="94"/>
      <c r="HI71" s="94"/>
      <c r="HJ71" s="94"/>
      <c r="HK71" s="94"/>
      <c r="HL71" s="94"/>
      <c r="HM71" s="94"/>
      <c r="HN71" s="94"/>
      <c r="HO71" s="94"/>
      <c r="HP71" s="94"/>
      <c r="HQ71" s="94"/>
      <c r="HR71" s="94"/>
      <c r="HS71" s="94"/>
      <c r="HT71" s="94"/>
      <c r="HU71" s="94"/>
      <c r="HV71" s="94"/>
      <c r="HW71" s="94"/>
      <c r="HX71" s="94"/>
      <c r="HY71" s="94"/>
      <c r="HZ71" s="94"/>
      <c r="IA71" s="94"/>
      <c r="IB71" s="94"/>
      <c r="IC71" s="94"/>
      <c r="ID71" s="94"/>
      <c r="IE71" s="94"/>
      <c r="IF71" s="94"/>
      <c r="IG71" s="94"/>
      <c r="IH71" s="94"/>
      <c r="II71" s="94"/>
      <c r="IJ71" s="94"/>
      <c r="IK71" s="94"/>
      <c r="IL71" s="94"/>
      <c r="IM71" s="94"/>
      <c r="IN71" s="94"/>
      <c r="IO71" s="94"/>
    </row>
    <row r="72" spans="2:249">
      <c r="B72" s="110"/>
      <c r="C72" s="62" t="s">
        <v>522</v>
      </c>
      <c r="D72" s="69" t="s">
        <v>360</v>
      </c>
      <c r="E72" s="70" t="s">
        <v>360</v>
      </c>
      <c r="F72" s="71" t="s">
        <v>360</v>
      </c>
      <c r="G72" s="72" t="s">
        <v>360</v>
      </c>
      <c r="H72" s="72" t="s">
        <v>360</v>
      </c>
      <c r="I72" s="72" t="s">
        <v>360</v>
      </c>
      <c r="J72" s="72" t="s">
        <v>360</v>
      </c>
      <c r="K72" s="72" t="s">
        <v>360</v>
      </c>
      <c r="L72" s="72" t="s">
        <v>360</v>
      </c>
      <c r="M72" s="71" t="s">
        <v>360</v>
      </c>
      <c r="N72" s="88" t="s">
        <v>360</v>
      </c>
      <c r="O72" s="87" t="s">
        <v>360</v>
      </c>
      <c r="P72" s="87" t="s">
        <v>360</v>
      </c>
      <c r="Q72" s="87" t="s">
        <v>360</v>
      </c>
      <c r="R72" s="166" t="s">
        <v>360</v>
      </c>
      <c r="S72" s="70" t="s">
        <v>360</v>
      </c>
      <c r="T72" s="72" t="s">
        <v>360</v>
      </c>
      <c r="U72" s="72" t="s">
        <v>360</v>
      </c>
      <c r="V72" s="72" t="s">
        <v>360</v>
      </c>
      <c r="W72" s="72" t="s">
        <v>360</v>
      </c>
      <c r="X72" s="72" t="s">
        <v>360</v>
      </c>
      <c r="Y72" s="72" t="s">
        <v>360</v>
      </c>
      <c r="Z72" s="72" t="s">
        <v>360</v>
      </c>
      <c r="AA72" s="72" t="s">
        <v>360</v>
      </c>
      <c r="AB72" s="72" t="s">
        <v>360</v>
      </c>
      <c r="AC72" s="72" t="s">
        <v>360</v>
      </c>
      <c r="AD72" s="72" t="s">
        <v>360</v>
      </c>
      <c r="AE72" s="73" t="s">
        <v>360</v>
      </c>
      <c r="AF72" s="70" t="s">
        <v>360</v>
      </c>
      <c r="AG72" s="72" t="s">
        <v>360</v>
      </c>
      <c r="AH72" s="72" t="s">
        <v>360</v>
      </c>
      <c r="AI72" s="72" t="s">
        <v>360</v>
      </c>
      <c r="AJ72" s="72" t="s">
        <v>360</v>
      </c>
      <c r="AK72" s="73" t="s">
        <v>360</v>
      </c>
      <c r="AL72" s="72"/>
      <c r="AM72" s="72"/>
      <c r="AN72" s="72"/>
      <c r="AO72" s="72"/>
      <c r="AP72" s="72"/>
      <c r="AQ72" s="72"/>
      <c r="AR72" s="72"/>
      <c r="AS72" s="72"/>
      <c r="AT72" s="72"/>
      <c r="AU72" s="72"/>
      <c r="AV72" s="72"/>
      <c r="AW72" s="72"/>
      <c r="AX72" s="72"/>
      <c r="AY72" s="72"/>
      <c r="AZ72" s="72"/>
      <c r="BA72" s="72"/>
      <c r="BB72" s="72"/>
      <c r="BC72" s="72"/>
      <c r="BD72" s="72"/>
      <c r="BE72" s="72"/>
      <c r="BF72" s="72"/>
      <c r="BG72" s="72"/>
      <c r="BH72" s="72"/>
      <c r="BI72" s="72"/>
      <c r="BJ72" s="72"/>
      <c r="BK72" s="72"/>
      <c r="BL72" s="72"/>
      <c r="BM72" s="72"/>
      <c r="BN72" s="72"/>
      <c r="BO72" s="72"/>
      <c r="BP72" s="72"/>
      <c r="BQ72" s="72"/>
      <c r="BR72" s="72"/>
      <c r="BS72" s="72"/>
      <c r="BT72" s="72"/>
      <c r="BU72" s="72"/>
      <c r="BV72" s="72"/>
      <c r="BW72" s="72"/>
      <c r="BX72" s="72"/>
      <c r="BY72" s="72"/>
      <c r="BZ72" s="72"/>
      <c r="CA72" s="72"/>
      <c r="CB72" s="72"/>
      <c r="CC72" s="72"/>
      <c r="CD72" s="72"/>
      <c r="CE72" s="72"/>
      <c r="CF72" s="72"/>
      <c r="CG72" s="72"/>
      <c r="CH72" s="72"/>
      <c r="CI72" s="72"/>
      <c r="CJ72" s="72"/>
      <c r="CK72" s="72"/>
      <c r="CL72" s="72"/>
      <c r="CM72" s="72"/>
      <c r="CN72" s="72"/>
      <c r="CO72" s="72"/>
      <c r="CP72" s="72"/>
      <c r="CQ72" s="72"/>
      <c r="CR72" s="72"/>
      <c r="CS72" s="72"/>
      <c r="CT72" s="72"/>
      <c r="CU72" s="72"/>
      <c r="CV72" s="72"/>
      <c r="CW72" s="72"/>
      <c r="CX72" s="72"/>
      <c r="CY72" s="72"/>
      <c r="CZ72" s="72"/>
      <c r="DA72" s="72"/>
      <c r="DB72" s="72"/>
      <c r="DC72" s="72"/>
      <c r="DD72" s="72"/>
      <c r="DE72" s="72"/>
      <c r="DF72" s="72"/>
      <c r="DG72" s="72"/>
      <c r="DH72" s="72"/>
      <c r="DI72" s="72"/>
      <c r="DJ72" s="72"/>
      <c r="DK72" s="72"/>
      <c r="DL72" s="72"/>
      <c r="DM72" s="72"/>
      <c r="DN72" s="72"/>
      <c r="DO72" s="72"/>
      <c r="DP72" s="72"/>
      <c r="DQ72" s="72"/>
      <c r="DR72" s="72"/>
      <c r="DS72" s="72"/>
      <c r="DT72" s="72"/>
      <c r="DU72" s="72"/>
      <c r="DV72" s="72"/>
      <c r="DW72" s="72"/>
      <c r="DX72" s="72"/>
      <c r="DY72" s="72"/>
      <c r="DZ72" s="72"/>
      <c r="EA72" s="72"/>
      <c r="EB72" s="72"/>
      <c r="EC72" s="72"/>
      <c r="ED72" s="72"/>
      <c r="EE72" s="72"/>
      <c r="EF72" s="72"/>
      <c r="EG72" s="72"/>
      <c r="EH72" s="72"/>
      <c r="EI72" s="72"/>
      <c r="EJ72" s="72"/>
      <c r="EK72" s="72"/>
      <c r="EL72" s="72"/>
      <c r="EM72" s="72"/>
      <c r="EN72" s="72"/>
      <c r="EO72" s="72"/>
      <c r="EP72" s="72"/>
      <c r="EQ72" s="72"/>
      <c r="ER72" s="72"/>
      <c r="ES72" s="72"/>
      <c r="ET72" s="72"/>
      <c r="EU72" s="72"/>
      <c r="EV72" s="72"/>
      <c r="EW72" s="72"/>
      <c r="EX72" s="72"/>
      <c r="EY72" s="72"/>
      <c r="EZ72" s="72"/>
      <c r="FA72" s="72"/>
      <c r="FB72" s="72"/>
      <c r="FC72" s="72"/>
      <c r="FD72" s="72"/>
      <c r="FE72" s="72"/>
      <c r="FF72" s="72"/>
      <c r="FG72" s="72"/>
      <c r="FH72" s="72"/>
      <c r="FI72" s="72"/>
      <c r="FJ72" s="72"/>
      <c r="FK72" s="72"/>
      <c r="FL72" s="72"/>
      <c r="FM72" s="72"/>
      <c r="FN72" s="72"/>
      <c r="FO72" s="72"/>
      <c r="FP72" s="72"/>
      <c r="FQ72" s="72"/>
      <c r="FR72" s="72"/>
      <c r="FS72" s="72"/>
      <c r="FT72" s="72"/>
      <c r="FU72" s="72"/>
      <c r="FV72" s="72"/>
      <c r="FW72" s="72"/>
      <c r="FX72" s="72"/>
      <c r="FY72" s="72"/>
      <c r="FZ72" s="72"/>
      <c r="GA72" s="72"/>
      <c r="GB72" s="72"/>
      <c r="GC72" s="72"/>
      <c r="GD72" s="72"/>
      <c r="GE72" s="72"/>
      <c r="GF72" s="72"/>
      <c r="GG72" s="72"/>
      <c r="GH72" s="72"/>
      <c r="GI72" s="72"/>
      <c r="GJ72" s="72"/>
      <c r="GK72" s="72"/>
      <c r="GL72" s="72"/>
      <c r="GM72" s="72"/>
      <c r="GN72" s="72"/>
      <c r="GO72" s="72"/>
      <c r="GP72" s="72"/>
      <c r="GQ72" s="72"/>
      <c r="GR72" s="72"/>
      <c r="GS72" s="72"/>
      <c r="GT72" s="72"/>
      <c r="GU72" s="72"/>
      <c r="GV72" s="72"/>
      <c r="GW72" s="72"/>
      <c r="GX72" s="72"/>
      <c r="GY72" s="72"/>
      <c r="GZ72" s="72"/>
      <c r="HA72" s="72"/>
      <c r="HB72" s="72"/>
      <c r="HC72" s="72"/>
      <c r="HD72" s="72"/>
      <c r="HE72" s="72"/>
      <c r="HF72" s="72"/>
      <c r="HG72" s="72"/>
      <c r="HH72" s="72"/>
      <c r="HI72" s="72"/>
      <c r="HJ72" s="72"/>
      <c r="HK72" s="72"/>
      <c r="HL72" s="72"/>
      <c r="HM72" s="72"/>
      <c r="HN72" s="72"/>
      <c r="HO72" s="72"/>
      <c r="HP72" s="72"/>
      <c r="HQ72" s="72"/>
      <c r="HR72" s="72"/>
      <c r="HS72" s="72"/>
      <c r="HT72" s="72"/>
      <c r="HU72" s="72"/>
      <c r="HV72" s="72"/>
      <c r="HW72" s="72"/>
      <c r="HX72" s="72"/>
      <c r="HY72" s="72"/>
      <c r="HZ72" s="72"/>
      <c r="IA72" s="72"/>
      <c r="IB72" s="72"/>
      <c r="IC72" s="72"/>
      <c r="ID72" s="72"/>
      <c r="IE72" s="72"/>
      <c r="IF72" s="72"/>
      <c r="IG72" s="72"/>
      <c r="IH72" s="72"/>
      <c r="II72" s="72"/>
      <c r="IJ72" s="72"/>
      <c r="IK72" s="72"/>
      <c r="IL72" s="72"/>
      <c r="IM72" s="72"/>
      <c r="IN72" s="72"/>
      <c r="IO72" s="72"/>
    </row>
    <row r="73" spans="2:249">
      <c r="B73" s="110"/>
      <c r="C73" s="62" t="s">
        <v>798</v>
      </c>
      <c r="D73" s="69"/>
      <c r="E73" s="70"/>
      <c r="F73" s="71"/>
      <c r="G73" s="72"/>
      <c r="H73" s="72"/>
      <c r="I73" s="72"/>
      <c r="J73" s="72"/>
      <c r="K73" s="72"/>
      <c r="L73" s="72"/>
      <c r="M73" s="71"/>
      <c r="N73" s="88"/>
      <c r="O73" s="87"/>
      <c r="P73" s="87"/>
      <c r="Q73" s="87"/>
      <c r="R73" s="166"/>
      <c r="S73" s="70"/>
      <c r="T73" s="72"/>
      <c r="U73" s="72"/>
      <c r="V73" s="72"/>
      <c r="W73" s="72"/>
      <c r="X73" s="72"/>
      <c r="Y73" s="72"/>
      <c r="Z73" s="72"/>
      <c r="AA73" s="72"/>
      <c r="AB73" s="72"/>
      <c r="AC73" s="72"/>
      <c r="AD73" s="72"/>
      <c r="AE73" s="73"/>
      <c r="AF73" s="70"/>
      <c r="AG73" s="72"/>
      <c r="AH73" s="72"/>
      <c r="AI73" s="72"/>
      <c r="AJ73" s="72"/>
      <c r="AK73" s="73"/>
      <c r="AL73" s="72" t="s">
        <v>360</v>
      </c>
      <c r="AM73" s="72" t="s">
        <v>360</v>
      </c>
      <c r="AN73" s="72" t="s">
        <v>360</v>
      </c>
      <c r="AO73" s="72" t="s">
        <v>360</v>
      </c>
      <c r="AP73" s="72" t="s">
        <v>360</v>
      </c>
      <c r="AQ73" s="72"/>
      <c r="AR73" s="72"/>
      <c r="AS73" s="72"/>
      <c r="AT73" s="72"/>
      <c r="AU73" s="72"/>
      <c r="AV73" s="72"/>
      <c r="AW73" s="72"/>
      <c r="AX73" s="72"/>
      <c r="AY73" s="72" t="s">
        <v>360</v>
      </c>
      <c r="AZ73" s="72"/>
      <c r="BA73" s="72"/>
      <c r="BB73" s="72"/>
      <c r="BC73" s="72"/>
      <c r="BD73" s="72"/>
      <c r="BE73" s="72"/>
      <c r="BF73" s="72"/>
      <c r="BG73" s="72"/>
      <c r="BH73" s="72" t="s">
        <v>360</v>
      </c>
      <c r="BI73" s="72"/>
      <c r="BJ73" s="72"/>
      <c r="BK73" s="72"/>
      <c r="BL73" s="72"/>
      <c r="BM73" s="72"/>
      <c r="BN73" s="72"/>
      <c r="BO73" s="72"/>
      <c r="BP73" s="72"/>
      <c r="BQ73" s="72" t="s">
        <v>360</v>
      </c>
      <c r="BR73" s="72"/>
      <c r="BS73" s="72"/>
      <c r="BT73" s="72"/>
      <c r="BU73" s="72"/>
      <c r="BV73" s="72"/>
      <c r="BW73" s="72"/>
      <c r="BX73" s="72"/>
      <c r="BY73" s="72"/>
      <c r="BZ73" s="72" t="s">
        <v>360</v>
      </c>
      <c r="CA73" s="72"/>
      <c r="CB73" s="72"/>
      <c r="CC73" s="72"/>
      <c r="CD73" s="72"/>
      <c r="CE73" s="72"/>
      <c r="CF73" s="72"/>
      <c r="CG73" s="72"/>
      <c r="CH73" s="72"/>
      <c r="CI73" s="72"/>
      <c r="CJ73" s="72"/>
      <c r="CK73" s="72"/>
      <c r="CL73" s="72"/>
      <c r="CM73" s="72"/>
      <c r="CN73" s="72"/>
      <c r="CO73" s="72"/>
      <c r="CP73" s="72"/>
      <c r="CQ73" s="72"/>
      <c r="CR73" s="72"/>
      <c r="CS73" s="72"/>
      <c r="CT73" s="72"/>
      <c r="CU73" s="72"/>
      <c r="CV73" s="72"/>
      <c r="CW73" s="72"/>
      <c r="CX73" s="72"/>
      <c r="CY73" s="72"/>
      <c r="CZ73" s="72"/>
      <c r="DA73" s="72"/>
      <c r="DB73" s="72"/>
      <c r="DC73" s="72"/>
      <c r="DD73" s="72"/>
      <c r="DE73" s="72"/>
      <c r="DF73" s="72"/>
      <c r="DG73" s="72"/>
      <c r="DH73" s="72"/>
      <c r="DI73" s="72"/>
      <c r="DJ73" s="72"/>
      <c r="DK73" s="72"/>
      <c r="DL73" s="72"/>
      <c r="DM73" s="72"/>
      <c r="DN73" s="72"/>
      <c r="DO73" s="72"/>
      <c r="DP73" s="72"/>
      <c r="DQ73" s="72"/>
      <c r="DR73" s="72"/>
      <c r="DS73" s="72"/>
      <c r="DT73" s="72"/>
      <c r="DU73" s="72"/>
      <c r="DV73" s="72"/>
      <c r="DW73" s="72"/>
      <c r="DX73" s="72"/>
      <c r="DY73" s="72"/>
      <c r="DZ73" s="72"/>
      <c r="EA73" s="72"/>
      <c r="EB73" s="72"/>
      <c r="EC73" s="72"/>
      <c r="ED73" s="72"/>
      <c r="EE73" s="72"/>
      <c r="EF73" s="72"/>
      <c r="EG73" s="72"/>
      <c r="EH73" s="72"/>
      <c r="EI73" s="72"/>
      <c r="EJ73" s="72"/>
      <c r="EK73" s="72"/>
      <c r="EL73" s="72"/>
      <c r="EM73" s="72"/>
      <c r="EN73" s="72"/>
      <c r="EO73" s="72"/>
      <c r="EP73" s="72"/>
      <c r="EQ73" s="72"/>
      <c r="ER73" s="72"/>
      <c r="ES73" s="72"/>
      <c r="ET73" s="72"/>
      <c r="EU73" s="72"/>
      <c r="EV73" s="72"/>
      <c r="EW73" s="72"/>
      <c r="EX73" s="72"/>
      <c r="EY73" s="72"/>
      <c r="EZ73" s="72"/>
      <c r="FA73" s="72"/>
      <c r="FB73" s="72"/>
      <c r="FC73" s="72"/>
      <c r="FD73" s="72"/>
      <c r="FE73" s="72"/>
      <c r="FF73" s="72"/>
      <c r="FG73" s="72"/>
      <c r="FH73" s="72"/>
      <c r="FI73" s="72"/>
      <c r="FJ73" s="72"/>
      <c r="FK73" s="72"/>
      <c r="FL73" s="72"/>
      <c r="FM73" s="72"/>
      <c r="FN73" s="72"/>
      <c r="FO73" s="72"/>
      <c r="FP73" s="72"/>
      <c r="FQ73" s="72"/>
      <c r="FR73" s="72"/>
      <c r="FS73" s="72"/>
      <c r="FT73" s="72"/>
      <c r="FU73" s="72"/>
      <c r="FV73" s="72"/>
      <c r="FW73" s="72"/>
      <c r="FX73" s="72"/>
      <c r="FY73" s="72"/>
      <c r="FZ73" s="72"/>
      <c r="GA73" s="72"/>
      <c r="GB73" s="72"/>
      <c r="GC73" s="72"/>
      <c r="GD73" s="72"/>
      <c r="GE73" s="72"/>
      <c r="GF73" s="72"/>
      <c r="GG73" s="72"/>
      <c r="GH73" s="72"/>
      <c r="GI73" s="72"/>
      <c r="GJ73" s="72"/>
      <c r="GK73" s="72"/>
      <c r="GL73" s="72"/>
      <c r="GM73" s="72"/>
      <c r="GN73" s="72"/>
      <c r="GO73" s="72"/>
      <c r="GP73" s="72"/>
      <c r="GQ73" s="72"/>
      <c r="GR73" s="72"/>
      <c r="GS73" s="72"/>
      <c r="GT73" s="72"/>
      <c r="GU73" s="72"/>
      <c r="GV73" s="72"/>
      <c r="GW73" s="72"/>
      <c r="GX73" s="72"/>
      <c r="GY73" s="72"/>
      <c r="GZ73" s="72"/>
      <c r="HA73" s="72"/>
      <c r="HB73" s="72"/>
      <c r="HC73" s="72"/>
      <c r="HD73" s="72"/>
      <c r="HE73" s="72"/>
      <c r="HF73" s="72"/>
      <c r="HG73" s="72"/>
      <c r="HH73" s="72"/>
      <c r="HI73" s="72"/>
      <c r="HJ73" s="72"/>
      <c r="HK73" s="72"/>
      <c r="HL73" s="72"/>
      <c r="HM73" s="72"/>
      <c r="HN73" s="72"/>
      <c r="HO73" s="72"/>
      <c r="HP73" s="72"/>
      <c r="HQ73" s="72"/>
      <c r="HR73" s="72"/>
      <c r="HS73" s="72"/>
      <c r="HT73" s="72"/>
      <c r="HU73" s="72"/>
      <c r="HV73" s="72"/>
      <c r="HW73" s="72"/>
      <c r="HX73" s="72"/>
      <c r="HY73" s="72"/>
      <c r="HZ73" s="72"/>
      <c r="IA73" s="72"/>
      <c r="IB73" s="72"/>
      <c r="IC73" s="72"/>
      <c r="ID73" s="72"/>
      <c r="IE73" s="72"/>
      <c r="IF73" s="72"/>
      <c r="IG73" s="72"/>
      <c r="IH73" s="72"/>
      <c r="II73" s="72"/>
      <c r="IJ73" s="72"/>
      <c r="IK73" s="72"/>
      <c r="IL73" s="72"/>
      <c r="IM73" s="72"/>
      <c r="IN73" s="72"/>
      <c r="IO73" s="72"/>
    </row>
    <row r="74" spans="2:249">
      <c r="B74" s="110"/>
      <c r="C74" s="86" t="s">
        <v>799</v>
      </c>
      <c r="D74" s="69"/>
      <c r="E74" s="70"/>
      <c r="F74" s="71"/>
      <c r="G74" s="72"/>
      <c r="H74" s="72"/>
      <c r="I74" s="72"/>
      <c r="J74" s="72"/>
      <c r="K74" s="72"/>
      <c r="L74" s="72"/>
      <c r="M74" s="71"/>
      <c r="N74" s="88"/>
      <c r="O74" s="87"/>
      <c r="P74" s="87"/>
      <c r="Q74" s="87"/>
      <c r="R74" s="166"/>
      <c r="S74" s="70"/>
      <c r="T74" s="72"/>
      <c r="U74" s="72"/>
      <c r="V74" s="72"/>
      <c r="W74" s="72"/>
      <c r="X74" s="72"/>
      <c r="Y74" s="72"/>
      <c r="Z74" s="72"/>
      <c r="AA74" s="72"/>
      <c r="AB74" s="72"/>
      <c r="AC74" s="72"/>
      <c r="AD74" s="72"/>
      <c r="AE74" s="73"/>
      <c r="AF74" s="70"/>
      <c r="AG74" s="72"/>
      <c r="AH74" s="72"/>
      <c r="AI74" s="72"/>
      <c r="AJ74" s="72"/>
      <c r="AK74" s="73"/>
      <c r="AL74" s="72"/>
      <c r="AM74" s="72"/>
      <c r="AN74" s="72"/>
      <c r="AO74" s="72"/>
      <c r="AP74" s="72"/>
      <c r="AQ74" s="72" t="s">
        <v>360</v>
      </c>
      <c r="AR74" s="72"/>
      <c r="AS74" s="72"/>
      <c r="AT74" s="72"/>
      <c r="AU74" s="72" t="s">
        <v>360</v>
      </c>
      <c r="AV74" s="72" t="s">
        <v>360</v>
      </c>
      <c r="AW74" s="72" t="s">
        <v>360</v>
      </c>
      <c r="AX74" s="72" t="s">
        <v>360</v>
      </c>
      <c r="AY74" s="72"/>
      <c r="AZ74" s="72" t="s">
        <v>360</v>
      </c>
      <c r="BA74" s="72"/>
      <c r="BB74" s="72"/>
      <c r="BC74" s="72"/>
      <c r="BD74" s="72"/>
      <c r="BE74" s="72"/>
      <c r="BF74" s="72"/>
      <c r="BG74" s="72"/>
      <c r="BH74" s="72"/>
      <c r="BI74" s="72" t="s">
        <v>360</v>
      </c>
      <c r="BJ74" s="72"/>
      <c r="BK74" s="72"/>
      <c r="BL74" s="72"/>
      <c r="BM74" s="72"/>
      <c r="BN74" s="72"/>
      <c r="BO74" s="72"/>
      <c r="BP74" s="72"/>
      <c r="BQ74" s="72"/>
      <c r="BR74" s="72" t="s">
        <v>360</v>
      </c>
      <c r="BS74" s="72"/>
      <c r="BT74" s="72"/>
      <c r="BU74" s="72"/>
      <c r="BV74" s="72"/>
      <c r="BW74" s="72"/>
      <c r="BX74" s="72"/>
      <c r="BY74" s="72"/>
      <c r="BZ74" s="72"/>
      <c r="CA74" s="72" t="s">
        <v>360</v>
      </c>
      <c r="CB74" s="72"/>
      <c r="CC74" s="72"/>
      <c r="CD74" s="72"/>
      <c r="CE74" s="72"/>
      <c r="CF74" s="72"/>
      <c r="CG74" s="72"/>
      <c r="CH74" s="72"/>
      <c r="CI74" s="72"/>
      <c r="CJ74" s="72"/>
      <c r="CK74" s="72"/>
      <c r="CL74" s="72"/>
      <c r="CM74" s="72"/>
      <c r="CN74" s="72"/>
      <c r="CO74" s="72"/>
      <c r="CP74" s="72"/>
      <c r="CQ74" s="72"/>
      <c r="CR74" s="72"/>
      <c r="CS74" s="72"/>
      <c r="CT74" s="72"/>
      <c r="CU74" s="72"/>
      <c r="CV74" s="72"/>
      <c r="CW74" s="72"/>
      <c r="CX74" s="72"/>
      <c r="CY74" s="72"/>
      <c r="CZ74" s="72"/>
      <c r="DA74" s="72"/>
      <c r="DB74" s="72"/>
      <c r="DC74" s="72"/>
      <c r="DD74" s="72"/>
      <c r="DE74" s="72"/>
      <c r="DF74" s="72"/>
      <c r="DG74" s="72"/>
      <c r="DH74" s="72"/>
      <c r="DI74" s="72"/>
      <c r="DJ74" s="72"/>
      <c r="DK74" s="72"/>
      <c r="DL74" s="72"/>
      <c r="DM74" s="72"/>
      <c r="DN74" s="72"/>
      <c r="DO74" s="72"/>
      <c r="DP74" s="72"/>
      <c r="DQ74" s="72"/>
      <c r="DR74" s="72"/>
      <c r="DS74" s="72"/>
      <c r="DT74" s="72"/>
      <c r="DU74" s="72"/>
      <c r="DV74" s="72"/>
      <c r="DW74" s="72"/>
      <c r="DX74" s="72"/>
      <c r="DY74" s="72"/>
      <c r="DZ74" s="72"/>
      <c r="EA74" s="72"/>
      <c r="EB74" s="72"/>
      <c r="EC74" s="72"/>
      <c r="ED74" s="72"/>
      <c r="EE74" s="72"/>
      <c r="EF74" s="72"/>
      <c r="EG74" s="72"/>
      <c r="EH74" s="72"/>
      <c r="EI74" s="72"/>
      <c r="EJ74" s="72"/>
      <c r="EK74" s="72"/>
      <c r="EL74" s="72"/>
      <c r="EM74" s="72"/>
      <c r="EN74" s="72"/>
      <c r="EO74" s="72"/>
      <c r="EP74" s="72"/>
      <c r="EQ74" s="72"/>
      <c r="ER74" s="72"/>
      <c r="ES74" s="72"/>
      <c r="ET74" s="72"/>
      <c r="EU74" s="72"/>
      <c r="EV74" s="72"/>
      <c r="EW74" s="72"/>
      <c r="EX74" s="72"/>
      <c r="EY74" s="72"/>
      <c r="EZ74" s="72"/>
      <c r="FA74" s="72"/>
      <c r="FB74" s="72"/>
      <c r="FC74" s="72"/>
      <c r="FD74" s="72"/>
      <c r="FE74" s="72"/>
      <c r="FF74" s="72"/>
      <c r="FG74" s="72"/>
      <c r="FH74" s="72"/>
      <c r="FI74" s="72"/>
      <c r="FJ74" s="72"/>
      <c r="FK74" s="72"/>
      <c r="FL74" s="72"/>
      <c r="FM74" s="72"/>
      <c r="FN74" s="72"/>
      <c r="FO74" s="72"/>
      <c r="FP74" s="72"/>
      <c r="FQ74" s="72"/>
      <c r="FR74" s="72"/>
      <c r="FS74" s="72"/>
      <c r="FT74" s="72"/>
      <c r="FU74" s="72"/>
      <c r="FV74" s="72"/>
      <c r="FW74" s="72"/>
      <c r="FX74" s="72"/>
      <c r="FY74" s="72"/>
      <c r="FZ74" s="72"/>
      <c r="GA74" s="72"/>
      <c r="GB74" s="72"/>
      <c r="GC74" s="72"/>
      <c r="GD74" s="72"/>
      <c r="GE74" s="72"/>
      <c r="GF74" s="72"/>
      <c r="GG74" s="72"/>
      <c r="GH74" s="72"/>
      <c r="GI74" s="72"/>
      <c r="GJ74" s="72"/>
      <c r="GK74" s="72"/>
      <c r="GL74" s="72"/>
      <c r="GM74" s="72"/>
      <c r="GN74" s="72"/>
      <c r="GO74" s="72"/>
      <c r="GP74" s="72"/>
      <c r="GQ74" s="72"/>
      <c r="GR74" s="72"/>
      <c r="GS74" s="72"/>
      <c r="GT74" s="72"/>
      <c r="GU74" s="72"/>
      <c r="GV74" s="72"/>
      <c r="GW74" s="72"/>
      <c r="GX74" s="72"/>
      <c r="GY74" s="72"/>
      <c r="GZ74" s="72"/>
      <c r="HA74" s="72"/>
      <c r="HB74" s="72"/>
      <c r="HC74" s="72"/>
      <c r="HD74" s="72"/>
      <c r="HE74" s="72"/>
      <c r="HF74" s="72"/>
      <c r="HG74" s="72"/>
      <c r="HH74" s="72"/>
      <c r="HI74" s="72"/>
      <c r="HJ74" s="72"/>
      <c r="HK74" s="72"/>
      <c r="HL74" s="72"/>
      <c r="HM74" s="72"/>
      <c r="HN74" s="72"/>
      <c r="HO74" s="72"/>
      <c r="HP74" s="72"/>
      <c r="HQ74" s="72"/>
      <c r="HR74" s="72"/>
      <c r="HS74" s="72"/>
      <c r="HT74" s="72"/>
      <c r="HU74" s="72"/>
      <c r="HV74" s="72"/>
      <c r="HW74" s="72"/>
      <c r="HX74" s="72"/>
      <c r="HY74" s="72"/>
      <c r="HZ74" s="72"/>
      <c r="IA74" s="72"/>
      <c r="IB74" s="72"/>
      <c r="IC74" s="72"/>
      <c r="ID74" s="72"/>
      <c r="IE74" s="72"/>
      <c r="IF74" s="72"/>
      <c r="IG74" s="72"/>
      <c r="IH74" s="72"/>
      <c r="II74" s="72"/>
      <c r="IJ74" s="72"/>
      <c r="IK74" s="72"/>
      <c r="IL74" s="72"/>
      <c r="IM74" s="72"/>
      <c r="IN74" s="72"/>
      <c r="IO74" s="72"/>
    </row>
    <row r="75" spans="2:249">
      <c r="B75" s="110"/>
      <c r="C75" s="62" t="s">
        <v>800</v>
      </c>
      <c r="D75" s="69"/>
      <c r="E75" s="70"/>
      <c r="F75" s="71"/>
      <c r="G75" s="72"/>
      <c r="H75" s="72"/>
      <c r="I75" s="72"/>
      <c r="J75" s="72"/>
      <c r="K75" s="72"/>
      <c r="L75" s="72"/>
      <c r="M75" s="71"/>
      <c r="N75" s="88"/>
      <c r="O75" s="87"/>
      <c r="P75" s="87"/>
      <c r="Q75" s="87"/>
      <c r="R75" s="166"/>
      <c r="S75" s="70"/>
      <c r="T75" s="72"/>
      <c r="U75" s="72"/>
      <c r="V75" s="72"/>
      <c r="W75" s="72"/>
      <c r="X75" s="72"/>
      <c r="Y75" s="72"/>
      <c r="Z75" s="72"/>
      <c r="AA75" s="72"/>
      <c r="AB75" s="72"/>
      <c r="AC75" s="72"/>
      <c r="AD75" s="72"/>
      <c r="AE75" s="73"/>
      <c r="AF75" s="70"/>
      <c r="AG75" s="72"/>
      <c r="AH75" s="72"/>
      <c r="AI75" s="72"/>
      <c r="AJ75" s="72"/>
      <c r="AK75" s="73"/>
      <c r="AL75" s="72"/>
      <c r="AM75" s="72"/>
      <c r="AN75" s="72"/>
      <c r="AO75" s="72"/>
      <c r="AP75" s="72"/>
      <c r="AQ75" s="72"/>
      <c r="AR75" s="72" t="s">
        <v>360</v>
      </c>
      <c r="AS75" s="72"/>
      <c r="AT75" s="72"/>
      <c r="AU75" s="72"/>
      <c r="AV75" s="72"/>
      <c r="AW75" s="72"/>
      <c r="AX75" s="72"/>
      <c r="AY75" s="72"/>
      <c r="AZ75" s="72"/>
      <c r="BA75" s="72" t="s">
        <v>360</v>
      </c>
      <c r="BB75" s="72"/>
      <c r="BC75" s="72"/>
      <c r="BD75" s="72" t="s">
        <v>360</v>
      </c>
      <c r="BE75" s="72" t="s">
        <v>360</v>
      </c>
      <c r="BF75" s="72" t="s">
        <v>360</v>
      </c>
      <c r="BG75" s="72" t="s">
        <v>360</v>
      </c>
      <c r="BH75" s="72"/>
      <c r="BI75" s="72"/>
      <c r="BJ75" s="72" t="s">
        <v>360</v>
      </c>
      <c r="BK75" s="72"/>
      <c r="BL75" s="72"/>
      <c r="BM75" s="72"/>
      <c r="BN75" s="72"/>
      <c r="BO75" s="72"/>
      <c r="BP75" s="72"/>
      <c r="BQ75" s="72"/>
      <c r="BR75" s="72"/>
      <c r="BS75" s="72" t="s">
        <v>360</v>
      </c>
      <c r="BT75" s="72"/>
      <c r="BU75" s="72"/>
      <c r="BV75" s="72"/>
      <c r="BW75" s="72"/>
      <c r="BX75" s="72"/>
      <c r="BY75" s="72"/>
      <c r="BZ75" s="72"/>
      <c r="CA75" s="72"/>
      <c r="CB75" s="72" t="s">
        <v>360</v>
      </c>
      <c r="CC75" s="72"/>
      <c r="CD75" s="72"/>
      <c r="CE75" s="72"/>
      <c r="CF75" s="72"/>
      <c r="CG75" s="72"/>
      <c r="CH75" s="72"/>
      <c r="CI75" s="72"/>
      <c r="CJ75" s="72"/>
      <c r="CK75" s="72"/>
      <c r="CL75" s="72"/>
      <c r="CM75" s="72"/>
      <c r="CN75" s="72"/>
      <c r="CO75" s="72"/>
      <c r="CP75" s="72"/>
      <c r="CQ75" s="72"/>
      <c r="CR75" s="72"/>
      <c r="CS75" s="72"/>
      <c r="CT75" s="72"/>
      <c r="CU75" s="72"/>
      <c r="CV75" s="72"/>
      <c r="CW75" s="72"/>
      <c r="CX75" s="72"/>
      <c r="CY75" s="72"/>
      <c r="CZ75" s="72"/>
      <c r="DA75" s="72"/>
      <c r="DB75" s="72"/>
      <c r="DC75" s="72"/>
      <c r="DD75" s="72"/>
      <c r="DE75" s="72"/>
      <c r="DF75" s="72"/>
      <c r="DG75" s="72"/>
      <c r="DH75" s="72"/>
      <c r="DI75" s="72"/>
      <c r="DJ75" s="72"/>
      <c r="DK75" s="72"/>
      <c r="DL75" s="72"/>
      <c r="DM75" s="72"/>
      <c r="DN75" s="72"/>
      <c r="DO75" s="72"/>
      <c r="DP75" s="72"/>
      <c r="DQ75" s="72"/>
      <c r="DR75" s="72"/>
      <c r="DS75" s="72"/>
      <c r="DT75" s="72"/>
      <c r="DU75" s="72"/>
      <c r="DV75" s="72"/>
      <c r="DW75" s="72"/>
      <c r="DX75" s="72"/>
      <c r="DY75" s="72"/>
      <c r="DZ75" s="72"/>
      <c r="EA75" s="72"/>
      <c r="EB75" s="72"/>
      <c r="EC75" s="72"/>
      <c r="ED75" s="72"/>
      <c r="EE75" s="72"/>
      <c r="EF75" s="72"/>
      <c r="EG75" s="72"/>
      <c r="EH75" s="72"/>
      <c r="EI75" s="72"/>
      <c r="EJ75" s="72"/>
      <c r="EK75" s="72"/>
      <c r="EL75" s="72"/>
      <c r="EM75" s="72"/>
      <c r="EN75" s="72"/>
      <c r="EO75" s="72"/>
      <c r="EP75" s="72"/>
      <c r="EQ75" s="72"/>
      <c r="ER75" s="72"/>
      <c r="ES75" s="72"/>
      <c r="ET75" s="72"/>
      <c r="EU75" s="72"/>
      <c r="EV75" s="72"/>
      <c r="EW75" s="72"/>
      <c r="EX75" s="72"/>
      <c r="EY75" s="72"/>
      <c r="EZ75" s="72"/>
      <c r="FA75" s="72"/>
      <c r="FB75" s="72"/>
      <c r="FC75" s="72"/>
      <c r="FD75" s="72"/>
      <c r="FE75" s="72"/>
      <c r="FF75" s="72"/>
      <c r="FG75" s="72"/>
      <c r="FH75" s="72"/>
      <c r="FI75" s="72"/>
      <c r="FJ75" s="72"/>
      <c r="FK75" s="72"/>
      <c r="FL75" s="72"/>
      <c r="FM75" s="72"/>
      <c r="FN75" s="72"/>
      <c r="FO75" s="72"/>
      <c r="FP75" s="72"/>
      <c r="FQ75" s="72"/>
      <c r="FR75" s="72"/>
      <c r="FS75" s="72"/>
      <c r="FT75" s="72"/>
      <c r="FU75" s="72"/>
      <c r="FV75" s="72"/>
      <c r="FW75" s="72"/>
      <c r="FX75" s="72"/>
      <c r="FY75" s="72"/>
      <c r="FZ75" s="72"/>
      <c r="GA75" s="72"/>
      <c r="GB75" s="72"/>
      <c r="GC75" s="72"/>
      <c r="GD75" s="72"/>
      <c r="GE75" s="72"/>
      <c r="GF75" s="72"/>
      <c r="GG75" s="72"/>
      <c r="GH75" s="72"/>
      <c r="GI75" s="72"/>
      <c r="GJ75" s="72"/>
      <c r="GK75" s="72"/>
      <c r="GL75" s="72"/>
      <c r="GM75" s="72"/>
      <c r="GN75" s="72"/>
      <c r="GO75" s="72"/>
      <c r="GP75" s="72"/>
      <c r="GQ75" s="72"/>
      <c r="GR75" s="72"/>
      <c r="GS75" s="72"/>
      <c r="GT75" s="72"/>
      <c r="GU75" s="72"/>
      <c r="GV75" s="72"/>
      <c r="GW75" s="72"/>
      <c r="GX75" s="72"/>
      <c r="GY75" s="72"/>
      <c r="GZ75" s="72"/>
      <c r="HA75" s="72"/>
      <c r="HB75" s="72"/>
      <c r="HC75" s="72"/>
      <c r="HD75" s="72"/>
      <c r="HE75" s="72"/>
      <c r="HF75" s="72"/>
      <c r="HG75" s="72"/>
      <c r="HH75" s="72"/>
      <c r="HI75" s="72"/>
      <c r="HJ75" s="72"/>
      <c r="HK75" s="72"/>
      <c r="HL75" s="72"/>
      <c r="HM75" s="72"/>
      <c r="HN75" s="72"/>
      <c r="HO75" s="72"/>
      <c r="HP75" s="72"/>
      <c r="HQ75" s="72"/>
      <c r="HR75" s="72"/>
      <c r="HS75" s="72"/>
      <c r="HT75" s="72"/>
      <c r="HU75" s="72"/>
      <c r="HV75" s="72"/>
      <c r="HW75" s="72"/>
      <c r="HX75" s="72"/>
      <c r="HY75" s="72"/>
      <c r="HZ75" s="72"/>
      <c r="IA75" s="72"/>
      <c r="IB75" s="72"/>
      <c r="IC75" s="72"/>
      <c r="ID75" s="72"/>
      <c r="IE75" s="72"/>
      <c r="IF75" s="72"/>
      <c r="IG75" s="72"/>
      <c r="IH75" s="72"/>
      <c r="II75" s="72"/>
      <c r="IJ75" s="72"/>
      <c r="IK75" s="72"/>
      <c r="IL75" s="72"/>
      <c r="IM75" s="72"/>
      <c r="IN75" s="72"/>
      <c r="IO75" s="72"/>
    </row>
    <row r="76" spans="2:249">
      <c r="B76" s="110"/>
      <c r="C76" s="62" t="s">
        <v>801</v>
      </c>
      <c r="D76" s="69"/>
      <c r="E76" s="70"/>
      <c r="F76" s="71"/>
      <c r="G76" s="72"/>
      <c r="H76" s="72"/>
      <c r="I76" s="72"/>
      <c r="J76" s="72"/>
      <c r="K76" s="72"/>
      <c r="L76" s="72"/>
      <c r="M76" s="71"/>
      <c r="N76" s="88"/>
      <c r="O76" s="87"/>
      <c r="P76" s="87"/>
      <c r="Q76" s="87"/>
      <c r="R76" s="166"/>
      <c r="S76" s="70"/>
      <c r="T76" s="72"/>
      <c r="U76" s="72"/>
      <c r="V76" s="72"/>
      <c r="W76" s="72"/>
      <c r="X76" s="72"/>
      <c r="Y76" s="72"/>
      <c r="Z76" s="72"/>
      <c r="AA76" s="72"/>
      <c r="AB76" s="72"/>
      <c r="AC76" s="72"/>
      <c r="AD76" s="72"/>
      <c r="AE76" s="73"/>
      <c r="AF76" s="70"/>
      <c r="AG76" s="72"/>
      <c r="AH76" s="72"/>
      <c r="AI76" s="72"/>
      <c r="AJ76" s="72"/>
      <c r="AK76" s="73"/>
      <c r="AL76" s="72"/>
      <c r="AM76" s="72"/>
      <c r="AN76" s="72"/>
      <c r="AO76" s="72"/>
      <c r="AP76" s="72"/>
      <c r="AQ76" s="72"/>
      <c r="AR76" s="72"/>
      <c r="AS76" s="72" t="s">
        <v>360</v>
      </c>
      <c r="AT76" s="72"/>
      <c r="AU76" s="72"/>
      <c r="AV76" s="72"/>
      <c r="AW76" s="72"/>
      <c r="AX76" s="72"/>
      <c r="AY76" s="72"/>
      <c r="AZ76" s="72"/>
      <c r="BA76" s="72"/>
      <c r="BB76" s="72" t="s">
        <v>360</v>
      </c>
      <c r="BC76" s="72"/>
      <c r="BD76" s="72"/>
      <c r="BE76" s="72"/>
      <c r="BF76" s="72"/>
      <c r="BG76" s="72"/>
      <c r="BH76" s="72"/>
      <c r="BI76" s="72"/>
      <c r="BJ76" s="72"/>
      <c r="BK76" s="72" t="s">
        <v>360</v>
      </c>
      <c r="BL76" s="72"/>
      <c r="BM76" s="72" t="s">
        <v>360</v>
      </c>
      <c r="BN76" s="72" t="s">
        <v>360</v>
      </c>
      <c r="BO76" s="72" t="s">
        <v>360</v>
      </c>
      <c r="BP76" s="72" t="s">
        <v>360</v>
      </c>
      <c r="BQ76" s="72"/>
      <c r="BR76" s="72"/>
      <c r="BS76" s="72"/>
      <c r="BT76" s="72" t="s">
        <v>360</v>
      </c>
      <c r="BU76" s="72"/>
      <c r="BV76" s="72"/>
      <c r="BW76" s="72"/>
      <c r="BX76" s="72"/>
      <c r="BY76" s="72"/>
      <c r="BZ76" s="72"/>
      <c r="CA76" s="72"/>
      <c r="CB76" s="72"/>
      <c r="CC76" s="72" t="s">
        <v>360</v>
      </c>
      <c r="CD76" s="72"/>
      <c r="CE76" s="72"/>
      <c r="CF76" s="72"/>
      <c r="CG76" s="72"/>
      <c r="CH76" s="72"/>
      <c r="CI76" s="72"/>
      <c r="CJ76" s="72"/>
      <c r="CK76" s="72"/>
      <c r="CL76" s="72"/>
      <c r="CM76" s="72"/>
      <c r="CN76" s="72"/>
      <c r="CO76" s="72"/>
      <c r="CP76" s="72"/>
      <c r="CQ76" s="72"/>
      <c r="CR76" s="72"/>
      <c r="CS76" s="72"/>
      <c r="CT76" s="72"/>
      <c r="CU76" s="72"/>
      <c r="CV76" s="72"/>
      <c r="CW76" s="72"/>
      <c r="CX76" s="72"/>
      <c r="CY76" s="72"/>
      <c r="CZ76" s="72"/>
      <c r="DA76" s="72"/>
      <c r="DB76" s="72"/>
      <c r="DC76" s="72"/>
      <c r="DD76" s="72"/>
      <c r="DE76" s="72"/>
      <c r="DF76" s="72"/>
      <c r="DG76" s="72"/>
      <c r="DH76" s="72"/>
      <c r="DI76" s="72"/>
      <c r="DJ76" s="72"/>
      <c r="DK76" s="72"/>
      <c r="DL76" s="72"/>
      <c r="DM76" s="72"/>
      <c r="DN76" s="72"/>
      <c r="DO76" s="72"/>
      <c r="DP76" s="72"/>
      <c r="DQ76" s="72"/>
      <c r="DR76" s="72"/>
      <c r="DS76" s="72"/>
      <c r="DT76" s="72"/>
      <c r="DU76" s="72"/>
      <c r="DV76" s="72"/>
      <c r="DW76" s="72"/>
      <c r="DX76" s="72"/>
      <c r="DY76" s="72"/>
      <c r="DZ76" s="72"/>
      <c r="EA76" s="72"/>
      <c r="EB76" s="72"/>
      <c r="EC76" s="72"/>
      <c r="ED76" s="72"/>
      <c r="EE76" s="72"/>
      <c r="EF76" s="72"/>
      <c r="EG76" s="72"/>
      <c r="EH76" s="72"/>
      <c r="EI76" s="72"/>
      <c r="EJ76" s="72"/>
      <c r="EK76" s="72"/>
      <c r="EL76" s="72"/>
      <c r="EM76" s="72"/>
      <c r="EN76" s="72"/>
      <c r="EO76" s="72"/>
      <c r="EP76" s="72"/>
      <c r="EQ76" s="72"/>
      <c r="ER76" s="72"/>
      <c r="ES76" s="72"/>
      <c r="ET76" s="72"/>
      <c r="EU76" s="72"/>
      <c r="EV76" s="72"/>
      <c r="EW76" s="72"/>
      <c r="EX76" s="72"/>
      <c r="EY76" s="72"/>
      <c r="EZ76" s="72"/>
      <c r="FA76" s="72"/>
      <c r="FB76" s="72"/>
      <c r="FC76" s="72"/>
      <c r="FD76" s="72"/>
      <c r="FE76" s="72"/>
      <c r="FF76" s="72"/>
      <c r="FG76" s="72"/>
      <c r="FH76" s="72"/>
      <c r="FI76" s="72"/>
      <c r="FJ76" s="72"/>
      <c r="FK76" s="72"/>
      <c r="FL76" s="72"/>
      <c r="FM76" s="72"/>
      <c r="FN76" s="72"/>
      <c r="FO76" s="72"/>
      <c r="FP76" s="72"/>
      <c r="FQ76" s="72"/>
      <c r="FR76" s="72"/>
      <c r="FS76" s="72"/>
      <c r="FT76" s="72"/>
      <c r="FU76" s="72"/>
      <c r="FV76" s="72"/>
      <c r="FW76" s="72"/>
      <c r="FX76" s="72"/>
      <c r="FY76" s="72"/>
      <c r="FZ76" s="72"/>
      <c r="GA76" s="72"/>
      <c r="GB76" s="72"/>
      <c r="GC76" s="72"/>
      <c r="GD76" s="72"/>
      <c r="GE76" s="72"/>
      <c r="GF76" s="72"/>
      <c r="GG76" s="72"/>
      <c r="GH76" s="72"/>
      <c r="GI76" s="72"/>
      <c r="GJ76" s="72"/>
      <c r="GK76" s="72"/>
      <c r="GL76" s="72"/>
      <c r="GM76" s="72"/>
      <c r="GN76" s="72"/>
      <c r="GO76" s="72"/>
      <c r="GP76" s="72"/>
      <c r="GQ76" s="72"/>
      <c r="GR76" s="72"/>
      <c r="GS76" s="72"/>
      <c r="GT76" s="72"/>
      <c r="GU76" s="72"/>
      <c r="GV76" s="72"/>
      <c r="GW76" s="72"/>
      <c r="GX76" s="72"/>
      <c r="GY76" s="72"/>
      <c r="GZ76" s="72"/>
      <c r="HA76" s="72"/>
      <c r="HB76" s="72"/>
      <c r="HC76" s="72"/>
      <c r="HD76" s="72"/>
      <c r="HE76" s="72"/>
      <c r="HF76" s="72"/>
      <c r="HG76" s="72"/>
      <c r="HH76" s="72"/>
      <c r="HI76" s="72"/>
      <c r="HJ76" s="72"/>
      <c r="HK76" s="72"/>
      <c r="HL76" s="72"/>
      <c r="HM76" s="72"/>
      <c r="HN76" s="72"/>
      <c r="HO76" s="72"/>
      <c r="HP76" s="72"/>
      <c r="HQ76" s="72"/>
      <c r="HR76" s="72"/>
      <c r="HS76" s="72"/>
      <c r="HT76" s="72"/>
      <c r="HU76" s="72"/>
      <c r="HV76" s="72"/>
      <c r="HW76" s="72"/>
      <c r="HX76" s="72"/>
      <c r="HY76" s="72"/>
      <c r="HZ76" s="72"/>
      <c r="IA76" s="72"/>
      <c r="IB76" s="72"/>
      <c r="IC76" s="72"/>
      <c r="ID76" s="72"/>
      <c r="IE76" s="72"/>
      <c r="IF76" s="72"/>
      <c r="IG76" s="72"/>
      <c r="IH76" s="72"/>
      <c r="II76" s="72"/>
      <c r="IJ76" s="72"/>
      <c r="IK76" s="72"/>
      <c r="IL76" s="72"/>
      <c r="IM76" s="72"/>
      <c r="IN76" s="72"/>
      <c r="IO76" s="72"/>
    </row>
    <row r="77" spans="2:249">
      <c r="B77" s="110"/>
      <c r="C77" s="62" t="s">
        <v>802</v>
      </c>
      <c r="D77" s="69"/>
      <c r="E77" s="70"/>
      <c r="F77" s="71"/>
      <c r="G77" s="72"/>
      <c r="H77" s="72"/>
      <c r="I77" s="72"/>
      <c r="J77" s="72"/>
      <c r="K77" s="72"/>
      <c r="L77" s="72"/>
      <c r="M77" s="71"/>
      <c r="N77" s="88"/>
      <c r="O77" s="87"/>
      <c r="P77" s="87"/>
      <c r="Q77" s="87"/>
      <c r="R77" s="166"/>
      <c r="S77" s="70"/>
      <c r="T77" s="72"/>
      <c r="U77" s="72"/>
      <c r="V77" s="72"/>
      <c r="W77" s="72"/>
      <c r="X77" s="72"/>
      <c r="Y77" s="72"/>
      <c r="Z77" s="72"/>
      <c r="AA77" s="72"/>
      <c r="AB77" s="72"/>
      <c r="AC77" s="72"/>
      <c r="AD77" s="72"/>
      <c r="AE77" s="73"/>
      <c r="AF77" s="70"/>
      <c r="AG77" s="72"/>
      <c r="AH77" s="72"/>
      <c r="AI77" s="72"/>
      <c r="AJ77" s="72"/>
      <c r="AK77" s="73"/>
      <c r="AL77" s="72"/>
      <c r="AM77" s="72"/>
      <c r="AN77" s="72"/>
      <c r="AO77" s="72"/>
      <c r="AP77" s="72"/>
      <c r="AQ77" s="72"/>
      <c r="AR77" s="72"/>
      <c r="AS77" s="72"/>
      <c r="AT77" s="72" t="s">
        <v>360</v>
      </c>
      <c r="AU77" s="72"/>
      <c r="AV77" s="72"/>
      <c r="AW77" s="72"/>
      <c r="AX77" s="72"/>
      <c r="AY77" s="72"/>
      <c r="AZ77" s="72"/>
      <c r="BA77" s="72"/>
      <c r="BB77" s="72"/>
      <c r="BC77" s="72" t="s">
        <v>360</v>
      </c>
      <c r="BD77" s="72"/>
      <c r="BE77" s="72"/>
      <c r="BF77" s="72"/>
      <c r="BG77" s="72"/>
      <c r="BH77" s="72"/>
      <c r="BI77" s="72"/>
      <c r="BJ77" s="72"/>
      <c r="BK77" s="72"/>
      <c r="BL77" s="72" t="s">
        <v>360</v>
      </c>
      <c r="BM77" s="72"/>
      <c r="BN77" s="72"/>
      <c r="BO77" s="72"/>
      <c r="BP77" s="72"/>
      <c r="BQ77" s="72"/>
      <c r="BR77" s="72"/>
      <c r="BS77" s="72"/>
      <c r="BT77" s="72"/>
      <c r="BU77" s="72" t="s">
        <v>360</v>
      </c>
      <c r="BV77" s="72" t="s">
        <v>360</v>
      </c>
      <c r="BW77" s="72" t="s">
        <v>360</v>
      </c>
      <c r="BX77" s="72" t="s">
        <v>360</v>
      </c>
      <c r="BY77" s="72" t="s">
        <v>360</v>
      </c>
      <c r="BZ77" s="72"/>
      <c r="CA77" s="72"/>
      <c r="CB77" s="72"/>
      <c r="CC77" s="72"/>
      <c r="CD77" s="72" t="s">
        <v>360</v>
      </c>
      <c r="CE77" s="72"/>
      <c r="CF77" s="72"/>
      <c r="CG77" s="72"/>
      <c r="CH77" s="72"/>
      <c r="CI77" s="72"/>
      <c r="CJ77" s="72"/>
      <c r="CK77" s="72"/>
      <c r="CL77" s="72"/>
      <c r="CM77" s="72"/>
      <c r="CN77" s="72"/>
      <c r="CO77" s="72"/>
      <c r="CP77" s="72"/>
      <c r="CQ77" s="72"/>
      <c r="CR77" s="72"/>
      <c r="CS77" s="72"/>
      <c r="CT77" s="72"/>
      <c r="CU77" s="72"/>
      <c r="CV77" s="72"/>
      <c r="CW77" s="72"/>
      <c r="CX77" s="72"/>
      <c r="CY77" s="72"/>
      <c r="CZ77" s="72"/>
      <c r="DA77" s="72"/>
      <c r="DB77" s="72"/>
      <c r="DC77" s="72"/>
      <c r="DD77" s="72"/>
      <c r="DE77" s="72"/>
      <c r="DF77" s="72"/>
      <c r="DG77" s="72"/>
      <c r="DH77" s="72"/>
      <c r="DI77" s="72"/>
      <c r="DJ77" s="72"/>
      <c r="DK77" s="72"/>
      <c r="DL77" s="72"/>
      <c r="DM77" s="72"/>
      <c r="DN77" s="72"/>
      <c r="DO77" s="72"/>
      <c r="DP77" s="72"/>
      <c r="DQ77" s="72"/>
      <c r="DR77" s="72"/>
      <c r="DS77" s="72"/>
      <c r="DT77" s="72"/>
      <c r="DU77" s="72"/>
      <c r="DV77" s="72"/>
      <c r="DW77" s="72"/>
      <c r="DX77" s="72"/>
      <c r="DY77" s="72"/>
      <c r="DZ77" s="72"/>
      <c r="EA77" s="72"/>
      <c r="EB77" s="72"/>
      <c r="EC77" s="72"/>
      <c r="ED77" s="72"/>
      <c r="EE77" s="72"/>
      <c r="EF77" s="72"/>
      <c r="EG77" s="72"/>
      <c r="EH77" s="72"/>
      <c r="EI77" s="72"/>
      <c r="EJ77" s="72"/>
      <c r="EK77" s="72"/>
      <c r="EL77" s="72"/>
      <c r="EM77" s="72"/>
      <c r="EN77" s="72"/>
      <c r="EO77" s="72"/>
      <c r="EP77" s="72"/>
      <c r="EQ77" s="72"/>
      <c r="ER77" s="72"/>
      <c r="ES77" s="72"/>
      <c r="ET77" s="72"/>
      <c r="EU77" s="72"/>
      <c r="EV77" s="72"/>
      <c r="EW77" s="72"/>
      <c r="EX77" s="72"/>
      <c r="EY77" s="72"/>
      <c r="EZ77" s="72"/>
      <c r="FA77" s="72"/>
      <c r="FB77" s="72"/>
      <c r="FC77" s="72"/>
      <c r="FD77" s="72"/>
      <c r="FE77" s="72"/>
      <c r="FF77" s="72"/>
      <c r="FG77" s="72"/>
      <c r="FH77" s="72"/>
      <c r="FI77" s="72"/>
      <c r="FJ77" s="72"/>
      <c r="FK77" s="72"/>
      <c r="FL77" s="72"/>
      <c r="FM77" s="72"/>
      <c r="FN77" s="72"/>
      <c r="FO77" s="72"/>
      <c r="FP77" s="72"/>
      <c r="FQ77" s="72"/>
      <c r="FR77" s="72"/>
      <c r="FS77" s="72"/>
      <c r="FT77" s="72"/>
      <c r="FU77" s="72"/>
      <c r="FV77" s="72"/>
      <c r="FW77" s="72"/>
      <c r="FX77" s="72"/>
      <c r="FY77" s="72"/>
      <c r="FZ77" s="72"/>
      <c r="GA77" s="72"/>
      <c r="GB77" s="72"/>
      <c r="GC77" s="72"/>
      <c r="GD77" s="72"/>
      <c r="GE77" s="72"/>
      <c r="GF77" s="72"/>
      <c r="GG77" s="72"/>
      <c r="GH77" s="72"/>
      <c r="GI77" s="72"/>
      <c r="GJ77" s="72"/>
      <c r="GK77" s="72"/>
      <c r="GL77" s="72"/>
      <c r="GM77" s="72"/>
      <c r="GN77" s="72"/>
      <c r="GO77" s="72"/>
      <c r="GP77" s="72"/>
      <c r="GQ77" s="72"/>
      <c r="GR77" s="72"/>
      <c r="GS77" s="72"/>
      <c r="GT77" s="72"/>
      <c r="GU77" s="72"/>
      <c r="GV77" s="72"/>
      <c r="GW77" s="72"/>
      <c r="GX77" s="72"/>
      <c r="GY77" s="72"/>
      <c r="GZ77" s="72"/>
      <c r="HA77" s="72"/>
      <c r="HB77" s="72"/>
      <c r="HC77" s="72"/>
      <c r="HD77" s="72"/>
      <c r="HE77" s="72"/>
      <c r="HF77" s="72"/>
      <c r="HG77" s="72"/>
      <c r="HH77" s="72"/>
      <c r="HI77" s="72"/>
      <c r="HJ77" s="72"/>
      <c r="HK77" s="72"/>
      <c r="HL77" s="72"/>
      <c r="HM77" s="72"/>
      <c r="HN77" s="72"/>
      <c r="HO77" s="72"/>
      <c r="HP77" s="72"/>
      <c r="HQ77" s="72"/>
      <c r="HR77" s="72"/>
      <c r="HS77" s="72"/>
      <c r="HT77" s="72"/>
      <c r="HU77" s="72"/>
      <c r="HV77" s="72"/>
      <c r="HW77" s="72"/>
      <c r="HX77" s="72"/>
      <c r="HY77" s="72"/>
      <c r="HZ77" s="72"/>
      <c r="IA77" s="72"/>
      <c r="IB77" s="72"/>
      <c r="IC77" s="72"/>
      <c r="ID77" s="72"/>
      <c r="IE77" s="72"/>
      <c r="IF77" s="72"/>
      <c r="IG77" s="72"/>
      <c r="IH77" s="72"/>
      <c r="II77" s="72"/>
      <c r="IJ77" s="72"/>
      <c r="IK77" s="72"/>
      <c r="IL77" s="72"/>
      <c r="IM77" s="72"/>
      <c r="IN77" s="72"/>
      <c r="IO77" s="72"/>
    </row>
    <row r="78" spans="2:249">
      <c r="B78" s="59" t="s">
        <v>468</v>
      </c>
      <c r="C78" s="59" t="s">
        <v>524</v>
      </c>
      <c r="D78" s="91"/>
      <c r="E78" s="92"/>
      <c r="F78" s="93"/>
      <c r="G78" s="94"/>
      <c r="H78" s="94"/>
      <c r="I78" s="94"/>
      <c r="J78" s="94"/>
      <c r="K78" s="94"/>
      <c r="L78" s="94"/>
      <c r="M78" s="93"/>
      <c r="N78" s="92"/>
      <c r="O78" s="94"/>
      <c r="P78" s="94"/>
      <c r="Q78" s="94"/>
      <c r="R78" s="93"/>
      <c r="S78" s="92"/>
      <c r="T78" s="94"/>
      <c r="U78" s="94"/>
      <c r="V78" s="94"/>
      <c r="W78" s="94"/>
      <c r="X78" s="94"/>
      <c r="Y78" s="94"/>
      <c r="Z78" s="94"/>
      <c r="AA78" s="94"/>
      <c r="AB78" s="94"/>
      <c r="AC78" s="94"/>
      <c r="AD78" s="94"/>
      <c r="AE78" s="95"/>
      <c r="AF78" s="92"/>
      <c r="AG78" s="94"/>
      <c r="AH78" s="94"/>
      <c r="AI78" s="94"/>
      <c r="AJ78" s="94"/>
      <c r="AK78" s="95"/>
      <c r="AL78" s="94"/>
      <c r="AM78" s="94"/>
      <c r="AN78" s="94"/>
      <c r="AO78" s="94"/>
      <c r="AP78" s="94"/>
      <c r="AQ78" s="94"/>
      <c r="AR78" s="94"/>
      <c r="AS78" s="94"/>
      <c r="AT78" s="94"/>
      <c r="AU78" s="94"/>
      <c r="AV78" s="94"/>
      <c r="AW78" s="94"/>
      <c r="AX78" s="94"/>
      <c r="AY78" s="94"/>
      <c r="AZ78" s="94"/>
      <c r="BA78" s="94"/>
      <c r="BB78" s="94"/>
      <c r="BC78" s="94"/>
      <c r="BD78" s="94"/>
      <c r="BE78" s="94"/>
      <c r="BF78" s="94"/>
      <c r="BG78" s="94"/>
      <c r="BH78" s="94"/>
      <c r="BI78" s="94"/>
      <c r="BJ78" s="94"/>
      <c r="BK78" s="94"/>
      <c r="BL78" s="94"/>
      <c r="BM78" s="94"/>
      <c r="BN78" s="94"/>
      <c r="BO78" s="94"/>
      <c r="BP78" s="94"/>
      <c r="BQ78" s="94"/>
      <c r="BR78" s="94"/>
      <c r="BS78" s="94"/>
      <c r="BT78" s="94"/>
      <c r="BU78" s="94"/>
      <c r="BV78" s="94"/>
      <c r="BW78" s="94"/>
      <c r="BX78" s="94"/>
      <c r="BY78" s="94"/>
      <c r="BZ78" s="94"/>
      <c r="CA78" s="94"/>
      <c r="CB78" s="94"/>
      <c r="CC78" s="94"/>
      <c r="CD78" s="94"/>
      <c r="CE78" s="94"/>
      <c r="CF78" s="94"/>
      <c r="CG78" s="94"/>
      <c r="CH78" s="94"/>
      <c r="CI78" s="94"/>
      <c r="CJ78" s="94"/>
      <c r="CK78" s="94"/>
      <c r="CL78" s="94"/>
      <c r="CM78" s="94"/>
      <c r="CN78" s="94"/>
      <c r="CO78" s="94"/>
      <c r="CP78" s="94"/>
      <c r="CQ78" s="94"/>
      <c r="CR78" s="94"/>
      <c r="CS78" s="94"/>
      <c r="CT78" s="94"/>
      <c r="CU78" s="94"/>
      <c r="CV78" s="94"/>
      <c r="CW78" s="94"/>
      <c r="CX78" s="94"/>
      <c r="CY78" s="94"/>
      <c r="CZ78" s="94"/>
      <c r="DA78" s="94"/>
      <c r="DB78" s="94"/>
      <c r="DC78" s="94"/>
      <c r="DD78" s="94"/>
      <c r="DE78" s="94"/>
      <c r="DF78" s="94"/>
      <c r="DG78" s="94"/>
      <c r="DH78" s="94"/>
      <c r="DI78" s="94"/>
      <c r="DJ78" s="94"/>
      <c r="DK78" s="94"/>
      <c r="DL78" s="94"/>
      <c r="DM78" s="94"/>
      <c r="DN78" s="94"/>
      <c r="DO78" s="94"/>
      <c r="DP78" s="94"/>
      <c r="DQ78" s="94"/>
      <c r="DR78" s="94"/>
      <c r="DS78" s="94"/>
      <c r="DT78" s="94"/>
      <c r="DU78" s="94"/>
      <c r="DV78" s="94"/>
      <c r="DW78" s="94"/>
      <c r="DX78" s="94"/>
      <c r="DY78" s="94"/>
      <c r="DZ78" s="94"/>
      <c r="EA78" s="94"/>
      <c r="EB78" s="94"/>
      <c r="EC78" s="94"/>
      <c r="ED78" s="94"/>
      <c r="EE78" s="94"/>
      <c r="EF78" s="94"/>
      <c r="EG78" s="94"/>
      <c r="EH78" s="94"/>
      <c r="EI78" s="94"/>
      <c r="EJ78" s="94"/>
      <c r="EK78" s="94"/>
      <c r="EL78" s="94"/>
      <c r="EM78" s="94"/>
      <c r="EN78" s="94"/>
      <c r="EO78" s="94"/>
      <c r="EP78" s="94"/>
      <c r="EQ78" s="94"/>
      <c r="ER78" s="94"/>
      <c r="ES78" s="94"/>
      <c r="ET78" s="94"/>
      <c r="EU78" s="94"/>
      <c r="EV78" s="94"/>
      <c r="EW78" s="94"/>
      <c r="EX78" s="94"/>
      <c r="EY78" s="94"/>
      <c r="EZ78" s="94"/>
      <c r="FA78" s="94"/>
      <c r="FB78" s="94"/>
      <c r="FC78" s="94"/>
      <c r="FD78" s="94"/>
      <c r="FE78" s="94"/>
      <c r="FF78" s="94"/>
      <c r="FG78" s="94"/>
      <c r="FH78" s="94"/>
      <c r="FI78" s="94"/>
      <c r="FJ78" s="94"/>
      <c r="FK78" s="94"/>
      <c r="FL78" s="94"/>
      <c r="FM78" s="94"/>
      <c r="FN78" s="94"/>
      <c r="FO78" s="94"/>
      <c r="FP78" s="94"/>
      <c r="FQ78" s="94"/>
      <c r="FR78" s="94"/>
      <c r="FS78" s="94"/>
      <c r="FT78" s="94"/>
      <c r="FU78" s="94"/>
      <c r="FV78" s="94"/>
      <c r="FW78" s="94"/>
      <c r="FX78" s="94"/>
      <c r="FY78" s="94"/>
      <c r="FZ78" s="94"/>
      <c r="GA78" s="94"/>
      <c r="GB78" s="94"/>
      <c r="GC78" s="94"/>
      <c r="GD78" s="94"/>
      <c r="GE78" s="94"/>
      <c r="GF78" s="94"/>
      <c r="GG78" s="94"/>
      <c r="GH78" s="94"/>
      <c r="GI78" s="94"/>
      <c r="GJ78" s="94"/>
      <c r="GK78" s="94"/>
      <c r="GL78" s="94"/>
      <c r="GM78" s="94"/>
      <c r="GN78" s="94"/>
      <c r="GO78" s="94"/>
      <c r="GP78" s="94"/>
      <c r="GQ78" s="94"/>
      <c r="GR78" s="94"/>
      <c r="GS78" s="94"/>
      <c r="GT78" s="94"/>
      <c r="GU78" s="94"/>
      <c r="GV78" s="94"/>
      <c r="GW78" s="94"/>
      <c r="GX78" s="94"/>
      <c r="GY78" s="94"/>
      <c r="GZ78" s="94"/>
      <c r="HA78" s="94"/>
      <c r="HB78" s="94"/>
      <c r="HC78" s="94"/>
      <c r="HD78" s="94"/>
      <c r="HE78" s="94"/>
      <c r="HF78" s="94"/>
      <c r="HG78" s="94"/>
      <c r="HH78" s="94"/>
      <c r="HI78" s="94"/>
      <c r="HJ78" s="94"/>
      <c r="HK78" s="94"/>
      <c r="HL78" s="94"/>
      <c r="HM78" s="94"/>
      <c r="HN78" s="94"/>
      <c r="HO78" s="94"/>
      <c r="HP78" s="94"/>
      <c r="HQ78" s="94"/>
      <c r="HR78" s="94"/>
      <c r="HS78" s="94"/>
      <c r="HT78" s="94"/>
      <c r="HU78" s="94"/>
      <c r="HV78" s="94"/>
      <c r="HW78" s="94"/>
      <c r="HX78" s="94"/>
      <c r="HY78" s="94"/>
      <c r="HZ78" s="94"/>
      <c r="IA78" s="94"/>
      <c r="IB78" s="94"/>
      <c r="IC78" s="94"/>
      <c r="ID78" s="94"/>
      <c r="IE78" s="94"/>
      <c r="IF78" s="94"/>
      <c r="IG78" s="94"/>
      <c r="IH78" s="94"/>
      <c r="II78" s="94"/>
      <c r="IJ78" s="94"/>
      <c r="IK78" s="94"/>
      <c r="IL78" s="94"/>
      <c r="IM78" s="94"/>
      <c r="IN78" s="94"/>
      <c r="IO78" s="94"/>
    </row>
    <row r="79" spans="2:249" ht="13.5" thickBot="1">
      <c r="B79" s="110"/>
      <c r="C79" s="62" t="s">
        <v>525</v>
      </c>
      <c r="D79" s="111" t="s">
        <v>360</v>
      </c>
      <c r="E79" s="112" t="s">
        <v>360</v>
      </c>
      <c r="F79" s="113" t="s">
        <v>360</v>
      </c>
      <c r="G79" s="114" t="s">
        <v>360</v>
      </c>
      <c r="H79" s="114" t="s">
        <v>360</v>
      </c>
      <c r="I79" s="114" t="s">
        <v>360</v>
      </c>
      <c r="J79" s="114" t="s">
        <v>360</v>
      </c>
      <c r="K79" s="114" t="s">
        <v>360</v>
      </c>
      <c r="L79" s="114" t="s">
        <v>360</v>
      </c>
      <c r="M79" s="113" t="s">
        <v>360</v>
      </c>
      <c r="N79" s="116" t="s">
        <v>360</v>
      </c>
      <c r="O79" s="117" t="s">
        <v>360</v>
      </c>
      <c r="P79" s="117" t="s">
        <v>360</v>
      </c>
      <c r="Q79" s="117" t="s">
        <v>360</v>
      </c>
      <c r="R79" s="167" t="s">
        <v>360</v>
      </c>
      <c r="S79" s="112" t="s">
        <v>360</v>
      </c>
      <c r="T79" s="114" t="s">
        <v>360</v>
      </c>
      <c r="U79" s="114" t="s">
        <v>360</v>
      </c>
      <c r="V79" s="114" t="s">
        <v>360</v>
      </c>
      <c r="W79" s="114" t="s">
        <v>360</v>
      </c>
      <c r="X79" s="114" t="s">
        <v>360</v>
      </c>
      <c r="Y79" s="114" t="s">
        <v>360</v>
      </c>
      <c r="Z79" s="114" t="s">
        <v>360</v>
      </c>
      <c r="AA79" s="114" t="s">
        <v>360</v>
      </c>
      <c r="AB79" s="114" t="s">
        <v>360</v>
      </c>
      <c r="AC79" s="114" t="s">
        <v>360</v>
      </c>
      <c r="AD79" s="114" t="s">
        <v>360</v>
      </c>
      <c r="AE79" s="115" t="s">
        <v>360</v>
      </c>
      <c r="AF79" s="112" t="s">
        <v>360</v>
      </c>
      <c r="AG79" s="114" t="s">
        <v>360</v>
      </c>
      <c r="AH79" s="114" t="s">
        <v>360</v>
      </c>
      <c r="AI79" s="114" t="s">
        <v>360</v>
      </c>
      <c r="AJ79" s="114" t="s">
        <v>360</v>
      </c>
      <c r="AK79" s="115" t="s">
        <v>360</v>
      </c>
      <c r="AL79" s="115" t="s">
        <v>360</v>
      </c>
      <c r="AM79" s="115" t="s">
        <v>360</v>
      </c>
      <c r="AN79" s="115" t="s">
        <v>360</v>
      </c>
      <c r="AO79" s="115" t="s">
        <v>360</v>
      </c>
      <c r="AP79" s="115" t="s">
        <v>360</v>
      </c>
      <c r="AQ79" s="115" t="s">
        <v>360</v>
      </c>
      <c r="AR79" s="115" t="s">
        <v>360</v>
      </c>
      <c r="AS79" s="115" t="s">
        <v>360</v>
      </c>
      <c r="AT79" s="115" t="s">
        <v>360</v>
      </c>
      <c r="AU79" s="115" t="s">
        <v>360</v>
      </c>
      <c r="AV79" s="115" t="s">
        <v>360</v>
      </c>
      <c r="AW79" s="115" t="s">
        <v>360</v>
      </c>
      <c r="AX79" s="115" t="s">
        <v>360</v>
      </c>
      <c r="AY79" s="115" t="s">
        <v>360</v>
      </c>
      <c r="AZ79" s="115" t="s">
        <v>360</v>
      </c>
      <c r="BA79" s="115" t="s">
        <v>360</v>
      </c>
      <c r="BB79" s="115" t="s">
        <v>360</v>
      </c>
      <c r="BC79" s="115" t="s">
        <v>360</v>
      </c>
      <c r="BD79" s="115" t="s">
        <v>360</v>
      </c>
      <c r="BE79" s="115" t="s">
        <v>360</v>
      </c>
      <c r="BF79" s="115" t="s">
        <v>360</v>
      </c>
      <c r="BG79" s="115" t="s">
        <v>360</v>
      </c>
      <c r="BH79" s="115" t="s">
        <v>360</v>
      </c>
      <c r="BI79" s="115" t="s">
        <v>360</v>
      </c>
      <c r="BJ79" s="115" t="s">
        <v>360</v>
      </c>
      <c r="BK79" s="115" t="s">
        <v>360</v>
      </c>
      <c r="BL79" s="115" t="s">
        <v>360</v>
      </c>
      <c r="BM79" s="115" t="s">
        <v>360</v>
      </c>
      <c r="BN79" s="115" t="s">
        <v>360</v>
      </c>
      <c r="BO79" s="115" t="s">
        <v>360</v>
      </c>
      <c r="BP79" s="115" t="s">
        <v>360</v>
      </c>
      <c r="BQ79" s="115" t="s">
        <v>360</v>
      </c>
      <c r="BR79" s="115" t="s">
        <v>360</v>
      </c>
      <c r="BS79" s="115" t="s">
        <v>360</v>
      </c>
      <c r="BT79" s="115" t="s">
        <v>360</v>
      </c>
      <c r="BU79" s="115" t="s">
        <v>360</v>
      </c>
      <c r="BV79" s="115" t="s">
        <v>360</v>
      </c>
      <c r="BW79" s="115" t="s">
        <v>360</v>
      </c>
      <c r="BX79" s="115" t="s">
        <v>360</v>
      </c>
      <c r="BY79" s="115" t="s">
        <v>360</v>
      </c>
      <c r="BZ79" s="115" t="s">
        <v>360</v>
      </c>
      <c r="CA79" s="115" t="s">
        <v>360</v>
      </c>
      <c r="CB79" s="115" t="s">
        <v>360</v>
      </c>
      <c r="CC79" s="115" t="s">
        <v>360</v>
      </c>
      <c r="CD79" s="115" t="s">
        <v>360</v>
      </c>
      <c r="CE79" s="72"/>
      <c r="CF79" s="72"/>
      <c r="CG79" s="72"/>
      <c r="CH79" s="72"/>
      <c r="CI79" s="72"/>
      <c r="CJ79" s="72"/>
      <c r="CK79" s="72"/>
      <c r="CL79" s="72"/>
      <c r="CM79" s="72"/>
      <c r="CN79" s="72"/>
      <c r="CO79" s="72"/>
      <c r="CP79" s="72"/>
      <c r="CQ79" s="72"/>
      <c r="CR79" s="72"/>
      <c r="CS79" s="72"/>
      <c r="CT79" s="72"/>
      <c r="CU79" s="72"/>
      <c r="CV79" s="72"/>
      <c r="CW79" s="72"/>
      <c r="CX79" s="72"/>
      <c r="CY79" s="72"/>
      <c r="CZ79" s="72"/>
      <c r="DA79" s="72"/>
      <c r="DB79" s="72"/>
      <c r="DC79" s="72"/>
      <c r="DD79" s="72"/>
      <c r="DE79" s="72"/>
      <c r="DF79" s="72"/>
      <c r="DG79" s="72"/>
      <c r="DH79" s="72"/>
      <c r="DI79" s="72"/>
      <c r="DJ79" s="72"/>
      <c r="DK79" s="72"/>
      <c r="DL79" s="72"/>
      <c r="DM79" s="72"/>
      <c r="DN79" s="72"/>
      <c r="DO79" s="72"/>
      <c r="DP79" s="72"/>
      <c r="DQ79" s="72"/>
      <c r="DR79" s="72"/>
      <c r="DS79" s="72"/>
      <c r="DT79" s="72"/>
      <c r="DU79" s="72"/>
      <c r="DV79" s="72"/>
      <c r="DW79" s="72"/>
      <c r="DX79" s="72"/>
      <c r="DY79" s="72"/>
      <c r="DZ79" s="72"/>
      <c r="EA79" s="72"/>
      <c r="EB79" s="72"/>
      <c r="EC79" s="72"/>
      <c r="ED79" s="72"/>
      <c r="EE79" s="72"/>
      <c r="EF79" s="72"/>
      <c r="EG79" s="72"/>
      <c r="EH79" s="72"/>
      <c r="EI79" s="72"/>
      <c r="EJ79" s="72"/>
      <c r="EK79" s="72"/>
      <c r="EL79" s="72"/>
      <c r="EM79" s="72"/>
      <c r="EN79" s="72"/>
      <c r="EO79" s="72"/>
      <c r="EP79" s="72"/>
      <c r="EQ79" s="72"/>
      <c r="ER79" s="72"/>
      <c r="ES79" s="72"/>
      <c r="ET79" s="72"/>
      <c r="EU79" s="72"/>
      <c r="EV79" s="72"/>
      <c r="EW79" s="72"/>
      <c r="EX79" s="72"/>
      <c r="EY79" s="72"/>
      <c r="EZ79" s="72"/>
      <c r="FA79" s="72"/>
      <c r="FB79" s="72"/>
      <c r="FC79" s="72"/>
      <c r="FD79" s="72"/>
      <c r="FE79" s="72"/>
      <c r="FF79" s="72"/>
      <c r="FG79" s="72"/>
      <c r="FH79" s="72"/>
      <c r="FI79" s="72"/>
      <c r="FJ79" s="72"/>
      <c r="FK79" s="72"/>
      <c r="FL79" s="72"/>
      <c r="FM79" s="72"/>
      <c r="FN79" s="72"/>
      <c r="FO79" s="72"/>
      <c r="FP79" s="72"/>
      <c r="FQ79" s="72"/>
      <c r="FR79" s="72"/>
      <c r="FS79" s="72"/>
      <c r="FT79" s="72"/>
      <c r="FU79" s="72"/>
      <c r="FV79" s="72"/>
      <c r="FW79" s="72"/>
      <c r="FX79" s="72"/>
      <c r="FY79" s="72"/>
      <c r="FZ79" s="72"/>
      <c r="GA79" s="72"/>
      <c r="GB79" s="72"/>
      <c r="GC79" s="72"/>
      <c r="GD79" s="72"/>
      <c r="GE79" s="72"/>
      <c r="GF79" s="72"/>
      <c r="GG79" s="72"/>
      <c r="GH79" s="72"/>
      <c r="GI79" s="72"/>
      <c r="GJ79" s="72"/>
      <c r="GK79" s="72"/>
      <c r="GL79" s="72"/>
      <c r="GM79" s="72"/>
      <c r="GN79" s="72"/>
      <c r="GO79" s="72"/>
      <c r="GP79" s="72"/>
      <c r="GQ79" s="72"/>
      <c r="GR79" s="72"/>
      <c r="GS79" s="72"/>
      <c r="GT79" s="72"/>
      <c r="GU79" s="72"/>
      <c r="GV79" s="72"/>
      <c r="GW79" s="72"/>
      <c r="GX79" s="72"/>
      <c r="GY79" s="72"/>
      <c r="GZ79" s="72"/>
      <c r="HA79" s="72"/>
      <c r="HB79" s="72"/>
      <c r="HC79" s="72"/>
      <c r="HD79" s="72"/>
      <c r="HE79" s="72"/>
      <c r="HF79" s="72"/>
      <c r="HG79" s="72"/>
      <c r="HH79" s="72"/>
      <c r="HI79" s="72"/>
      <c r="HJ79" s="72"/>
      <c r="HK79" s="72"/>
      <c r="HL79" s="72"/>
      <c r="HM79" s="72"/>
      <c r="HN79" s="72"/>
      <c r="HO79" s="72"/>
      <c r="HP79" s="72"/>
      <c r="HQ79" s="72"/>
      <c r="HR79" s="72"/>
      <c r="HS79" s="72"/>
      <c r="HT79" s="72"/>
      <c r="HU79" s="72"/>
      <c r="HV79" s="72"/>
      <c r="HW79" s="72"/>
      <c r="HX79" s="72"/>
      <c r="HY79" s="72"/>
      <c r="HZ79" s="72"/>
      <c r="IA79" s="72"/>
      <c r="IB79" s="72"/>
      <c r="IC79" s="72"/>
      <c r="ID79" s="72"/>
      <c r="IE79" s="72"/>
      <c r="IF79" s="72"/>
      <c r="IG79" s="72"/>
      <c r="IH79" s="72"/>
      <c r="II79" s="72"/>
      <c r="IJ79" s="72"/>
      <c r="IK79" s="72"/>
      <c r="IL79" s="72"/>
      <c r="IM79" s="72"/>
      <c r="IN79" s="72"/>
      <c r="IO79" s="72"/>
    </row>
    <row r="80" spans="2:249">
      <c r="B80" s="110"/>
      <c r="C80" s="118"/>
      <c r="D80" s="119"/>
      <c r="E80" s="119"/>
      <c r="F80" s="119"/>
      <c r="G80" s="119"/>
      <c r="H80" s="119"/>
      <c r="I80" s="119"/>
      <c r="J80" s="119"/>
      <c r="K80" s="119"/>
      <c r="L80" s="119"/>
      <c r="M80" s="119"/>
      <c r="N80" s="119"/>
      <c r="O80" s="119"/>
      <c r="P80" s="119"/>
      <c r="Q80" s="119"/>
      <c r="R80" s="119"/>
      <c r="S80" s="119"/>
      <c r="T80" s="119"/>
      <c r="U80" s="119"/>
      <c r="V80" s="119"/>
      <c r="W80" s="119"/>
      <c r="X80" s="119"/>
      <c r="Y80" s="119"/>
      <c r="Z80" s="119"/>
      <c r="AA80" s="119"/>
      <c r="AB80" s="119"/>
      <c r="AC80" s="119"/>
      <c r="AD80" s="119"/>
      <c r="AE80" s="119"/>
      <c r="AF80" s="119"/>
      <c r="AG80" s="119"/>
      <c r="AH80" s="119"/>
      <c r="AI80" s="119"/>
      <c r="AJ80" s="119"/>
      <c r="AK80" s="119"/>
      <c r="AL80" s="233"/>
      <c r="AM80" s="234"/>
      <c r="AN80" s="234"/>
      <c r="AO80" s="234"/>
      <c r="AP80" s="234"/>
      <c r="AQ80" s="234"/>
      <c r="AR80" s="234"/>
      <c r="AS80" s="234"/>
      <c r="AT80" s="234"/>
      <c r="AU80" s="234"/>
      <c r="AV80" s="234"/>
      <c r="AW80" s="234"/>
      <c r="AX80" s="234"/>
      <c r="AY80" s="234"/>
      <c r="AZ80" s="234"/>
      <c r="BA80" s="234"/>
      <c r="BB80" s="234"/>
      <c r="BC80" s="234"/>
      <c r="BD80" s="234"/>
      <c r="BE80" s="234"/>
      <c r="BF80" s="234"/>
      <c r="BG80" s="234"/>
      <c r="BH80" s="234"/>
      <c r="BI80" s="234"/>
      <c r="BJ80" s="234"/>
      <c r="BK80" s="234"/>
      <c r="BL80" s="234"/>
      <c r="BM80" s="234"/>
      <c r="BN80" s="234"/>
      <c r="BO80" s="234"/>
      <c r="BP80" s="234"/>
      <c r="BQ80" s="234"/>
      <c r="BR80" s="234"/>
      <c r="BS80" s="234"/>
      <c r="BT80" s="234"/>
      <c r="BU80" s="234"/>
      <c r="BV80" s="234"/>
      <c r="BW80" s="234"/>
      <c r="BX80" s="234"/>
      <c r="BY80" s="234"/>
      <c r="BZ80" s="234"/>
      <c r="CA80" s="234"/>
      <c r="CB80" s="234"/>
      <c r="CC80" s="234"/>
      <c r="CD80" s="234"/>
      <c r="CE80" s="234"/>
      <c r="CF80" s="234"/>
      <c r="CG80" s="234"/>
      <c r="CH80" s="234"/>
      <c r="CI80" s="234"/>
      <c r="CJ80" s="234"/>
      <c r="CK80" s="234"/>
      <c r="CL80" s="234"/>
      <c r="CM80" s="234"/>
      <c r="CN80" s="234"/>
      <c r="CO80" s="234"/>
      <c r="CP80" s="234"/>
      <c r="CQ80" s="234"/>
      <c r="CR80" s="234"/>
      <c r="CS80" s="234"/>
      <c r="CT80" s="234"/>
      <c r="CU80" s="234"/>
      <c r="CV80" s="234"/>
      <c r="CW80" s="234"/>
      <c r="CX80" s="234"/>
      <c r="CY80" s="234"/>
      <c r="CZ80" s="234"/>
      <c r="DA80" s="234"/>
      <c r="DB80" s="234"/>
      <c r="DC80" s="234"/>
      <c r="DD80" s="234"/>
      <c r="DE80" s="234"/>
      <c r="DF80" s="234"/>
      <c r="DG80" s="234"/>
      <c r="DH80" s="234"/>
      <c r="DI80" s="234"/>
      <c r="DJ80" s="234"/>
      <c r="DK80" s="234"/>
      <c r="DL80" s="234"/>
      <c r="DM80" s="234"/>
      <c r="DN80" s="234"/>
      <c r="DO80" s="234"/>
      <c r="DP80" s="234"/>
      <c r="DQ80" s="234"/>
      <c r="DR80" s="234"/>
      <c r="DS80" s="234"/>
      <c r="DT80" s="234"/>
      <c r="DU80" s="234"/>
      <c r="DV80" s="234"/>
      <c r="DW80" s="234"/>
      <c r="DX80" s="234"/>
      <c r="DY80" s="234"/>
      <c r="DZ80" s="234"/>
      <c r="EA80" s="234"/>
      <c r="EB80" s="234"/>
      <c r="EC80" s="234"/>
      <c r="ED80" s="234"/>
      <c r="EE80" s="234"/>
      <c r="EF80" s="234"/>
      <c r="EG80" s="234"/>
      <c r="EH80" s="234"/>
      <c r="EI80" s="234"/>
      <c r="EJ80" s="234"/>
      <c r="EK80" s="234"/>
      <c r="EL80" s="234"/>
      <c r="EM80" s="234"/>
      <c r="EN80" s="234"/>
      <c r="EO80" s="234"/>
      <c r="EP80" s="234"/>
      <c r="EQ80" s="234"/>
      <c r="ER80" s="234"/>
      <c r="ES80" s="234"/>
      <c r="ET80" s="234"/>
      <c r="EU80" s="234"/>
      <c r="EV80" s="234"/>
      <c r="EW80" s="234"/>
      <c r="EX80" s="234"/>
      <c r="EY80" s="234"/>
      <c r="EZ80" s="234"/>
      <c r="FA80" s="234"/>
      <c r="FB80" s="234"/>
      <c r="FC80" s="234"/>
      <c r="FD80" s="234"/>
      <c r="FE80" s="234"/>
      <c r="FF80" s="234"/>
      <c r="FG80" s="234"/>
      <c r="FH80" s="234"/>
      <c r="FI80" s="234"/>
      <c r="FJ80" s="234"/>
      <c r="FK80" s="234"/>
      <c r="FL80" s="235"/>
      <c r="FM80" s="108"/>
      <c r="FN80" s="108"/>
      <c r="FO80" s="108"/>
      <c r="FP80" s="108"/>
      <c r="FQ80" s="108"/>
      <c r="FR80" s="108"/>
      <c r="FS80" s="108"/>
      <c r="FT80" s="108"/>
      <c r="FU80" s="108"/>
      <c r="FV80" s="108"/>
      <c r="FW80" s="108"/>
      <c r="FX80" s="108"/>
      <c r="FY80" s="108"/>
      <c r="FZ80" s="108"/>
      <c r="GA80" s="108"/>
      <c r="GB80" s="108"/>
      <c r="GC80" s="108"/>
      <c r="GD80" s="108"/>
      <c r="GE80" s="108"/>
      <c r="GF80" s="108"/>
      <c r="GG80" s="108"/>
      <c r="GH80" s="108"/>
      <c r="GI80" s="108"/>
      <c r="GJ80" s="108"/>
      <c r="GK80" s="108"/>
      <c r="GL80" s="108"/>
      <c r="GM80" s="108"/>
      <c r="GN80" s="108"/>
      <c r="GO80" s="108"/>
      <c r="GP80" s="108"/>
      <c r="GQ80" s="108"/>
      <c r="GR80" s="108"/>
      <c r="GS80" s="108"/>
      <c r="GT80" s="108"/>
      <c r="GU80" s="108"/>
      <c r="GV80" s="108"/>
      <c r="GW80" s="108"/>
      <c r="GX80" s="108"/>
      <c r="GY80" s="108"/>
      <c r="GZ80" s="108"/>
      <c r="HA80" s="108"/>
      <c r="HB80" s="108"/>
      <c r="HC80" s="108"/>
      <c r="HD80" s="108"/>
      <c r="HE80" s="108"/>
      <c r="HF80" s="108"/>
      <c r="HG80" s="108"/>
      <c r="HH80" s="108"/>
      <c r="HI80" s="108"/>
      <c r="HJ80" s="108"/>
      <c r="HK80" s="108"/>
      <c r="HL80" s="108"/>
      <c r="HM80" s="108"/>
      <c r="HN80" s="108"/>
      <c r="HO80" s="108"/>
      <c r="HP80" s="108"/>
      <c r="HQ80" s="108"/>
      <c r="HR80" s="108"/>
      <c r="HS80" s="108"/>
      <c r="HT80" s="108"/>
      <c r="HU80" s="108"/>
      <c r="HV80" s="108"/>
      <c r="HW80" s="108"/>
      <c r="HX80" s="108"/>
      <c r="HY80" s="108"/>
      <c r="HZ80" s="108"/>
      <c r="IA80" s="108"/>
      <c r="IB80" s="108"/>
      <c r="IC80" s="108"/>
      <c r="ID80" s="108"/>
      <c r="IE80" s="108"/>
      <c r="IF80" s="108"/>
      <c r="IG80" s="108"/>
      <c r="IH80" s="108"/>
      <c r="II80" s="108"/>
      <c r="IJ80" s="108"/>
      <c r="IK80" s="108"/>
      <c r="IL80" s="108"/>
      <c r="IM80" s="108"/>
      <c r="IN80" s="108"/>
      <c r="IO80" s="108"/>
    </row>
    <row r="81" spans="2:249">
      <c r="AL81" s="236"/>
      <c r="AM81" s="237"/>
      <c r="AN81" s="237"/>
      <c r="AO81" s="237"/>
      <c r="AP81" s="237"/>
      <c r="AQ81" s="237"/>
      <c r="AR81" s="237"/>
      <c r="AS81" s="237"/>
      <c r="AT81" s="237"/>
      <c r="AU81" s="237"/>
      <c r="AV81" s="237"/>
      <c r="AW81" s="237"/>
      <c r="AX81" s="237"/>
      <c r="AY81" s="237"/>
      <c r="AZ81" s="237"/>
      <c r="BA81" s="237"/>
      <c r="BB81" s="237"/>
      <c r="BC81" s="237"/>
      <c r="BD81" s="237"/>
      <c r="BE81" s="237"/>
      <c r="BF81" s="237"/>
      <c r="BG81" s="237"/>
      <c r="BH81" s="237"/>
      <c r="BI81" s="237"/>
      <c r="BJ81" s="237"/>
      <c r="BK81" s="237"/>
      <c r="BL81" s="237"/>
      <c r="BM81" s="237"/>
      <c r="BN81" s="237"/>
      <c r="BO81" s="237"/>
      <c r="BP81" s="237"/>
      <c r="BQ81" s="237"/>
      <c r="BR81" s="237"/>
      <c r="BS81" s="237"/>
      <c r="BT81" s="237"/>
      <c r="BU81" s="237"/>
      <c r="BV81" s="237"/>
      <c r="BW81" s="237"/>
      <c r="BX81" s="237"/>
      <c r="BY81" s="237"/>
      <c r="BZ81" s="237"/>
      <c r="CA81" s="237"/>
      <c r="CB81" s="237"/>
      <c r="CC81" s="237"/>
      <c r="CD81" s="237"/>
      <c r="CE81" s="237"/>
      <c r="CF81" s="237"/>
      <c r="CG81" s="237"/>
      <c r="CH81" s="237"/>
      <c r="CI81" s="237"/>
      <c r="CJ81" s="237"/>
      <c r="CK81" s="237"/>
      <c r="CL81" s="237"/>
      <c r="CM81" s="237"/>
      <c r="CN81" s="237"/>
      <c r="CO81" s="237"/>
      <c r="CP81" s="237"/>
      <c r="CQ81" s="237"/>
      <c r="CR81" s="237"/>
      <c r="CS81" s="237"/>
      <c r="CT81" s="237"/>
      <c r="CU81" s="237"/>
      <c r="CV81" s="237"/>
      <c r="CW81" s="237"/>
      <c r="CX81" s="237"/>
      <c r="CY81" s="237"/>
      <c r="CZ81" s="237"/>
      <c r="DA81" s="237"/>
      <c r="DB81" s="237"/>
      <c r="DC81" s="237"/>
      <c r="DD81" s="237"/>
      <c r="DE81" s="237"/>
      <c r="DF81" s="237"/>
      <c r="DG81" s="237"/>
      <c r="DH81" s="237"/>
      <c r="DI81" s="237"/>
      <c r="DJ81" s="237"/>
      <c r="DK81" s="237"/>
      <c r="DL81" s="237"/>
      <c r="DM81" s="237"/>
      <c r="DN81" s="237"/>
      <c r="DO81" s="237"/>
      <c r="DP81" s="237"/>
      <c r="DQ81" s="237"/>
      <c r="DR81" s="237"/>
      <c r="DS81" s="237"/>
      <c r="DT81" s="237"/>
      <c r="DU81" s="237"/>
      <c r="DV81" s="237"/>
      <c r="DW81" s="237"/>
      <c r="DX81" s="237"/>
      <c r="DY81" s="237"/>
      <c r="DZ81" s="237"/>
      <c r="EA81" s="237"/>
      <c r="EB81" s="237"/>
      <c r="EC81" s="237"/>
      <c r="ED81" s="237"/>
      <c r="EE81" s="237"/>
      <c r="EF81" s="237"/>
      <c r="EG81" s="237"/>
      <c r="EH81" s="237"/>
      <c r="EI81" s="237"/>
      <c r="EJ81" s="237"/>
      <c r="EK81" s="237"/>
      <c r="EL81" s="237"/>
      <c r="EM81" s="237"/>
      <c r="EN81" s="237"/>
      <c r="EO81" s="237"/>
      <c r="EP81" s="237"/>
      <c r="EQ81" s="237"/>
      <c r="ER81" s="237"/>
      <c r="ES81" s="237"/>
      <c r="ET81" s="237"/>
      <c r="EU81" s="237"/>
      <c r="EV81" s="237"/>
      <c r="EW81" s="237"/>
      <c r="EX81" s="237"/>
      <c r="EY81" s="237"/>
      <c r="EZ81" s="237"/>
      <c r="FA81" s="237"/>
      <c r="FB81" s="237"/>
      <c r="FC81" s="237"/>
      <c r="FD81" s="237"/>
      <c r="FE81" s="237"/>
      <c r="FF81" s="237"/>
      <c r="FG81" s="237"/>
      <c r="FH81" s="237"/>
      <c r="FI81" s="237"/>
      <c r="FJ81" s="237"/>
      <c r="FK81" s="237"/>
      <c r="FL81" s="238"/>
      <c r="FM81" s="224"/>
      <c r="FN81" s="224"/>
      <c r="FO81" s="224"/>
      <c r="FP81" s="224"/>
      <c r="FQ81" s="224"/>
      <c r="FR81" s="224"/>
      <c r="FS81" s="224"/>
      <c r="FT81" s="224"/>
      <c r="FU81" s="224"/>
      <c r="FV81" s="224"/>
      <c r="FW81" s="224"/>
      <c r="FX81" s="224"/>
      <c r="FY81" s="224"/>
      <c r="FZ81" s="224"/>
      <c r="GA81" s="224"/>
      <c r="GB81" s="224"/>
      <c r="GC81" s="224"/>
      <c r="GD81" s="224"/>
      <c r="GE81" s="224"/>
      <c r="GF81" s="224"/>
      <c r="GG81" s="224"/>
      <c r="GH81" s="224"/>
      <c r="GI81" s="224"/>
      <c r="GJ81" s="224"/>
      <c r="GK81" s="224"/>
      <c r="GL81" s="224"/>
      <c r="GM81" s="224"/>
      <c r="GN81" s="224"/>
      <c r="GO81" s="224"/>
      <c r="GP81" s="224"/>
      <c r="GQ81" s="224"/>
      <c r="GR81" s="224"/>
      <c r="GS81" s="224"/>
      <c r="GT81" s="224"/>
      <c r="GU81" s="224"/>
      <c r="GV81" s="224"/>
      <c r="GW81" s="224"/>
      <c r="GX81" s="224"/>
      <c r="GY81" s="224"/>
      <c r="GZ81" s="224"/>
      <c r="HA81" s="224"/>
      <c r="HB81" s="224"/>
      <c r="HC81" s="224"/>
      <c r="HD81" s="224"/>
      <c r="HE81" s="224"/>
      <c r="HF81" s="224"/>
      <c r="HG81" s="224"/>
      <c r="HH81" s="224"/>
      <c r="HI81" s="224"/>
      <c r="HJ81" s="224"/>
      <c r="HK81" s="224"/>
      <c r="HL81" s="224"/>
      <c r="HM81" s="224"/>
      <c r="HN81" s="224"/>
      <c r="HO81" s="224"/>
      <c r="HP81" s="224"/>
      <c r="HQ81" s="224"/>
      <c r="HR81" s="224"/>
      <c r="HS81" s="224"/>
      <c r="HT81" s="224"/>
      <c r="HU81" s="224"/>
      <c r="HV81" s="224"/>
      <c r="HW81" s="224"/>
      <c r="HX81" s="224"/>
      <c r="HY81" s="224"/>
      <c r="HZ81" s="224"/>
      <c r="IA81" s="224"/>
      <c r="IB81" s="224"/>
      <c r="IC81" s="224"/>
      <c r="ID81" s="224"/>
      <c r="IE81" s="224"/>
      <c r="IF81" s="224"/>
      <c r="IG81" s="224"/>
      <c r="IH81" s="224"/>
      <c r="II81" s="224"/>
      <c r="IJ81" s="224"/>
      <c r="IK81" s="224"/>
      <c r="IL81" s="224"/>
      <c r="IM81" s="224"/>
      <c r="IN81" s="224"/>
      <c r="IO81" s="224"/>
    </row>
    <row r="82" spans="2:249">
      <c r="B82" s="120" t="s">
        <v>456</v>
      </c>
      <c r="C82" s="121" t="s">
        <v>457</v>
      </c>
      <c r="D82" s="122"/>
      <c r="E82" s="122"/>
      <c r="F82" s="122"/>
      <c r="G82" s="122"/>
      <c r="H82" s="122"/>
      <c r="I82" s="122"/>
      <c r="J82" s="122"/>
      <c r="K82" s="122"/>
      <c r="L82" s="122"/>
      <c r="M82" s="122"/>
      <c r="N82" s="122"/>
      <c r="O82" s="122"/>
      <c r="P82" s="122"/>
      <c r="Q82" s="122"/>
      <c r="R82" s="122"/>
      <c r="S82" s="122"/>
      <c r="T82" s="122"/>
      <c r="U82" s="122"/>
      <c r="V82" s="122"/>
      <c r="W82" s="122"/>
      <c r="X82" s="122"/>
      <c r="Y82" s="122"/>
      <c r="Z82" s="122"/>
      <c r="AA82" s="122"/>
      <c r="AB82" s="122"/>
      <c r="AC82" s="122"/>
      <c r="AD82" s="122"/>
      <c r="AE82" s="122"/>
      <c r="AF82" s="122"/>
      <c r="AG82" s="122"/>
      <c r="AH82" s="122"/>
      <c r="AI82" s="122"/>
      <c r="AJ82" s="122"/>
      <c r="AK82" s="122"/>
      <c r="AL82" s="236"/>
      <c r="AM82" s="237"/>
      <c r="AN82" s="237"/>
      <c r="AO82" s="237"/>
      <c r="AP82" s="237"/>
      <c r="AQ82" s="237"/>
      <c r="AR82" s="237"/>
      <c r="AS82" s="237"/>
      <c r="AT82" s="237"/>
      <c r="AU82" s="237"/>
      <c r="AV82" s="237"/>
      <c r="AW82" s="237"/>
      <c r="AX82" s="237"/>
      <c r="AY82" s="237"/>
      <c r="AZ82" s="237"/>
      <c r="BA82" s="237"/>
      <c r="BB82" s="237"/>
      <c r="BC82" s="237"/>
      <c r="BD82" s="237"/>
      <c r="BE82" s="237"/>
      <c r="BF82" s="237"/>
      <c r="BG82" s="237"/>
      <c r="BH82" s="237"/>
      <c r="BI82" s="237"/>
      <c r="BJ82" s="237"/>
      <c r="BK82" s="237"/>
      <c r="BL82" s="237"/>
      <c r="BM82" s="237"/>
      <c r="BN82" s="237"/>
      <c r="BO82" s="237"/>
      <c r="BP82" s="237"/>
      <c r="BQ82" s="237"/>
      <c r="BR82" s="237"/>
      <c r="BS82" s="237"/>
      <c r="BT82" s="237"/>
      <c r="BU82" s="237"/>
      <c r="BV82" s="237"/>
      <c r="BW82" s="237"/>
      <c r="BX82" s="237"/>
      <c r="BY82" s="237"/>
      <c r="BZ82" s="237"/>
      <c r="CA82" s="237"/>
      <c r="CB82" s="237"/>
      <c r="CC82" s="237"/>
      <c r="CD82" s="237"/>
      <c r="CE82" s="237"/>
      <c r="CF82" s="237"/>
      <c r="CG82" s="237"/>
      <c r="CH82" s="237"/>
      <c r="CI82" s="237"/>
      <c r="CJ82" s="237"/>
      <c r="CK82" s="237"/>
      <c r="CL82" s="237"/>
      <c r="CM82" s="237"/>
      <c r="CN82" s="237"/>
      <c r="CO82" s="237"/>
      <c r="CP82" s="237"/>
      <c r="CQ82" s="237"/>
      <c r="CR82" s="237"/>
      <c r="CS82" s="237"/>
      <c r="CT82" s="237"/>
      <c r="CU82" s="237"/>
      <c r="CV82" s="237"/>
      <c r="CW82" s="237"/>
      <c r="CX82" s="237"/>
      <c r="CY82" s="237"/>
      <c r="CZ82" s="237"/>
      <c r="DA82" s="237"/>
      <c r="DB82" s="237"/>
      <c r="DC82" s="237"/>
      <c r="DD82" s="237"/>
      <c r="DE82" s="237"/>
      <c r="DF82" s="237"/>
      <c r="DG82" s="237"/>
      <c r="DH82" s="237"/>
      <c r="DI82" s="237"/>
      <c r="DJ82" s="237"/>
      <c r="DK82" s="237"/>
      <c r="DL82" s="237"/>
      <c r="DM82" s="237"/>
      <c r="DN82" s="237"/>
      <c r="DO82" s="237"/>
      <c r="DP82" s="237"/>
      <c r="DQ82" s="237"/>
      <c r="DR82" s="237"/>
      <c r="DS82" s="237"/>
      <c r="DT82" s="237"/>
      <c r="DU82" s="237"/>
      <c r="DV82" s="237"/>
      <c r="DW82" s="237"/>
      <c r="DX82" s="237"/>
      <c r="DY82" s="237"/>
      <c r="DZ82" s="237"/>
      <c r="EA82" s="237"/>
      <c r="EB82" s="237"/>
      <c r="EC82" s="237"/>
      <c r="ED82" s="237"/>
      <c r="EE82" s="237"/>
      <c r="EF82" s="237"/>
      <c r="EG82" s="237"/>
      <c r="EH82" s="237"/>
      <c r="EI82" s="237"/>
      <c r="EJ82" s="237"/>
      <c r="EK82" s="237"/>
      <c r="EL82" s="237"/>
      <c r="EM82" s="237"/>
      <c r="EN82" s="237"/>
      <c r="EO82" s="237"/>
      <c r="EP82" s="237"/>
      <c r="EQ82" s="237"/>
      <c r="ER82" s="237"/>
      <c r="ES82" s="237"/>
      <c r="ET82" s="237"/>
      <c r="EU82" s="237"/>
      <c r="EV82" s="237"/>
      <c r="EW82" s="237"/>
      <c r="EX82" s="237"/>
      <c r="EY82" s="237"/>
      <c r="EZ82" s="237"/>
      <c r="FA82" s="237"/>
      <c r="FB82" s="237"/>
      <c r="FC82" s="237"/>
      <c r="FD82" s="237"/>
      <c r="FE82" s="237"/>
      <c r="FF82" s="237"/>
      <c r="FG82" s="237"/>
      <c r="FH82" s="237"/>
      <c r="FI82" s="237"/>
      <c r="FJ82" s="237"/>
      <c r="FK82" s="237"/>
      <c r="FL82" s="238"/>
      <c r="FM82" s="224"/>
      <c r="FN82" s="224"/>
      <c r="FO82" s="224"/>
      <c r="FP82" s="224"/>
      <c r="FQ82" s="224"/>
      <c r="FR82" s="224"/>
      <c r="FS82" s="224"/>
      <c r="FT82" s="224"/>
      <c r="FU82" s="224"/>
      <c r="FV82" s="224"/>
      <c r="FW82" s="224"/>
      <c r="FX82" s="224"/>
      <c r="FY82" s="224"/>
      <c r="FZ82" s="224"/>
      <c r="GA82" s="224"/>
      <c r="GB82" s="224"/>
      <c r="GC82" s="224"/>
      <c r="GD82" s="224"/>
      <c r="GE82" s="224"/>
      <c r="GF82" s="224"/>
      <c r="GG82" s="224"/>
      <c r="GH82" s="224"/>
      <c r="GI82" s="224"/>
      <c r="GJ82" s="224"/>
      <c r="GK82" s="224"/>
      <c r="GL82" s="224"/>
      <c r="GM82" s="224"/>
      <c r="GN82" s="224"/>
      <c r="GO82" s="224"/>
      <c r="GP82" s="224"/>
      <c r="GQ82" s="224"/>
      <c r="GR82" s="224"/>
      <c r="GS82" s="224"/>
      <c r="GT82" s="224"/>
      <c r="GU82" s="224"/>
      <c r="GV82" s="224"/>
      <c r="GW82" s="224"/>
      <c r="GX82" s="224"/>
      <c r="GY82" s="224"/>
      <c r="GZ82" s="224"/>
      <c r="HA82" s="224"/>
      <c r="HB82" s="224"/>
      <c r="HC82" s="224"/>
      <c r="HD82" s="224"/>
      <c r="HE82" s="224"/>
      <c r="HF82" s="224"/>
      <c r="HG82" s="224"/>
      <c r="HH82" s="224"/>
      <c r="HI82" s="224"/>
      <c r="HJ82" s="224"/>
      <c r="HK82" s="224"/>
      <c r="HL82" s="224"/>
      <c r="HM82" s="224"/>
      <c r="HN82" s="224"/>
      <c r="HO82" s="224"/>
      <c r="HP82" s="224"/>
      <c r="HQ82" s="224"/>
      <c r="HR82" s="224"/>
      <c r="HS82" s="224"/>
      <c r="HT82" s="224"/>
      <c r="HU82" s="224"/>
      <c r="HV82" s="224"/>
      <c r="HW82" s="224"/>
      <c r="HX82" s="224"/>
      <c r="HY82" s="224"/>
      <c r="HZ82" s="224"/>
      <c r="IA82" s="224"/>
      <c r="IB82" s="224"/>
      <c r="IC82" s="224"/>
      <c r="ID82" s="224"/>
      <c r="IE82" s="224"/>
      <c r="IF82" s="224"/>
      <c r="IG82" s="224"/>
      <c r="IH82" s="224"/>
      <c r="II82" s="224"/>
      <c r="IJ82" s="224"/>
      <c r="IK82" s="224"/>
      <c r="IL82" s="224"/>
      <c r="IM82" s="224"/>
      <c r="IN82" s="224"/>
      <c r="IO82" s="224"/>
    </row>
    <row r="83" spans="2:249" ht="13.5" thickBot="1">
      <c r="B83" s="123" t="s">
        <v>458</v>
      </c>
      <c r="C83" s="124" t="s">
        <v>512</v>
      </c>
      <c r="D83" s="125"/>
      <c r="E83" s="125"/>
      <c r="F83" s="125"/>
      <c r="G83" s="125"/>
      <c r="H83" s="125"/>
      <c r="I83" s="125"/>
      <c r="J83" s="125"/>
      <c r="K83" s="125"/>
      <c r="L83" s="125"/>
      <c r="M83" s="125"/>
      <c r="N83" s="125"/>
      <c r="O83" s="125"/>
      <c r="P83" s="125"/>
      <c r="Q83" s="125"/>
      <c r="R83" s="125"/>
      <c r="S83" s="125"/>
      <c r="T83" s="125"/>
      <c r="U83" s="125"/>
      <c r="V83" s="125"/>
      <c r="W83" s="125"/>
      <c r="X83" s="125"/>
      <c r="Y83" s="125"/>
      <c r="Z83" s="125"/>
      <c r="AA83" s="125"/>
      <c r="AB83" s="125"/>
      <c r="AC83" s="125"/>
      <c r="AD83" s="125"/>
      <c r="AE83" s="125"/>
      <c r="AF83" s="125"/>
      <c r="AG83" s="125"/>
      <c r="AH83" s="125"/>
      <c r="AI83" s="125"/>
      <c r="AJ83" s="125"/>
      <c r="AK83" s="125"/>
      <c r="AL83" s="239"/>
      <c r="AM83" s="240"/>
      <c r="AN83" s="240"/>
      <c r="AO83" s="240"/>
      <c r="AP83" s="240"/>
      <c r="AQ83" s="240"/>
      <c r="AR83" s="240"/>
      <c r="AS83" s="240"/>
      <c r="AT83" s="240"/>
      <c r="AU83" s="240"/>
      <c r="AV83" s="240"/>
      <c r="AW83" s="240"/>
      <c r="AX83" s="240"/>
      <c r="AY83" s="240"/>
      <c r="AZ83" s="240"/>
      <c r="BA83" s="240"/>
      <c r="BB83" s="240"/>
      <c r="BC83" s="240"/>
      <c r="BD83" s="240"/>
      <c r="BE83" s="240"/>
      <c r="BF83" s="240"/>
      <c r="BG83" s="240"/>
      <c r="BH83" s="240"/>
      <c r="BI83" s="240"/>
      <c r="BJ83" s="240"/>
      <c r="BK83" s="240"/>
      <c r="BL83" s="240"/>
      <c r="BM83" s="240"/>
      <c r="BN83" s="240"/>
      <c r="BO83" s="240"/>
      <c r="BP83" s="240"/>
      <c r="BQ83" s="240"/>
      <c r="BR83" s="240"/>
      <c r="BS83" s="240"/>
      <c r="BT83" s="240"/>
      <c r="BU83" s="240"/>
      <c r="BV83" s="240"/>
      <c r="BW83" s="240"/>
      <c r="BX83" s="240"/>
      <c r="BY83" s="240"/>
      <c r="BZ83" s="240"/>
      <c r="CA83" s="240"/>
      <c r="CB83" s="240"/>
      <c r="CC83" s="240"/>
      <c r="CD83" s="240"/>
      <c r="CE83" s="240"/>
      <c r="CF83" s="240"/>
      <c r="CG83" s="240"/>
      <c r="CH83" s="240"/>
      <c r="CI83" s="240"/>
      <c r="CJ83" s="240"/>
      <c r="CK83" s="240"/>
      <c r="CL83" s="240"/>
      <c r="CM83" s="240"/>
      <c r="CN83" s="240"/>
      <c r="CO83" s="240"/>
      <c r="CP83" s="240"/>
      <c r="CQ83" s="240"/>
      <c r="CR83" s="240"/>
      <c r="CS83" s="240"/>
      <c r="CT83" s="240"/>
      <c r="CU83" s="240"/>
      <c r="CV83" s="240"/>
      <c r="CW83" s="240"/>
      <c r="CX83" s="240"/>
      <c r="CY83" s="240"/>
      <c r="CZ83" s="240"/>
      <c r="DA83" s="240"/>
      <c r="DB83" s="240"/>
      <c r="DC83" s="240"/>
      <c r="DD83" s="240"/>
      <c r="DE83" s="240"/>
      <c r="DF83" s="240"/>
      <c r="DG83" s="240"/>
      <c r="DH83" s="240"/>
      <c r="DI83" s="240"/>
      <c r="DJ83" s="240"/>
      <c r="DK83" s="240"/>
      <c r="DL83" s="240"/>
      <c r="DM83" s="240"/>
      <c r="DN83" s="240"/>
      <c r="DO83" s="240"/>
      <c r="DP83" s="240"/>
      <c r="DQ83" s="240"/>
      <c r="DR83" s="240"/>
      <c r="DS83" s="240"/>
      <c r="DT83" s="240"/>
      <c r="DU83" s="240"/>
      <c r="DV83" s="240"/>
      <c r="DW83" s="240"/>
      <c r="DX83" s="240"/>
      <c r="DY83" s="240"/>
      <c r="DZ83" s="240"/>
      <c r="EA83" s="240"/>
      <c r="EB83" s="240"/>
      <c r="EC83" s="240"/>
      <c r="ED83" s="240"/>
      <c r="EE83" s="240"/>
      <c r="EF83" s="240"/>
      <c r="EG83" s="240"/>
      <c r="EH83" s="240"/>
      <c r="EI83" s="240"/>
      <c r="EJ83" s="240"/>
      <c r="EK83" s="240"/>
      <c r="EL83" s="240"/>
      <c r="EM83" s="240"/>
      <c r="EN83" s="240"/>
      <c r="EO83" s="240"/>
      <c r="EP83" s="240"/>
      <c r="EQ83" s="240"/>
      <c r="ER83" s="240"/>
      <c r="ES83" s="240"/>
      <c r="ET83" s="240"/>
      <c r="EU83" s="240"/>
      <c r="EV83" s="240"/>
      <c r="EW83" s="240"/>
      <c r="EX83" s="240"/>
      <c r="EY83" s="240"/>
      <c r="EZ83" s="240"/>
      <c r="FA83" s="240"/>
      <c r="FB83" s="240"/>
      <c r="FC83" s="240"/>
      <c r="FD83" s="240"/>
      <c r="FE83" s="240"/>
      <c r="FF83" s="240"/>
      <c r="FG83" s="240"/>
      <c r="FH83" s="240"/>
      <c r="FI83" s="240"/>
      <c r="FJ83" s="240"/>
      <c r="FK83" s="240"/>
      <c r="FL83" s="241"/>
      <c r="FM83" s="225"/>
      <c r="FN83" s="225"/>
      <c r="FO83" s="225"/>
      <c r="FP83" s="225"/>
      <c r="FQ83" s="225"/>
      <c r="FR83" s="225"/>
      <c r="FS83" s="225"/>
      <c r="FT83" s="225"/>
      <c r="FU83" s="225"/>
      <c r="FV83" s="225"/>
      <c r="FW83" s="225"/>
      <c r="FX83" s="225"/>
      <c r="FY83" s="225"/>
      <c r="FZ83" s="225"/>
      <c r="GA83" s="225"/>
      <c r="GB83" s="225"/>
      <c r="GC83" s="225"/>
      <c r="GD83" s="225"/>
      <c r="GE83" s="225"/>
      <c r="GF83" s="225"/>
      <c r="GG83" s="225"/>
      <c r="GH83" s="225"/>
      <c r="GI83" s="225"/>
      <c r="GJ83" s="225"/>
      <c r="GK83" s="225"/>
      <c r="GL83" s="225"/>
      <c r="GM83" s="225"/>
      <c r="GN83" s="225"/>
      <c r="GO83" s="225"/>
      <c r="GP83" s="225"/>
      <c r="GQ83" s="225"/>
      <c r="GR83" s="225"/>
      <c r="GS83" s="225"/>
      <c r="GT83" s="225"/>
      <c r="GU83" s="225"/>
      <c r="GV83" s="225"/>
      <c r="GW83" s="225"/>
      <c r="GX83" s="225"/>
      <c r="GY83" s="225"/>
      <c r="GZ83" s="225"/>
      <c r="HA83" s="225"/>
      <c r="HB83" s="225"/>
      <c r="HC83" s="225"/>
      <c r="HD83" s="225"/>
      <c r="HE83" s="225"/>
      <c r="HF83" s="225"/>
      <c r="HG83" s="225"/>
      <c r="HH83" s="225"/>
      <c r="HI83" s="225"/>
      <c r="HJ83" s="225"/>
      <c r="HK83" s="225"/>
      <c r="HL83" s="225"/>
      <c r="HM83" s="225"/>
      <c r="HN83" s="225"/>
      <c r="HO83" s="225"/>
      <c r="HP83" s="225"/>
      <c r="HQ83" s="225"/>
      <c r="HR83" s="225"/>
      <c r="HS83" s="225"/>
      <c r="HT83" s="225"/>
      <c r="HU83" s="225"/>
      <c r="HV83" s="225"/>
      <c r="HW83" s="225"/>
      <c r="HX83" s="225"/>
      <c r="HY83" s="225"/>
      <c r="HZ83" s="225"/>
      <c r="IA83" s="225"/>
      <c r="IB83" s="225"/>
      <c r="IC83" s="225"/>
      <c r="ID83" s="225"/>
      <c r="IE83" s="225"/>
      <c r="IF83" s="225"/>
      <c r="IG83" s="225"/>
      <c r="IH83" s="225"/>
      <c r="II83" s="225"/>
      <c r="IJ83" s="225"/>
      <c r="IK83" s="225"/>
      <c r="IL83" s="225"/>
      <c r="IM83" s="225"/>
      <c r="IN83" s="225"/>
      <c r="IO83" s="225"/>
    </row>
    <row r="84" spans="2:249" s="55" customFormat="1" ht="38.25">
      <c r="B84" s="126"/>
      <c r="C84" s="169" t="s">
        <v>513</v>
      </c>
      <c r="D84" s="171" t="s">
        <v>764</v>
      </c>
      <c r="E84" s="171" t="s">
        <v>765</v>
      </c>
      <c r="F84" s="171" t="s">
        <v>766</v>
      </c>
      <c r="G84" s="171" t="s">
        <v>767</v>
      </c>
      <c r="H84" s="171" t="s">
        <v>768</v>
      </c>
      <c r="I84" s="171" t="s">
        <v>769</v>
      </c>
      <c r="J84" s="171" t="s">
        <v>770</v>
      </c>
      <c r="K84" s="171" t="s">
        <v>771</v>
      </c>
      <c r="L84" s="171" t="s">
        <v>772</v>
      </c>
      <c r="M84" s="171" t="s">
        <v>773</v>
      </c>
      <c r="N84" s="171" t="s">
        <v>774</v>
      </c>
      <c r="O84" s="171" t="s">
        <v>775</v>
      </c>
      <c r="P84" s="171" t="s">
        <v>776</v>
      </c>
      <c r="Q84" s="171" t="s">
        <v>777</v>
      </c>
      <c r="R84" s="171" t="s">
        <v>778</v>
      </c>
      <c r="S84" s="171" t="s">
        <v>779</v>
      </c>
      <c r="T84" s="171" t="s">
        <v>780</v>
      </c>
      <c r="U84" s="171" t="s">
        <v>781</v>
      </c>
      <c r="V84" s="171" t="s">
        <v>782</v>
      </c>
      <c r="W84" s="171" t="s">
        <v>783</v>
      </c>
      <c r="X84" s="171" t="s">
        <v>784</v>
      </c>
      <c r="Y84" s="171" t="s">
        <v>785</v>
      </c>
      <c r="Z84" s="171" t="s">
        <v>786</v>
      </c>
      <c r="AA84" s="171" t="s">
        <v>787</v>
      </c>
      <c r="AB84" s="171" t="s">
        <v>788</v>
      </c>
      <c r="AC84" s="171" t="s">
        <v>789</v>
      </c>
      <c r="AD84" s="171" t="s">
        <v>790</v>
      </c>
      <c r="AE84" s="171" t="s">
        <v>791</v>
      </c>
      <c r="AF84" s="171" t="s">
        <v>792</v>
      </c>
      <c r="AG84" s="171" t="s">
        <v>793</v>
      </c>
      <c r="AH84" s="171" t="s">
        <v>794</v>
      </c>
      <c r="AI84" s="171" t="s">
        <v>795</v>
      </c>
      <c r="AJ84" s="171" t="s">
        <v>796</v>
      </c>
      <c r="AK84" s="171" t="s">
        <v>797</v>
      </c>
      <c r="AL84" s="127" t="s">
        <v>720</v>
      </c>
      <c r="AM84" s="127" t="s">
        <v>721</v>
      </c>
      <c r="AN84" s="127" t="s">
        <v>722</v>
      </c>
      <c r="AO84" s="127" t="s">
        <v>723</v>
      </c>
      <c r="AP84" s="127" t="s">
        <v>724</v>
      </c>
      <c r="AQ84" s="127" t="s">
        <v>725</v>
      </c>
      <c r="AR84" s="127" t="s">
        <v>726</v>
      </c>
      <c r="AS84" s="127" t="s">
        <v>727</v>
      </c>
      <c r="AT84" s="127" t="s">
        <v>728</v>
      </c>
      <c r="AU84" s="127" t="s">
        <v>719</v>
      </c>
      <c r="AV84" s="127" t="s">
        <v>729</v>
      </c>
      <c r="AW84" s="127" t="s">
        <v>730</v>
      </c>
      <c r="AX84" s="127" t="s">
        <v>731</v>
      </c>
      <c r="AY84" s="127" t="s">
        <v>732</v>
      </c>
      <c r="AZ84" s="127" t="s">
        <v>733</v>
      </c>
      <c r="BA84" s="127" t="s">
        <v>734</v>
      </c>
      <c r="BB84" s="127" t="s">
        <v>735</v>
      </c>
      <c r="BC84" s="127" t="s">
        <v>736</v>
      </c>
      <c r="BD84" s="127" t="s">
        <v>737</v>
      </c>
      <c r="BE84" s="127" t="s">
        <v>738</v>
      </c>
      <c r="BF84" s="127" t="s">
        <v>739</v>
      </c>
      <c r="BG84" s="127" t="s">
        <v>740</v>
      </c>
      <c r="BH84" s="127" t="s">
        <v>741</v>
      </c>
      <c r="BI84" s="127" t="s">
        <v>742</v>
      </c>
      <c r="BJ84" s="127" t="s">
        <v>743</v>
      </c>
      <c r="BK84" s="127" t="s">
        <v>744</v>
      </c>
      <c r="BL84" s="127" t="s">
        <v>745</v>
      </c>
      <c r="BM84" s="127" t="s">
        <v>746</v>
      </c>
      <c r="BN84" s="127" t="s">
        <v>747</v>
      </c>
      <c r="BO84" s="127" t="s">
        <v>748</v>
      </c>
      <c r="BP84" s="127" t="s">
        <v>749</v>
      </c>
      <c r="BQ84" s="127" t="s">
        <v>750</v>
      </c>
      <c r="BR84" s="127" t="s">
        <v>751</v>
      </c>
      <c r="BS84" s="127" t="s">
        <v>752</v>
      </c>
      <c r="BT84" s="127" t="s">
        <v>753</v>
      </c>
      <c r="BU84" s="127" t="s">
        <v>754</v>
      </c>
      <c r="BV84" s="127" t="s">
        <v>755</v>
      </c>
      <c r="BW84" s="127" t="s">
        <v>756</v>
      </c>
      <c r="BX84" s="127" t="s">
        <v>757</v>
      </c>
      <c r="BY84" s="127" t="s">
        <v>758</v>
      </c>
      <c r="BZ84" s="127" t="s">
        <v>759</v>
      </c>
      <c r="CA84" s="127" t="s">
        <v>760</v>
      </c>
      <c r="CB84" s="127" t="s">
        <v>761</v>
      </c>
      <c r="CC84" s="127" t="s">
        <v>762</v>
      </c>
      <c r="CD84" s="127" t="s">
        <v>763</v>
      </c>
      <c r="CE84" s="127"/>
      <c r="CF84" s="127"/>
      <c r="CG84" s="127"/>
      <c r="CH84" s="127"/>
      <c r="CI84" s="127"/>
      <c r="CJ84" s="127"/>
      <c r="CK84" s="127"/>
      <c r="CL84" s="127"/>
      <c r="CM84" s="127"/>
      <c r="CN84" s="127"/>
      <c r="CO84" s="127"/>
      <c r="CP84" s="127"/>
      <c r="CQ84" s="127"/>
      <c r="CR84" s="127"/>
      <c r="CS84" s="127"/>
      <c r="CT84" s="127"/>
      <c r="CU84" s="127"/>
      <c r="CV84" s="127"/>
      <c r="CW84" s="127"/>
      <c r="CX84" s="127"/>
      <c r="CY84" s="127"/>
      <c r="CZ84" s="127"/>
      <c r="DA84" s="127"/>
      <c r="DB84" s="127"/>
      <c r="DC84" s="127"/>
      <c r="DD84" s="127"/>
      <c r="DE84" s="127"/>
      <c r="DF84" s="127"/>
      <c r="DG84" s="127"/>
      <c r="DH84" s="127"/>
      <c r="DI84" s="127"/>
      <c r="DJ84" s="127"/>
      <c r="DK84" s="127"/>
      <c r="DL84" s="127"/>
      <c r="DM84" s="127"/>
      <c r="DN84" s="127"/>
      <c r="DO84" s="127"/>
      <c r="DP84" s="127"/>
      <c r="DQ84" s="127"/>
      <c r="DR84" s="127"/>
      <c r="DS84" s="127"/>
      <c r="DT84" s="127"/>
      <c r="DU84" s="127"/>
      <c r="DV84" s="127"/>
      <c r="DW84" s="127"/>
      <c r="DX84" s="127"/>
      <c r="DY84" s="127"/>
      <c r="DZ84" s="127"/>
      <c r="EA84" s="127"/>
      <c r="EB84" s="127"/>
      <c r="EC84" s="127"/>
      <c r="ED84" s="127"/>
      <c r="EE84" s="127"/>
      <c r="EF84" s="127"/>
      <c r="EG84" s="127"/>
      <c r="EH84" s="127"/>
      <c r="EI84" s="127"/>
      <c r="EJ84" s="127"/>
      <c r="EK84" s="127"/>
      <c r="EL84" s="127"/>
      <c r="EM84" s="127"/>
      <c r="EN84" s="127"/>
      <c r="EO84" s="127"/>
      <c r="EP84" s="127"/>
      <c r="EQ84" s="127"/>
      <c r="ER84" s="127"/>
      <c r="ES84" s="127"/>
      <c r="ET84" s="127"/>
      <c r="EU84" s="127"/>
      <c r="EV84" s="127"/>
      <c r="EW84" s="127"/>
      <c r="EX84" s="127"/>
      <c r="EY84" s="127"/>
      <c r="EZ84" s="127"/>
      <c r="FA84" s="127"/>
      <c r="FB84" s="127"/>
      <c r="FC84" s="127"/>
      <c r="FD84" s="127"/>
      <c r="FE84" s="127"/>
      <c r="FF84" s="127"/>
      <c r="FG84" s="127"/>
      <c r="FH84" s="127"/>
      <c r="FI84" s="127"/>
      <c r="FJ84" s="127"/>
      <c r="FK84" s="127"/>
      <c r="FL84" s="127"/>
      <c r="FM84" s="127"/>
      <c r="FN84" s="127"/>
      <c r="FO84" s="127"/>
      <c r="FP84" s="127"/>
      <c r="FQ84" s="127"/>
      <c r="FR84" s="127"/>
      <c r="FS84" s="127"/>
      <c r="FT84" s="127"/>
      <c r="FU84" s="127"/>
      <c r="FV84" s="127"/>
      <c r="FW84" s="127"/>
      <c r="FX84" s="127"/>
      <c r="FY84" s="127"/>
      <c r="FZ84" s="127"/>
      <c r="GA84" s="127"/>
      <c r="GB84" s="127"/>
      <c r="GC84" s="127"/>
      <c r="GD84" s="127"/>
      <c r="GE84" s="127"/>
      <c r="GF84" s="127"/>
      <c r="GG84" s="127"/>
      <c r="GH84" s="127"/>
      <c r="GI84" s="127"/>
      <c r="GJ84" s="127"/>
      <c r="GK84" s="127"/>
      <c r="GL84" s="127"/>
      <c r="GM84" s="127"/>
      <c r="GN84" s="127"/>
      <c r="GO84" s="127"/>
      <c r="GP84" s="127"/>
      <c r="GQ84" s="127"/>
      <c r="GR84" s="127"/>
      <c r="GS84" s="127"/>
      <c r="GT84" s="127"/>
      <c r="GU84" s="127"/>
      <c r="GV84" s="127"/>
      <c r="GW84" s="127"/>
      <c r="GX84" s="127"/>
      <c r="GY84" s="127"/>
      <c r="GZ84" s="127"/>
      <c r="HA84" s="127"/>
      <c r="HB84" s="127"/>
      <c r="HC84" s="127"/>
      <c r="HD84" s="127"/>
      <c r="HE84" s="127"/>
      <c r="HF84" s="127"/>
      <c r="HG84" s="127"/>
      <c r="HH84" s="127"/>
      <c r="HI84" s="127"/>
      <c r="HJ84" s="127"/>
      <c r="HK84" s="127"/>
      <c r="HL84" s="127"/>
      <c r="HM84" s="127"/>
      <c r="HN84" s="127"/>
      <c r="HO84" s="127"/>
      <c r="HP84" s="127"/>
      <c r="HQ84" s="127"/>
      <c r="HR84" s="127"/>
      <c r="HS84" s="127"/>
      <c r="HT84" s="127"/>
      <c r="HU84" s="127"/>
      <c r="HV84" s="127"/>
      <c r="HW84" s="127"/>
      <c r="HX84" s="127"/>
      <c r="HY84" s="127"/>
      <c r="HZ84" s="127"/>
      <c r="IA84" s="127"/>
      <c r="IB84" s="127"/>
      <c r="IC84" s="127"/>
      <c r="ID84" s="127"/>
      <c r="IE84" s="127"/>
      <c r="IF84" s="127"/>
      <c r="IG84" s="127"/>
      <c r="IH84" s="127"/>
      <c r="II84" s="127"/>
      <c r="IJ84" s="127"/>
      <c r="IK84" s="127"/>
      <c r="IL84" s="127"/>
      <c r="IM84" s="127"/>
      <c r="IN84" s="127"/>
      <c r="IO84" s="127"/>
    </row>
    <row r="85" spans="2:249" s="55" customFormat="1">
      <c r="B85" s="126"/>
      <c r="C85" s="169" t="s">
        <v>514</v>
      </c>
      <c r="D85" s="172" t="s">
        <v>530</v>
      </c>
      <c r="E85" s="176" t="s">
        <v>530</v>
      </c>
      <c r="F85" s="177" t="s">
        <v>530</v>
      </c>
      <c r="G85" s="176" t="s">
        <v>530</v>
      </c>
      <c r="H85" s="127" t="s">
        <v>530</v>
      </c>
      <c r="I85" s="127" t="s">
        <v>530</v>
      </c>
      <c r="J85" s="127" t="s">
        <v>530</v>
      </c>
      <c r="K85" s="127" t="s">
        <v>530</v>
      </c>
      <c r="L85" s="127" t="s">
        <v>530</v>
      </c>
      <c r="M85" s="177" t="s">
        <v>530</v>
      </c>
      <c r="N85" s="176" t="s">
        <v>530</v>
      </c>
      <c r="O85" s="127" t="s">
        <v>530</v>
      </c>
      <c r="P85" s="127" t="s">
        <v>530</v>
      </c>
      <c r="Q85" s="127" t="s">
        <v>530</v>
      </c>
      <c r="R85" s="128" t="s">
        <v>530</v>
      </c>
      <c r="S85" s="176" t="s">
        <v>530</v>
      </c>
      <c r="T85" s="127" t="s">
        <v>530</v>
      </c>
      <c r="U85" s="127" t="s">
        <v>530</v>
      </c>
      <c r="V85" s="127" t="s">
        <v>530</v>
      </c>
      <c r="W85" s="127" t="s">
        <v>530</v>
      </c>
      <c r="X85" s="127" t="s">
        <v>530</v>
      </c>
      <c r="Y85" s="127" t="s">
        <v>530</v>
      </c>
      <c r="Z85" s="127" t="s">
        <v>530</v>
      </c>
      <c r="AA85" s="127" t="s">
        <v>530</v>
      </c>
      <c r="AB85" s="127" t="s">
        <v>530</v>
      </c>
      <c r="AC85" s="127" t="s">
        <v>530</v>
      </c>
      <c r="AD85" s="127" t="s">
        <v>530</v>
      </c>
      <c r="AE85" s="177" t="s">
        <v>530</v>
      </c>
      <c r="AF85" s="176" t="s">
        <v>530</v>
      </c>
      <c r="AG85" s="127" t="s">
        <v>530</v>
      </c>
      <c r="AH85" s="127" t="s">
        <v>530</v>
      </c>
      <c r="AI85" s="127" t="s">
        <v>530</v>
      </c>
      <c r="AJ85" s="127" t="s">
        <v>530</v>
      </c>
      <c r="AK85" s="128" t="s">
        <v>530</v>
      </c>
      <c r="AL85" s="128" t="s">
        <v>530</v>
      </c>
      <c r="AM85" s="128" t="s">
        <v>530</v>
      </c>
      <c r="AN85" s="128" t="s">
        <v>530</v>
      </c>
      <c r="AO85" s="128" t="s">
        <v>530</v>
      </c>
      <c r="AP85" s="128" t="s">
        <v>530</v>
      </c>
      <c r="AQ85" s="128" t="s">
        <v>530</v>
      </c>
      <c r="AR85" s="128" t="s">
        <v>530</v>
      </c>
      <c r="AS85" s="128" t="s">
        <v>530</v>
      </c>
      <c r="AT85" s="128" t="s">
        <v>530</v>
      </c>
      <c r="AU85" s="128" t="s">
        <v>530</v>
      </c>
      <c r="AV85" s="128" t="s">
        <v>530</v>
      </c>
      <c r="AW85" s="128" t="s">
        <v>530</v>
      </c>
      <c r="AX85" s="128" t="s">
        <v>530</v>
      </c>
      <c r="AY85" s="128" t="s">
        <v>530</v>
      </c>
      <c r="AZ85" s="128" t="s">
        <v>530</v>
      </c>
      <c r="BA85" s="128" t="s">
        <v>530</v>
      </c>
      <c r="BB85" s="128" t="s">
        <v>530</v>
      </c>
      <c r="BC85" s="128" t="s">
        <v>530</v>
      </c>
      <c r="BD85" s="128" t="s">
        <v>530</v>
      </c>
      <c r="BE85" s="128" t="s">
        <v>530</v>
      </c>
      <c r="BF85" s="128" t="s">
        <v>530</v>
      </c>
      <c r="BG85" s="128" t="s">
        <v>530</v>
      </c>
      <c r="BH85" s="128" t="s">
        <v>530</v>
      </c>
      <c r="BI85" s="128" t="s">
        <v>530</v>
      </c>
      <c r="BJ85" s="128" t="s">
        <v>530</v>
      </c>
      <c r="BK85" s="128" t="s">
        <v>530</v>
      </c>
      <c r="BL85" s="128" t="s">
        <v>530</v>
      </c>
      <c r="BM85" s="128" t="s">
        <v>530</v>
      </c>
      <c r="BN85" s="128" t="s">
        <v>530</v>
      </c>
      <c r="BO85" s="128" t="s">
        <v>530</v>
      </c>
      <c r="BP85" s="128" t="s">
        <v>530</v>
      </c>
      <c r="BQ85" s="128" t="s">
        <v>530</v>
      </c>
      <c r="BR85" s="128" t="s">
        <v>530</v>
      </c>
      <c r="BS85" s="128" t="s">
        <v>530</v>
      </c>
      <c r="BT85" s="128" t="s">
        <v>530</v>
      </c>
      <c r="BU85" s="128" t="s">
        <v>530</v>
      </c>
      <c r="BV85" s="128" t="s">
        <v>530</v>
      </c>
      <c r="BW85" s="128" t="s">
        <v>530</v>
      </c>
      <c r="BX85" s="128" t="s">
        <v>530</v>
      </c>
      <c r="BY85" s="128" t="s">
        <v>530</v>
      </c>
      <c r="BZ85" s="128" t="s">
        <v>530</v>
      </c>
      <c r="CA85" s="128" t="s">
        <v>530</v>
      </c>
      <c r="CB85" s="128" t="s">
        <v>530</v>
      </c>
      <c r="CC85" s="128" t="s">
        <v>530</v>
      </c>
      <c r="CD85" s="128" t="s">
        <v>530</v>
      </c>
      <c r="CE85" s="127"/>
      <c r="CF85" s="127"/>
      <c r="CG85" s="127"/>
      <c r="CH85" s="127"/>
      <c r="CI85" s="127"/>
      <c r="CJ85" s="127"/>
      <c r="CK85" s="127"/>
      <c r="CL85" s="127"/>
      <c r="CM85" s="127"/>
      <c r="CN85" s="127"/>
      <c r="CO85" s="127"/>
      <c r="CP85" s="127"/>
      <c r="CQ85" s="127"/>
      <c r="CR85" s="127"/>
      <c r="CS85" s="127"/>
      <c r="CT85" s="127"/>
      <c r="CU85" s="127"/>
      <c r="CV85" s="127"/>
      <c r="CW85" s="127"/>
      <c r="CX85" s="127"/>
      <c r="CY85" s="127"/>
      <c r="CZ85" s="127"/>
      <c r="DA85" s="127"/>
      <c r="DB85" s="127"/>
      <c r="DC85" s="127"/>
      <c r="DD85" s="127"/>
      <c r="DE85" s="127"/>
      <c r="DF85" s="127"/>
      <c r="DG85" s="127"/>
      <c r="DH85" s="127"/>
      <c r="DI85" s="127"/>
      <c r="DJ85" s="127"/>
      <c r="DK85" s="127"/>
      <c r="DL85" s="127"/>
      <c r="DM85" s="127"/>
      <c r="DN85" s="127"/>
      <c r="DO85" s="127"/>
      <c r="DP85" s="127"/>
      <c r="DQ85" s="127"/>
      <c r="DR85" s="127"/>
      <c r="DS85" s="127"/>
      <c r="DT85" s="127"/>
      <c r="DU85" s="127"/>
      <c r="DV85" s="127"/>
      <c r="DW85" s="127"/>
      <c r="DX85" s="127"/>
      <c r="DY85" s="127"/>
      <c r="DZ85" s="127"/>
      <c r="EA85" s="127"/>
      <c r="EB85" s="127"/>
      <c r="EC85" s="127"/>
      <c r="ED85" s="127"/>
      <c r="EE85" s="127"/>
      <c r="EF85" s="127"/>
      <c r="EG85" s="127"/>
      <c r="EH85" s="127"/>
      <c r="EI85" s="127"/>
      <c r="EJ85" s="127"/>
      <c r="EK85" s="127"/>
      <c r="EL85" s="127"/>
      <c r="EM85" s="127"/>
      <c r="EN85" s="127"/>
      <c r="EO85" s="127"/>
      <c r="EP85" s="127"/>
      <c r="EQ85" s="127"/>
      <c r="ER85" s="127"/>
      <c r="ES85" s="127"/>
      <c r="ET85" s="127"/>
      <c r="EU85" s="127"/>
      <c r="EV85" s="127"/>
      <c r="EW85" s="127"/>
      <c r="EX85" s="127"/>
      <c r="EY85" s="127"/>
      <c r="EZ85" s="127"/>
      <c r="FA85" s="127"/>
      <c r="FB85" s="127"/>
      <c r="FC85" s="127"/>
      <c r="FD85" s="127"/>
      <c r="FE85" s="127"/>
      <c r="FF85" s="127"/>
      <c r="FG85" s="127"/>
      <c r="FH85" s="127"/>
      <c r="FI85" s="127"/>
      <c r="FJ85" s="127"/>
      <c r="FK85" s="127"/>
      <c r="FL85" s="127"/>
      <c r="FM85" s="127"/>
      <c r="FN85" s="127"/>
      <c r="FO85" s="127"/>
      <c r="FP85" s="127"/>
      <c r="FQ85" s="127"/>
      <c r="FR85" s="127"/>
      <c r="FS85" s="127"/>
      <c r="FT85" s="127"/>
      <c r="FU85" s="127"/>
      <c r="FV85" s="127"/>
      <c r="FW85" s="127"/>
      <c r="FX85" s="127"/>
      <c r="FY85" s="127"/>
      <c r="FZ85" s="127"/>
      <c r="GA85" s="127"/>
      <c r="GB85" s="127"/>
      <c r="GC85" s="127"/>
      <c r="GD85" s="127"/>
      <c r="GE85" s="127"/>
      <c r="GF85" s="127"/>
      <c r="GG85" s="127"/>
      <c r="GH85" s="127"/>
      <c r="GI85" s="127"/>
      <c r="GJ85" s="127"/>
      <c r="GK85" s="127"/>
      <c r="GL85" s="127"/>
      <c r="GM85" s="127"/>
      <c r="GN85" s="127"/>
      <c r="GO85" s="127"/>
      <c r="GP85" s="127"/>
      <c r="GQ85" s="127"/>
      <c r="GR85" s="127"/>
      <c r="GS85" s="127"/>
      <c r="GT85" s="127"/>
      <c r="GU85" s="127"/>
      <c r="GV85" s="127"/>
      <c r="GW85" s="127"/>
      <c r="GX85" s="127"/>
      <c r="GY85" s="127"/>
      <c r="GZ85" s="127"/>
      <c r="HA85" s="127"/>
      <c r="HB85" s="127"/>
      <c r="HC85" s="127"/>
      <c r="HD85" s="127"/>
      <c r="HE85" s="127"/>
      <c r="HF85" s="127"/>
      <c r="HG85" s="127"/>
      <c r="HH85" s="127"/>
      <c r="HI85" s="127"/>
      <c r="HJ85" s="127"/>
      <c r="HK85" s="127"/>
      <c r="HL85" s="127"/>
      <c r="HM85" s="127"/>
      <c r="HN85" s="127"/>
      <c r="HO85" s="127"/>
      <c r="HP85" s="127"/>
      <c r="HQ85" s="127"/>
      <c r="HR85" s="127"/>
      <c r="HS85" s="127"/>
      <c r="HT85" s="127"/>
      <c r="HU85" s="127"/>
      <c r="HV85" s="127"/>
      <c r="HW85" s="127"/>
      <c r="HX85" s="127"/>
      <c r="HY85" s="127"/>
      <c r="HZ85" s="127"/>
      <c r="IA85" s="127"/>
      <c r="IB85" s="127"/>
      <c r="IC85" s="127"/>
      <c r="ID85" s="127"/>
      <c r="IE85" s="127"/>
      <c r="IF85" s="127"/>
      <c r="IG85" s="127"/>
      <c r="IH85" s="127"/>
      <c r="II85" s="127"/>
      <c r="IJ85" s="127"/>
      <c r="IK85" s="127"/>
      <c r="IL85" s="127"/>
      <c r="IM85" s="127"/>
      <c r="IN85" s="127"/>
      <c r="IO85" s="127"/>
    </row>
    <row r="86" spans="2:249" s="55" customFormat="1" ht="13.5" thickBot="1">
      <c r="B86" s="126"/>
      <c r="C86" s="169" t="s">
        <v>515</v>
      </c>
      <c r="D86" s="214" t="s">
        <v>529</v>
      </c>
      <c r="E86" s="211" t="s">
        <v>529</v>
      </c>
      <c r="F86" s="213" t="s">
        <v>529</v>
      </c>
      <c r="G86" s="211" t="s">
        <v>529</v>
      </c>
      <c r="H86" s="212" t="s">
        <v>529</v>
      </c>
      <c r="I86" s="212" t="s">
        <v>529</v>
      </c>
      <c r="J86" s="212" t="s">
        <v>529</v>
      </c>
      <c r="K86" s="212" t="s">
        <v>529</v>
      </c>
      <c r="L86" s="212" t="s">
        <v>529</v>
      </c>
      <c r="M86" s="213" t="s">
        <v>529</v>
      </c>
      <c r="N86" s="211" t="s">
        <v>529</v>
      </c>
      <c r="O86" s="212" t="s">
        <v>529</v>
      </c>
      <c r="P86" s="212" t="s">
        <v>529</v>
      </c>
      <c r="Q86" s="212" t="s">
        <v>529</v>
      </c>
      <c r="R86" s="215" t="s">
        <v>529</v>
      </c>
      <c r="S86" s="211" t="s">
        <v>529</v>
      </c>
      <c r="T86" s="212" t="s">
        <v>529</v>
      </c>
      <c r="U86" s="212" t="s">
        <v>529</v>
      </c>
      <c r="V86" s="212" t="s">
        <v>529</v>
      </c>
      <c r="W86" s="212" t="s">
        <v>529</v>
      </c>
      <c r="X86" s="212" t="s">
        <v>529</v>
      </c>
      <c r="Y86" s="212" t="s">
        <v>529</v>
      </c>
      <c r="Z86" s="212" t="s">
        <v>529</v>
      </c>
      <c r="AA86" s="212" t="s">
        <v>529</v>
      </c>
      <c r="AB86" s="212" t="s">
        <v>529</v>
      </c>
      <c r="AC86" s="212" t="s">
        <v>529</v>
      </c>
      <c r="AD86" s="212" t="s">
        <v>529</v>
      </c>
      <c r="AE86" s="213" t="s">
        <v>529</v>
      </c>
      <c r="AF86" s="211" t="s">
        <v>529</v>
      </c>
      <c r="AG86" s="212" t="s">
        <v>529</v>
      </c>
      <c r="AH86" s="212" t="s">
        <v>529</v>
      </c>
      <c r="AI86" s="212" t="s">
        <v>529</v>
      </c>
      <c r="AJ86" s="212" t="s">
        <v>529</v>
      </c>
      <c r="AK86" s="215" t="s">
        <v>529</v>
      </c>
      <c r="AL86" s="215" t="s">
        <v>529</v>
      </c>
      <c r="AM86" s="215" t="s">
        <v>529</v>
      </c>
      <c r="AN86" s="215" t="s">
        <v>529</v>
      </c>
      <c r="AO86" s="215" t="s">
        <v>529</v>
      </c>
      <c r="AP86" s="215" t="s">
        <v>529</v>
      </c>
      <c r="AQ86" s="215" t="s">
        <v>529</v>
      </c>
      <c r="AR86" s="215" t="s">
        <v>529</v>
      </c>
      <c r="AS86" s="215" t="s">
        <v>529</v>
      </c>
      <c r="AT86" s="215" t="s">
        <v>529</v>
      </c>
      <c r="AU86" s="215" t="s">
        <v>529</v>
      </c>
      <c r="AV86" s="215" t="s">
        <v>529</v>
      </c>
      <c r="AW86" s="215" t="s">
        <v>529</v>
      </c>
      <c r="AX86" s="215" t="s">
        <v>529</v>
      </c>
      <c r="AY86" s="215" t="s">
        <v>529</v>
      </c>
      <c r="AZ86" s="215" t="s">
        <v>529</v>
      </c>
      <c r="BA86" s="215" t="s">
        <v>529</v>
      </c>
      <c r="BB86" s="215" t="s">
        <v>529</v>
      </c>
      <c r="BC86" s="215" t="s">
        <v>529</v>
      </c>
      <c r="BD86" s="215" t="s">
        <v>529</v>
      </c>
      <c r="BE86" s="215" t="s">
        <v>529</v>
      </c>
      <c r="BF86" s="215" t="s">
        <v>529</v>
      </c>
      <c r="BG86" s="215" t="s">
        <v>529</v>
      </c>
      <c r="BH86" s="215" t="s">
        <v>529</v>
      </c>
      <c r="BI86" s="215" t="s">
        <v>529</v>
      </c>
      <c r="BJ86" s="215" t="s">
        <v>529</v>
      </c>
      <c r="BK86" s="215" t="s">
        <v>529</v>
      </c>
      <c r="BL86" s="215" t="s">
        <v>529</v>
      </c>
      <c r="BM86" s="215" t="s">
        <v>529</v>
      </c>
      <c r="BN86" s="215" t="s">
        <v>529</v>
      </c>
      <c r="BO86" s="215" t="s">
        <v>529</v>
      </c>
      <c r="BP86" s="215" t="s">
        <v>529</v>
      </c>
      <c r="BQ86" s="215" t="s">
        <v>529</v>
      </c>
      <c r="BR86" s="215" t="s">
        <v>529</v>
      </c>
      <c r="BS86" s="215" t="s">
        <v>529</v>
      </c>
      <c r="BT86" s="215" t="s">
        <v>529</v>
      </c>
      <c r="BU86" s="215" t="s">
        <v>529</v>
      </c>
      <c r="BV86" s="215" t="s">
        <v>529</v>
      </c>
      <c r="BW86" s="215" t="s">
        <v>529</v>
      </c>
      <c r="BX86" s="215" t="s">
        <v>529</v>
      </c>
      <c r="BY86" s="215" t="s">
        <v>529</v>
      </c>
      <c r="BZ86" s="215" t="s">
        <v>529</v>
      </c>
      <c r="CA86" s="215" t="s">
        <v>529</v>
      </c>
      <c r="CB86" s="215" t="s">
        <v>529</v>
      </c>
      <c r="CC86" s="215" t="s">
        <v>529</v>
      </c>
      <c r="CD86" s="215" t="s">
        <v>529</v>
      </c>
      <c r="CE86" s="127"/>
      <c r="CF86" s="127"/>
      <c r="CG86" s="127"/>
      <c r="CH86" s="127"/>
      <c r="CI86" s="127"/>
      <c r="CJ86" s="127"/>
      <c r="CK86" s="127"/>
      <c r="CL86" s="127"/>
      <c r="CM86" s="127"/>
      <c r="CN86" s="127"/>
      <c r="CO86" s="127"/>
      <c r="CP86" s="127"/>
      <c r="CQ86" s="127"/>
      <c r="CR86" s="127"/>
      <c r="CS86" s="127"/>
      <c r="CT86" s="127"/>
      <c r="CU86" s="127"/>
      <c r="CV86" s="127"/>
      <c r="CW86" s="127"/>
      <c r="CX86" s="127"/>
      <c r="CY86" s="127"/>
      <c r="CZ86" s="127"/>
      <c r="DA86" s="127"/>
      <c r="DB86" s="127"/>
      <c r="DC86" s="127"/>
      <c r="DD86" s="127"/>
      <c r="DE86" s="127"/>
      <c r="DF86" s="127"/>
      <c r="DG86" s="127"/>
      <c r="DH86" s="127"/>
      <c r="DI86" s="127"/>
      <c r="DJ86" s="127"/>
      <c r="DK86" s="127"/>
      <c r="DL86" s="127"/>
      <c r="DM86" s="127"/>
      <c r="DN86" s="127"/>
      <c r="DO86" s="127"/>
      <c r="DP86" s="127"/>
      <c r="DQ86" s="127"/>
      <c r="DR86" s="127"/>
      <c r="DS86" s="127"/>
      <c r="DT86" s="127"/>
      <c r="DU86" s="127"/>
      <c r="DV86" s="127"/>
      <c r="DW86" s="127"/>
      <c r="DX86" s="127"/>
      <c r="DY86" s="127"/>
      <c r="DZ86" s="127"/>
      <c r="EA86" s="127"/>
      <c r="EB86" s="127"/>
      <c r="EC86" s="127"/>
      <c r="ED86" s="127"/>
      <c r="EE86" s="127"/>
      <c r="EF86" s="127"/>
      <c r="EG86" s="127"/>
      <c r="EH86" s="127"/>
      <c r="EI86" s="127"/>
      <c r="EJ86" s="127"/>
      <c r="EK86" s="127"/>
      <c r="EL86" s="127"/>
      <c r="EM86" s="127"/>
      <c r="EN86" s="127"/>
      <c r="EO86" s="127"/>
      <c r="EP86" s="127"/>
      <c r="EQ86" s="127"/>
      <c r="ER86" s="127"/>
      <c r="ES86" s="127"/>
      <c r="ET86" s="127"/>
      <c r="EU86" s="127"/>
      <c r="EV86" s="127"/>
      <c r="EW86" s="127"/>
      <c r="EX86" s="127"/>
      <c r="EY86" s="127"/>
      <c r="EZ86" s="127"/>
      <c r="FA86" s="127"/>
      <c r="FB86" s="127"/>
      <c r="FC86" s="127"/>
      <c r="FD86" s="127"/>
      <c r="FE86" s="127"/>
      <c r="FF86" s="127"/>
      <c r="FG86" s="127"/>
      <c r="FH86" s="127"/>
      <c r="FI86" s="127"/>
      <c r="FJ86" s="127"/>
      <c r="FK86" s="127"/>
      <c r="FL86" s="127"/>
      <c r="FM86" s="127"/>
      <c r="FN86" s="127"/>
      <c r="FO86" s="127"/>
      <c r="FP86" s="127"/>
      <c r="FQ86" s="127"/>
      <c r="FR86" s="127"/>
      <c r="FS86" s="127"/>
      <c r="FT86" s="127"/>
      <c r="FU86" s="127"/>
      <c r="FV86" s="127"/>
      <c r="FW86" s="127"/>
      <c r="FX86" s="127"/>
      <c r="FY86" s="127"/>
      <c r="FZ86" s="127"/>
      <c r="GA86" s="127"/>
      <c r="GB86" s="127"/>
      <c r="GC86" s="127"/>
      <c r="GD86" s="127"/>
      <c r="GE86" s="127"/>
      <c r="GF86" s="127"/>
      <c r="GG86" s="127"/>
      <c r="GH86" s="127"/>
      <c r="GI86" s="127"/>
      <c r="GJ86" s="127"/>
      <c r="GK86" s="127"/>
      <c r="GL86" s="127"/>
      <c r="GM86" s="127"/>
      <c r="GN86" s="127"/>
      <c r="GO86" s="127"/>
      <c r="GP86" s="127"/>
      <c r="GQ86" s="127"/>
      <c r="GR86" s="127"/>
      <c r="GS86" s="127"/>
      <c r="GT86" s="127"/>
      <c r="GU86" s="127"/>
      <c r="GV86" s="127"/>
      <c r="GW86" s="127"/>
      <c r="GX86" s="127"/>
      <c r="GY86" s="127"/>
      <c r="GZ86" s="127"/>
      <c r="HA86" s="127"/>
      <c r="HB86" s="127"/>
      <c r="HC86" s="127"/>
      <c r="HD86" s="127"/>
      <c r="HE86" s="127"/>
      <c r="HF86" s="127"/>
      <c r="HG86" s="127"/>
      <c r="HH86" s="127"/>
      <c r="HI86" s="127"/>
      <c r="HJ86" s="127"/>
      <c r="HK86" s="127"/>
      <c r="HL86" s="127"/>
      <c r="HM86" s="127"/>
      <c r="HN86" s="127"/>
      <c r="HO86" s="127"/>
      <c r="HP86" s="127"/>
      <c r="HQ86" s="127"/>
      <c r="HR86" s="127"/>
      <c r="HS86" s="127"/>
      <c r="HT86" s="127"/>
      <c r="HU86" s="127"/>
      <c r="HV86" s="127"/>
      <c r="HW86" s="127"/>
      <c r="HX86" s="127"/>
      <c r="HY86" s="127"/>
      <c r="HZ86" s="127"/>
      <c r="IA86" s="127"/>
      <c r="IB86" s="127"/>
      <c r="IC86" s="127"/>
      <c r="ID86" s="127"/>
      <c r="IE86" s="127"/>
      <c r="IF86" s="127"/>
      <c r="IG86" s="127"/>
      <c r="IH86" s="127"/>
      <c r="II86" s="127"/>
      <c r="IJ86" s="127"/>
      <c r="IK86" s="127"/>
      <c r="IL86" s="127"/>
      <c r="IM86" s="127"/>
      <c r="IN86" s="127"/>
      <c r="IO86" s="127"/>
    </row>
    <row r="87" spans="2:249">
      <c r="D87" s="173"/>
      <c r="E87" s="178"/>
      <c r="F87" s="179"/>
      <c r="G87" s="178"/>
      <c r="H87" s="122"/>
      <c r="I87" s="122"/>
      <c r="J87" s="122"/>
      <c r="K87" s="122"/>
      <c r="L87" s="122"/>
      <c r="M87" s="179"/>
      <c r="N87" s="178"/>
      <c r="O87" s="122"/>
      <c r="P87" s="122"/>
      <c r="Q87" s="122"/>
      <c r="R87" s="122"/>
      <c r="S87" s="178"/>
      <c r="T87" s="122"/>
      <c r="U87" s="122"/>
      <c r="V87" s="122"/>
      <c r="W87" s="122"/>
      <c r="X87" s="122"/>
      <c r="Y87" s="122"/>
      <c r="Z87" s="122"/>
      <c r="AA87" s="122"/>
      <c r="AB87" s="122"/>
      <c r="AC87" s="122"/>
      <c r="AD87" s="122"/>
      <c r="AE87" s="179"/>
      <c r="AF87" s="178"/>
      <c r="AG87" s="122"/>
      <c r="AH87" s="122"/>
      <c r="AI87" s="122"/>
      <c r="AJ87" s="122"/>
      <c r="AK87" s="122"/>
      <c r="AL87" s="224"/>
      <c r="AM87" s="224"/>
      <c r="AN87" s="224"/>
      <c r="AO87" s="224"/>
      <c r="AP87" s="224"/>
      <c r="AQ87" s="224"/>
      <c r="AR87" s="224"/>
      <c r="AS87" s="224"/>
      <c r="AT87" s="224"/>
      <c r="AU87" s="224"/>
      <c r="AV87" s="224"/>
      <c r="AW87" s="224"/>
      <c r="AX87" s="224"/>
      <c r="AY87" s="224"/>
      <c r="AZ87" s="224"/>
      <c r="BA87" s="224"/>
      <c r="BB87" s="224"/>
      <c r="BC87" s="224"/>
      <c r="BD87" s="224"/>
      <c r="BE87" s="224"/>
      <c r="BF87" s="224"/>
      <c r="BG87" s="224"/>
      <c r="BH87" s="224"/>
      <c r="BI87" s="224"/>
      <c r="BJ87" s="224"/>
      <c r="BK87" s="224"/>
      <c r="BL87" s="224"/>
      <c r="BM87" s="224"/>
      <c r="BN87" s="224"/>
      <c r="BO87" s="224"/>
      <c r="BP87" s="224"/>
      <c r="BQ87" s="224"/>
      <c r="BR87" s="224"/>
      <c r="BS87" s="224"/>
      <c r="BT87" s="224"/>
      <c r="BU87" s="224"/>
      <c r="BV87" s="224"/>
      <c r="BW87" s="224"/>
      <c r="BX87" s="224"/>
      <c r="BY87" s="224"/>
      <c r="BZ87" s="224"/>
      <c r="CA87" s="224"/>
      <c r="CB87" s="224"/>
      <c r="CC87" s="224"/>
      <c r="CD87" s="224"/>
      <c r="CE87" s="224"/>
      <c r="CF87" s="224"/>
      <c r="CG87" s="224"/>
      <c r="CH87" s="224"/>
      <c r="CI87" s="224"/>
      <c r="CJ87" s="224"/>
      <c r="CK87" s="224"/>
      <c r="CL87" s="224"/>
      <c r="CM87" s="224"/>
      <c r="CN87" s="224"/>
      <c r="CO87" s="224"/>
      <c r="CP87" s="224"/>
      <c r="CQ87" s="224"/>
      <c r="CR87" s="224"/>
      <c r="CS87" s="224"/>
      <c r="CT87" s="224"/>
      <c r="CU87" s="224"/>
      <c r="CV87" s="224"/>
      <c r="CW87" s="224"/>
      <c r="CX87" s="224"/>
      <c r="CY87" s="224"/>
      <c r="CZ87" s="224"/>
      <c r="DA87" s="224"/>
      <c r="DB87" s="224"/>
      <c r="DC87" s="224"/>
      <c r="DD87" s="224"/>
      <c r="DE87" s="224"/>
      <c r="DF87" s="224"/>
      <c r="DG87" s="224"/>
      <c r="DH87" s="224"/>
      <c r="DI87" s="224"/>
      <c r="DJ87" s="224"/>
      <c r="DK87" s="224"/>
      <c r="DL87" s="224"/>
      <c r="DM87" s="224"/>
      <c r="DN87" s="224"/>
      <c r="DO87" s="224"/>
      <c r="DP87" s="224"/>
      <c r="DQ87" s="224"/>
      <c r="DR87" s="224"/>
      <c r="DS87" s="224"/>
      <c r="DT87" s="224"/>
      <c r="DU87" s="224"/>
      <c r="DV87" s="224"/>
      <c r="DW87" s="224"/>
      <c r="DX87" s="224"/>
      <c r="DY87" s="224"/>
      <c r="DZ87" s="224"/>
      <c r="EA87" s="224"/>
      <c r="EB87" s="224"/>
      <c r="EC87" s="224"/>
      <c r="ED87" s="224"/>
      <c r="EE87" s="224"/>
      <c r="EF87" s="224"/>
      <c r="EG87" s="224"/>
      <c r="EH87" s="224"/>
      <c r="EI87" s="224"/>
      <c r="EJ87" s="224"/>
      <c r="EK87" s="224"/>
      <c r="EL87" s="224"/>
      <c r="EM87" s="224"/>
      <c r="EN87" s="224"/>
      <c r="EO87" s="224"/>
      <c r="EP87" s="224"/>
      <c r="EQ87" s="224"/>
      <c r="ER87" s="224"/>
      <c r="ES87" s="224"/>
      <c r="ET87" s="224"/>
      <c r="EU87" s="224"/>
      <c r="EV87" s="224"/>
      <c r="EW87" s="224"/>
      <c r="EX87" s="224"/>
      <c r="EY87" s="224"/>
      <c r="EZ87" s="224"/>
      <c r="FA87" s="224"/>
      <c r="FB87" s="224"/>
      <c r="FC87" s="224"/>
      <c r="FD87" s="224"/>
      <c r="FE87" s="224"/>
      <c r="FF87" s="224"/>
      <c r="FG87" s="224"/>
      <c r="FH87" s="224"/>
      <c r="FI87" s="224"/>
      <c r="FJ87" s="224"/>
      <c r="FK87" s="224"/>
      <c r="FL87" s="224"/>
      <c r="FM87" s="224"/>
      <c r="FN87" s="224"/>
      <c r="FO87" s="224"/>
      <c r="FP87" s="224"/>
      <c r="FQ87" s="224"/>
      <c r="FR87" s="224"/>
      <c r="FS87" s="224"/>
      <c r="FT87" s="224"/>
      <c r="FU87" s="224"/>
      <c r="FV87" s="224"/>
      <c r="FW87" s="224"/>
      <c r="FX87" s="224"/>
      <c r="FY87" s="224"/>
      <c r="FZ87" s="224"/>
      <c r="GA87" s="224"/>
      <c r="GB87" s="224"/>
      <c r="GC87" s="224"/>
      <c r="GD87" s="224"/>
      <c r="GE87" s="224"/>
      <c r="GF87" s="224"/>
      <c r="GG87" s="224"/>
      <c r="GH87" s="224"/>
      <c r="GI87" s="224"/>
      <c r="GJ87" s="224"/>
      <c r="GK87" s="224"/>
      <c r="GL87" s="224"/>
      <c r="GM87" s="224"/>
      <c r="GN87" s="224"/>
      <c r="GO87" s="224"/>
      <c r="GP87" s="224"/>
      <c r="GQ87" s="224"/>
      <c r="GR87" s="224"/>
      <c r="GS87" s="224"/>
      <c r="GT87" s="224"/>
      <c r="GU87" s="224"/>
      <c r="GV87" s="224"/>
      <c r="GW87" s="224"/>
      <c r="GX87" s="224"/>
      <c r="GY87" s="224"/>
      <c r="GZ87" s="224"/>
      <c r="HA87" s="224"/>
      <c r="HB87" s="224"/>
      <c r="HC87" s="224"/>
      <c r="HD87" s="224"/>
      <c r="HE87" s="224"/>
      <c r="HF87" s="224"/>
      <c r="HG87" s="224"/>
      <c r="HH87" s="224"/>
      <c r="HI87" s="224"/>
      <c r="HJ87" s="224"/>
      <c r="HK87" s="224"/>
      <c r="HL87" s="224"/>
      <c r="HM87" s="224"/>
      <c r="HN87" s="224"/>
      <c r="HO87" s="224"/>
      <c r="HP87" s="224"/>
      <c r="HQ87" s="224"/>
      <c r="HR87" s="224"/>
      <c r="HS87" s="224"/>
      <c r="HT87" s="224"/>
      <c r="HU87" s="224"/>
      <c r="HV87" s="224"/>
      <c r="HW87" s="224"/>
      <c r="HX87" s="224"/>
      <c r="HY87" s="224"/>
      <c r="HZ87" s="224"/>
      <c r="IA87" s="224"/>
      <c r="IB87" s="224"/>
      <c r="IC87" s="224"/>
      <c r="ID87" s="224"/>
      <c r="IE87" s="224"/>
      <c r="IF87" s="224"/>
      <c r="IG87" s="224"/>
      <c r="IH87" s="224"/>
      <c r="II87" s="224"/>
      <c r="IJ87" s="224"/>
      <c r="IK87" s="224"/>
      <c r="IL87" s="224"/>
      <c r="IM87" s="224"/>
      <c r="IN87" s="224"/>
      <c r="IO87" s="224"/>
    </row>
    <row r="88" spans="2:249" s="147" customFormat="1" ht="15">
      <c r="B88" s="148" t="s">
        <v>459</v>
      </c>
      <c r="C88" s="148" t="s">
        <v>576</v>
      </c>
      <c r="D88" s="174"/>
      <c r="E88" s="180"/>
      <c r="F88" s="181"/>
      <c r="G88" s="180"/>
      <c r="H88" s="149"/>
      <c r="I88" s="149"/>
      <c r="J88" s="149"/>
      <c r="K88" s="149"/>
      <c r="L88" s="149"/>
      <c r="M88" s="181"/>
      <c r="N88" s="180"/>
      <c r="O88" s="149"/>
      <c r="P88" s="149"/>
      <c r="Q88" s="149"/>
      <c r="R88" s="149"/>
      <c r="S88" s="180"/>
      <c r="T88" s="149"/>
      <c r="U88" s="149"/>
      <c r="V88" s="149"/>
      <c r="W88" s="149"/>
      <c r="X88" s="149"/>
      <c r="Y88" s="149"/>
      <c r="Z88" s="149"/>
      <c r="AA88" s="149"/>
      <c r="AB88" s="149"/>
      <c r="AC88" s="149"/>
      <c r="AD88" s="149"/>
      <c r="AE88" s="181"/>
      <c r="AF88" s="180"/>
      <c r="AG88" s="149"/>
      <c r="AH88" s="149"/>
      <c r="AI88" s="149"/>
      <c r="AJ88" s="149"/>
      <c r="AK88" s="149"/>
      <c r="AL88" s="226"/>
      <c r="AM88" s="226"/>
      <c r="AN88" s="226"/>
      <c r="AO88" s="226"/>
      <c r="AP88" s="226"/>
      <c r="AQ88" s="226"/>
      <c r="AR88" s="226"/>
      <c r="AS88" s="226"/>
      <c r="AT88" s="226"/>
      <c r="AU88" s="226"/>
      <c r="AV88" s="226"/>
      <c r="AW88" s="226"/>
      <c r="AX88" s="226"/>
      <c r="AY88" s="226"/>
      <c r="AZ88" s="226"/>
      <c r="BA88" s="226"/>
      <c r="BB88" s="226"/>
      <c r="BC88" s="226"/>
      <c r="BD88" s="226"/>
      <c r="BE88" s="226"/>
      <c r="BF88" s="226"/>
      <c r="BG88" s="226"/>
      <c r="BH88" s="226"/>
      <c r="BI88" s="226"/>
      <c r="BJ88" s="226"/>
      <c r="BK88" s="226"/>
      <c r="BL88" s="226"/>
      <c r="BM88" s="226"/>
      <c r="BN88" s="226"/>
      <c r="BO88" s="226"/>
      <c r="BP88" s="226"/>
      <c r="BQ88" s="226"/>
      <c r="BR88" s="226"/>
      <c r="BS88" s="226"/>
      <c r="BT88" s="226"/>
      <c r="BU88" s="226"/>
      <c r="BV88" s="226"/>
      <c r="BW88" s="226"/>
      <c r="BX88" s="226"/>
      <c r="BY88" s="226"/>
      <c r="BZ88" s="226"/>
      <c r="CA88" s="226"/>
      <c r="CB88" s="226"/>
      <c r="CC88" s="226"/>
      <c r="CD88" s="226"/>
      <c r="CE88" s="226"/>
      <c r="CF88" s="226"/>
      <c r="CG88" s="226"/>
      <c r="CH88" s="226"/>
      <c r="CI88" s="226"/>
      <c r="CJ88" s="226"/>
      <c r="CK88" s="226"/>
      <c r="CL88" s="226"/>
      <c r="CM88" s="226"/>
      <c r="CN88" s="226"/>
      <c r="CO88" s="226"/>
      <c r="CP88" s="226"/>
      <c r="CQ88" s="226"/>
      <c r="CR88" s="226"/>
      <c r="CS88" s="226"/>
      <c r="CT88" s="226"/>
      <c r="CU88" s="226"/>
      <c r="CV88" s="226"/>
      <c r="CW88" s="226"/>
      <c r="CX88" s="226"/>
      <c r="CY88" s="226"/>
      <c r="CZ88" s="226"/>
      <c r="DA88" s="226"/>
      <c r="DB88" s="226"/>
      <c r="DC88" s="226"/>
      <c r="DD88" s="226"/>
      <c r="DE88" s="226"/>
      <c r="DF88" s="226"/>
      <c r="DG88" s="226"/>
      <c r="DH88" s="226"/>
      <c r="DI88" s="226"/>
      <c r="DJ88" s="226"/>
      <c r="DK88" s="226"/>
      <c r="DL88" s="226"/>
      <c r="DM88" s="226"/>
      <c r="DN88" s="226"/>
      <c r="DO88" s="226"/>
      <c r="DP88" s="226"/>
      <c r="DQ88" s="226"/>
      <c r="DR88" s="226"/>
      <c r="DS88" s="226"/>
      <c r="DT88" s="226"/>
      <c r="DU88" s="226"/>
      <c r="DV88" s="226"/>
      <c r="DW88" s="226"/>
      <c r="DX88" s="226"/>
      <c r="DY88" s="226"/>
      <c r="DZ88" s="226"/>
      <c r="EA88" s="226"/>
      <c r="EB88" s="226"/>
      <c r="EC88" s="226"/>
      <c r="ED88" s="226"/>
      <c r="EE88" s="226"/>
      <c r="EF88" s="226"/>
      <c r="EG88" s="226"/>
      <c r="EH88" s="226"/>
      <c r="EI88" s="226"/>
      <c r="EJ88" s="226"/>
      <c r="EK88" s="226"/>
      <c r="EL88" s="226"/>
      <c r="EM88" s="226"/>
      <c r="EN88" s="226"/>
      <c r="EO88" s="226"/>
      <c r="EP88" s="226"/>
      <c r="EQ88" s="226"/>
      <c r="ER88" s="226"/>
      <c r="ES88" s="226"/>
      <c r="ET88" s="226"/>
      <c r="EU88" s="226"/>
      <c r="EV88" s="226"/>
      <c r="EW88" s="226"/>
      <c r="EX88" s="226"/>
      <c r="EY88" s="226"/>
      <c r="EZ88" s="226"/>
      <c r="FA88" s="226"/>
      <c r="FB88" s="226"/>
      <c r="FC88" s="226"/>
      <c r="FD88" s="226"/>
      <c r="FE88" s="226"/>
      <c r="FF88" s="226"/>
      <c r="FG88" s="226"/>
      <c r="FH88" s="226"/>
      <c r="FI88" s="226"/>
      <c r="FJ88" s="226"/>
      <c r="FK88" s="226"/>
      <c r="FL88" s="226"/>
      <c r="FM88" s="226"/>
      <c r="FN88" s="226"/>
      <c r="FO88" s="226"/>
      <c r="FP88" s="226"/>
      <c r="FQ88" s="226"/>
      <c r="FR88" s="226"/>
      <c r="FS88" s="226"/>
      <c r="FT88" s="226"/>
      <c r="FU88" s="226"/>
      <c r="FV88" s="226"/>
      <c r="FW88" s="226"/>
      <c r="FX88" s="226"/>
      <c r="FY88" s="226"/>
      <c r="FZ88" s="226"/>
      <c r="GA88" s="226"/>
      <c r="GB88" s="226"/>
      <c r="GC88" s="226"/>
      <c r="GD88" s="226"/>
      <c r="GE88" s="226"/>
      <c r="GF88" s="226"/>
      <c r="GG88" s="226"/>
      <c r="GH88" s="226"/>
      <c r="GI88" s="226"/>
      <c r="GJ88" s="226"/>
      <c r="GK88" s="226"/>
      <c r="GL88" s="226"/>
      <c r="GM88" s="226"/>
      <c r="GN88" s="226"/>
      <c r="GO88" s="226"/>
      <c r="GP88" s="226"/>
      <c r="GQ88" s="226"/>
      <c r="GR88" s="226"/>
      <c r="GS88" s="226"/>
      <c r="GT88" s="226"/>
      <c r="GU88" s="226"/>
      <c r="GV88" s="226"/>
      <c r="GW88" s="226"/>
      <c r="GX88" s="226"/>
      <c r="GY88" s="226"/>
      <c r="GZ88" s="226"/>
      <c r="HA88" s="226"/>
      <c r="HB88" s="226"/>
      <c r="HC88" s="226"/>
      <c r="HD88" s="226"/>
      <c r="HE88" s="226"/>
      <c r="HF88" s="226"/>
      <c r="HG88" s="226"/>
      <c r="HH88" s="226"/>
      <c r="HI88" s="226"/>
      <c r="HJ88" s="226"/>
      <c r="HK88" s="226"/>
      <c r="HL88" s="226"/>
      <c r="HM88" s="226"/>
      <c r="HN88" s="226"/>
      <c r="HO88" s="226"/>
      <c r="HP88" s="226"/>
      <c r="HQ88" s="226"/>
      <c r="HR88" s="226"/>
      <c r="HS88" s="226"/>
      <c r="HT88" s="226"/>
      <c r="HU88" s="226"/>
      <c r="HV88" s="226"/>
      <c r="HW88" s="226"/>
      <c r="HX88" s="226"/>
      <c r="HY88" s="226"/>
      <c r="HZ88" s="226"/>
      <c r="IA88" s="226"/>
      <c r="IB88" s="226"/>
      <c r="IC88" s="226"/>
      <c r="ID88" s="226"/>
      <c r="IE88" s="226"/>
      <c r="IF88" s="226"/>
      <c r="IG88" s="226"/>
      <c r="IH88" s="226"/>
      <c r="II88" s="226"/>
      <c r="IJ88" s="226"/>
      <c r="IK88" s="226"/>
      <c r="IL88" s="226"/>
      <c r="IM88" s="226"/>
      <c r="IN88" s="226"/>
      <c r="IO88" s="226"/>
    </row>
    <row r="89" spans="2:249" s="147" customFormat="1" ht="15">
      <c r="B89" s="150" t="s">
        <v>577</v>
      </c>
      <c r="C89" s="150" t="s">
        <v>578</v>
      </c>
      <c r="D89" s="175"/>
      <c r="E89" s="182"/>
      <c r="F89" s="183"/>
      <c r="G89" s="182"/>
      <c r="H89" s="151"/>
      <c r="I89" s="151"/>
      <c r="J89" s="151"/>
      <c r="K89" s="151"/>
      <c r="L89" s="151"/>
      <c r="M89" s="183"/>
      <c r="N89" s="182"/>
      <c r="O89" s="151"/>
      <c r="P89" s="151"/>
      <c r="Q89" s="151"/>
      <c r="R89" s="151"/>
      <c r="S89" s="182"/>
      <c r="T89" s="151"/>
      <c r="U89" s="151"/>
      <c r="V89" s="151"/>
      <c r="W89" s="151"/>
      <c r="X89" s="151"/>
      <c r="Y89" s="151"/>
      <c r="Z89" s="151"/>
      <c r="AA89" s="151"/>
      <c r="AB89" s="151"/>
      <c r="AC89" s="151"/>
      <c r="AD89" s="151"/>
      <c r="AE89" s="183"/>
      <c r="AF89" s="182"/>
      <c r="AG89" s="151"/>
      <c r="AH89" s="151"/>
      <c r="AI89" s="151"/>
      <c r="AJ89" s="151"/>
      <c r="AK89" s="151"/>
      <c r="AL89" s="199"/>
      <c r="AM89" s="199"/>
      <c r="AN89" s="199"/>
      <c r="AO89" s="199"/>
      <c r="AP89" s="199"/>
      <c r="AQ89" s="199"/>
      <c r="AR89" s="199"/>
      <c r="AS89" s="199"/>
      <c r="AT89" s="199"/>
      <c r="AU89" s="199"/>
      <c r="AV89" s="199"/>
      <c r="AW89" s="199"/>
      <c r="AX89" s="199"/>
      <c r="AY89" s="199"/>
      <c r="AZ89" s="199"/>
      <c r="BA89" s="199"/>
      <c r="BB89" s="199"/>
      <c r="BC89" s="199"/>
      <c r="BD89" s="199"/>
      <c r="BE89" s="199"/>
      <c r="BF89" s="199"/>
      <c r="BG89" s="199"/>
      <c r="BH89" s="199"/>
      <c r="BI89" s="199"/>
      <c r="BJ89" s="199"/>
      <c r="BK89" s="199"/>
      <c r="BL89" s="199"/>
      <c r="BM89" s="199"/>
      <c r="BN89" s="199"/>
      <c r="BO89" s="199"/>
      <c r="BP89" s="199"/>
      <c r="BQ89" s="199"/>
      <c r="BR89" s="199"/>
      <c r="BS89" s="199"/>
      <c r="BT89" s="199"/>
      <c r="BU89" s="199"/>
      <c r="BV89" s="199"/>
      <c r="BW89" s="199"/>
      <c r="BX89" s="199"/>
      <c r="BY89" s="199"/>
      <c r="BZ89" s="199"/>
      <c r="CA89" s="199"/>
      <c r="CB89" s="199"/>
      <c r="CC89" s="199"/>
      <c r="CD89" s="199"/>
      <c r="CE89" s="199"/>
      <c r="CF89" s="199"/>
      <c r="CG89" s="199"/>
      <c r="CH89" s="199"/>
      <c r="CI89" s="199"/>
      <c r="CJ89" s="199"/>
      <c r="CK89" s="199"/>
      <c r="CL89" s="199"/>
      <c r="CM89" s="199"/>
      <c r="CN89" s="199"/>
      <c r="CO89" s="199"/>
      <c r="CP89" s="199"/>
      <c r="CQ89" s="199"/>
      <c r="CR89" s="199"/>
      <c r="CS89" s="199"/>
      <c r="CT89" s="199"/>
      <c r="CU89" s="199"/>
      <c r="CV89" s="199"/>
      <c r="CW89" s="199"/>
      <c r="CX89" s="199"/>
      <c r="CY89" s="199"/>
      <c r="CZ89" s="199"/>
      <c r="DA89" s="199"/>
      <c r="DB89" s="199"/>
      <c r="DC89" s="199"/>
      <c r="DD89" s="199"/>
      <c r="DE89" s="199"/>
      <c r="DF89" s="199"/>
      <c r="DG89" s="199"/>
      <c r="DH89" s="199"/>
      <c r="DI89" s="199"/>
      <c r="DJ89" s="199"/>
      <c r="DK89" s="199"/>
      <c r="DL89" s="199"/>
      <c r="DM89" s="199"/>
      <c r="DN89" s="199"/>
      <c r="DO89" s="199"/>
      <c r="DP89" s="199"/>
      <c r="DQ89" s="199"/>
      <c r="DR89" s="199"/>
      <c r="DS89" s="199"/>
      <c r="DT89" s="199"/>
      <c r="DU89" s="199"/>
      <c r="DV89" s="199"/>
      <c r="DW89" s="199"/>
      <c r="DX89" s="199"/>
      <c r="DY89" s="199"/>
      <c r="DZ89" s="199"/>
      <c r="EA89" s="199"/>
      <c r="EB89" s="199"/>
      <c r="EC89" s="199"/>
      <c r="ED89" s="199"/>
      <c r="EE89" s="199"/>
      <c r="EF89" s="199"/>
      <c r="EG89" s="199"/>
      <c r="EH89" s="199"/>
      <c r="EI89" s="199"/>
      <c r="EJ89" s="199"/>
      <c r="EK89" s="199"/>
      <c r="EL89" s="199"/>
      <c r="EM89" s="199"/>
      <c r="EN89" s="199"/>
      <c r="EO89" s="199"/>
      <c r="EP89" s="199"/>
      <c r="EQ89" s="199"/>
      <c r="ER89" s="199"/>
      <c r="ES89" s="199"/>
      <c r="ET89" s="199"/>
      <c r="EU89" s="199"/>
      <c r="EV89" s="199"/>
      <c r="EW89" s="199"/>
      <c r="EX89" s="199"/>
      <c r="EY89" s="199"/>
      <c r="EZ89" s="199"/>
      <c r="FA89" s="199"/>
      <c r="FB89" s="199"/>
      <c r="FC89" s="199"/>
      <c r="FD89" s="199"/>
      <c r="FE89" s="199"/>
      <c r="FF89" s="199"/>
      <c r="FG89" s="199"/>
      <c r="FH89" s="199"/>
      <c r="FI89" s="199"/>
      <c r="FJ89" s="199"/>
      <c r="FK89" s="199"/>
      <c r="FL89" s="199"/>
      <c r="FM89" s="199"/>
      <c r="FN89" s="199"/>
      <c r="FO89" s="199"/>
      <c r="FP89" s="199"/>
      <c r="FQ89" s="199"/>
      <c r="FR89" s="199"/>
      <c r="FS89" s="199"/>
      <c r="FT89" s="199"/>
      <c r="FU89" s="199"/>
      <c r="FV89" s="199"/>
      <c r="FW89" s="199"/>
      <c r="FX89" s="199"/>
      <c r="FY89" s="199"/>
      <c r="FZ89" s="199"/>
      <c r="GA89" s="199"/>
      <c r="GB89" s="199"/>
      <c r="GC89" s="199"/>
      <c r="GD89" s="199"/>
      <c r="GE89" s="199"/>
      <c r="GF89" s="199"/>
      <c r="GG89" s="199"/>
      <c r="GH89" s="199"/>
      <c r="GI89" s="199"/>
      <c r="GJ89" s="199"/>
      <c r="GK89" s="199"/>
      <c r="GL89" s="199"/>
      <c r="GM89" s="199"/>
      <c r="GN89" s="199"/>
      <c r="GO89" s="199"/>
      <c r="GP89" s="199"/>
      <c r="GQ89" s="199"/>
      <c r="GR89" s="199"/>
      <c r="GS89" s="199"/>
      <c r="GT89" s="199"/>
      <c r="GU89" s="199"/>
      <c r="GV89" s="199"/>
      <c r="GW89" s="199"/>
      <c r="GX89" s="199"/>
      <c r="GY89" s="199"/>
      <c r="GZ89" s="199"/>
      <c r="HA89" s="199"/>
      <c r="HB89" s="199"/>
      <c r="HC89" s="199"/>
      <c r="HD89" s="199"/>
      <c r="HE89" s="199"/>
      <c r="HF89" s="199"/>
      <c r="HG89" s="199"/>
      <c r="HH89" s="199"/>
      <c r="HI89" s="199"/>
      <c r="HJ89" s="199"/>
      <c r="HK89" s="199"/>
      <c r="HL89" s="199"/>
      <c r="HM89" s="199"/>
      <c r="HN89" s="199"/>
      <c r="HO89" s="199"/>
      <c r="HP89" s="199"/>
      <c r="HQ89" s="199"/>
      <c r="HR89" s="199"/>
      <c r="HS89" s="199"/>
      <c r="HT89" s="199"/>
      <c r="HU89" s="199"/>
      <c r="HV89" s="199"/>
      <c r="HW89" s="199"/>
      <c r="HX89" s="199"/>
      <c r="HY89" s="199"/>
      <c r="HZ89" s="199"/>
      <c r="IA89" s="199"/>
      <c r="IB89" s="199"/>
      <c r="IC89" s="199"/>
      <c r="ID89" s="199"/>
      <c r="IE89" s="199"/>
      <c r="IF89" s="199"/>
      <c r="IG89" s="199"/>
      <c r="IH89" s="199"/>
      <c r="II89" s="199"/>
      <c r="IJ89" s="199"/>
      <c r="IK89" s="199"/>
      <c r="IL89" s="199"/>
      <c r="IM89" s="199"/>
      <c r="IN89" s="199"/>
      <c r="IO89" s="199"/>
    </row>
    <row r="90" spans="2:249" s="147" customFormat="1" ht="15">
      <c r="B90" s="152"/>
      <c r="C90" s="170" t="s">
        <v>641</v>
      </c>
      <c r="D90" s="189" t="s">
        <v>360</v>
      </c>
      <c r="E90" s="190" t="s">
        <v>360</v>
      </c>
      <c r="F90" s="198"/>
      <c r="G90" s="190" t="s">
        <v>360</v>
      </c>
      <c r="H90" s="199" t="s">
        <v>360</v>
      </c>
      <c r="I90" s="199"/>
      <c r="J90" s="197"/>
      <c r="K90" s="197"/>
      <c r="L90" s="197"/>
      <c r="M90" s="198"/>
      <c r="N90" s="202" t="s">
        <v>360</v>
      </c>
      <c r="O90" s="201"/>
      <c r="P90" s="201" t="s">
        <v>360</v>
      </c>
      <c r="Q90" s="197"/>
      <c r="R90" s="204"/>
      <c r="S90" s="192" t="s">
        <v>360</v>
      </c>
      <c r="T90" s="197" t="s">
        <v>360</v>
      </c>
      <c r="U90" s="197" t="s">
        <v>360</v>
      </c>
      <c r="V90" s="197" t="s">
        <v>360</v>
      </c>
      <c r="W90" s="197" t="s">
        <v>360</v>
      </c>
      <c r="X90" s="197" t="s">
        <v>360</v>
      </c>
      <c r="Y90" s="197" t="s">
        <v>360</v>
      </c>
      <c r="Z90" s="197" t="s">
        <v>360</v>
      </c>
      <c r="AA90" s="197" t="s">
        <v>360</v>
      </c>
      <c r="AB90" s="197" t="s">
        <v>360</v>
      </c>
      <c r="AC90" s="197" t="s">
        <v>360</v>
      </c>
      <c r="AD90" s="197" t="s">
        <v>360</v>
      </c>
      <c r="AE90" s="198" t="s">
        <v>360</v>
      </c>
      <c r="AF90" s="192" t="s">
        <v>360</v>
      </c>
      <c r="AG90" s="197" t="s">
        <v>360</v>
      </c>
      <c r="AH90" s="197" t="s">
        <v>360</v>
      </c>
      <c r="AI90" s="154" t="s">
        <v>360</v>
      </c>
      <c r="AJ90" s="197" t="s">
        <v>360</v>
      </c>
      <c r="AK90" s="208" t="s">
        <v>360</v>
      </c>
      <c r="AL90" s="199" t="s">
        <v>360</v>
      </c>
      <c r="AM90" s="199" t="s">
        <v>360</v>
      </c>
      <c r="AN90" s="197"/>
      <c r="AO90" s="199"/>
      <c r="AP90" s="199"/>
      <c r="AQ90" s="197" t="s">
        <v>360</v>
      </c>
      <c r="AR90" s="197" t="s">
        <v>360</v>
      </c>
      <c r="AS90" s="197" t="s">
        <v>360</v>
      </c>
      <c r="AT90" s="197" t="s">
        <v>360</v>
      </c>
      <c r="AU90" s="199" t="s">
        <v>360</v>
      </c>
      <c r="AV90" s="199"/>
      <c r="AW90" s="197"/>
      <c r="AX90" s="199"/>
      <c r="AY90" s="199" t="s">
        <v>360</v>
      </c>
      <c r="AZ90" s="199" t="s">
        <v>360</v>
      </c>
      <c r="BA90" s="199" t="s">
        <v>360</v>
      </c>
      <c r="BB90" s="199" t="s">
        <v>360</v>
      </c>
      <c r="BC90" s="199" t="s">
        <v>360</v>
      </c>
      <c r="BD90" s="199" t="s">
        <v>360</v>
      </c>
      <c r="BE90" s="199"/>
      <c r="BF90" s="197"/>
      <c r="BG90" s="199"/>
      <c r="BH90" s="199" t="s">
        <v>360</v>
      </c>
      <c r="BI90" s="199" t="s">
        <v>360</v>
      </c>
      <c r="BJ90" s="199" t="s">
        <v>360</v>
      </c>
      <c r="BK90" s="199" t="s">
        <v>360</v>
      </c>
      <c r="BL90" s="199" t="s">
        <v>360</v>
      </c>
      <c r="BM90" s="199" t="s">
        <v>360</v>
      </c>
      <c r="BN90" s="199"/>
      <c r="BO90" s="197"/>
      <c r="BP90" s="199"/>
      <c r="BQ90" s="199" t="s">
        <v>360</v>
      </c>
      <c r="BR90" s="199" t="s">
        <v>360</v>
      </c>
      <c r="BS90" s="199" t="s">
        <v>360</v>
      </c>
      <c r="BT90" s="199" t="s">
        <v>360</v>
      </c>
      <c r="BU90" s="199" t="s">
        <v>360</v>
      </c>
      <c r="BV90" s="199" t="s">
        <v>360</v>
      </c>
      <c r="BW90" s="199"/>
      <c r="BX90" s="197"/>
      <c r="BY90" s="199"/>
      <c r="BZ90" s="199" t="s">
        <v>360</v>
      </c>
      <c r="CA90" s="199" t="s">
        <v>360</v>
      </c>
      <c r="CB90" s="199" t="s">
        <v>360</v>
      </c>
      <c r="CC90" s="199" t="s">
        <v>360</v>
      </c>
      <c r="CD90" s="199" t="s">
        <v>360</v>
      </c>
      <c r="CE90" s="154"/>
      <c r="CF90" s="154"/>
      <c r="CG90" s="154"/>
      <c r="CH90" s="154"/>
      <c r="CI90" s="154"/>
      <c r="CJ90" s="154"/>
      <c r="CK90" s="154"/>
      <c r="CL90" s="154"/>
      <c r="CM90" s="154"/>
      <c r="CN90" s="154"/>
      <c r="CO90" s="154"/>
      <c r="CP90" s="154"/>
      <c r="CQ90" s="154"/>
      <c r="CR90" s="154"/>
      <c r="CS90" s="154"/>
      <c r="CT90" s="154"/>
      <c r="CU90" s="154"/>
      <c r="CV90" s="154"/>
      <c r="CW90" s="154"/>
      <c r="CX90" s="154"/>
      <c r="CY90" s="154"/>
      <c r="CZ90" s="154"/>
      <c r="DA90" s="154"/>
      <c r="DB90" s="154"/>
      <c r="DC90" s="154"/>
      <c r="DD90" s="154"/>
      <c r="DE90" s="154"/>
      <c r="DF90" s="154"/>
      <c r="DG90" s="154"/>
      <c r="DH90" s="154"/>
      <c r="DI90" s="154"/>
      <c r="DJ90" s="154"/>
      <c r="DK90" s="154"/>
      <c r="DL90" s="154"/>
      <c r="DM90" s="154"/>
      <c r="DN90" s="154"/>
      <c r="DO90" s="154"/>
      <c r="DP90" s="154"/>
      <c r="DQ90" s="154"/>
      <c r="DR90" s="154"/>
      <c r="DS90" s="154"/>
      <c r="DT90" s="154"/>
      <c r="DU90" s="154"/>
      <c r="DV90" s="154"/>
      <c r="DW90" s="154"/>
      <c r="DX90" s="154"/>
      <c r="DY90" s="154"/>
      <c r="DZ90" s="154"/>
      <c r="EA90" s="154"/>
      <c r="EB90" s="154"/>
      <c r="EC90" s="154"/>
      <c r="ED90" s="154"/>
      <c r="EE90" s="154"/>
      <c r="EF90" s="154"/>
      <c r="EG90" s="154"/>
      <c r="EH90" s="154"/>
      <c r="EI90" s="154"/>
      <c r="EJ90" s="154"/>
      <c r="EK90" s="154"/>
      <c r="EL90" s="154"/>
      <c r="EM90" s="154"/>
      <c r="EN90" s="154"/>
      <c r="EO90" s="154"/>
      <c r="EP90" s="154"/>
      <c r="EQ90" s="154"/>
      <c r="ER90" s="154"/>
      <c r="ES90" s="154"/>
      <c r="ET90" s="154"/>
      <c r="EU90" s="154"/>
      <c r="EV90" s="154"/>
      <c r="EW90" s="154"/>
      <c r="EX90" s="154"/>
      <c r="EY90" s="154"/>
      <c r="EZ90" s="154"/>
      <c r="FA90" s="154"/>
      <c r="FB90" s="154"/>
      <c r="FC90" s="154"/>
      <c r="FD90" s="154"/>
      <c r="FE90" s="154"/>
      <c r="FF90" s="154"/>
      <c r="FG90" s="154"/>
      <c r="FH90" s="154"/>
      <c r="FI90" s="154"/>
      <c r="FJ90" s="154"/>
      <c r="FK90" s="154"/>
      <c r="FL90" s="154"/>
      <c r="FM90" s="154"/>
      <c r="FN90" s="154"/>
      <c r="FO90" s="154"/>
      <c r="FP90" s="154"/>
      <c r="FQ90" s="154"/>
      <c r="FR90" s="154"/>
      <c r="FS90" s="154"/>
      <c r="FT90" s="154"/>
      <c r="FU90" s="154"/>
      <c r="FV90" s="154"/>
      <c r="FW90" s="154"/>
      <c r="FX90" s="154"/>
      <c r="FY90" s="154"/>
      <c r="FZ90" s="154"/>
      <c r="GA90" s="154"/>
      <c r="GB90" s="154"/>
      <c r="GC90" s="154"/>
      <c r="GD90" s="154"/>
      <c r="GE90" s="154"/>
      <c r="GF90" s="154"/>
      <c r="GG90" s="154"/>
      <c r="GH90" s="154"/>
      <c r="GI90" s="154"/>
      <c r="GJ90" s="154"/>
      <c r="GK90" s="154"/>
      <c r="GL90" s="154"/>
      <c r="GM90" s="154"/>
      <c r="GN90" s="154"/>
      <c r="GO90" s="154"/>
      <c r="GP90" s="154"/>
      <c r="GQ90" s="154"/>
      <c r="GR90" s="154"/>
      <c r="GS90" s="154"/>
      <c r="GT90" s="154"/>
      <c r="GU90" s="154"/>
      <c r="GV90" s="154"/>
      <c r="GW90" s="154"/>
      <c r="GX90" s="154"/>
      <c r="GY90" s="154"/>
      <c r="GZ90" s="154"/>
      <c r="HA90" s="154"/>
      <c r="HB90" s="154"/>
      <c r="HC90" s="154"/>
      <c r="HD90" s="154"/>
      <c r="HE90" s="154"/>
      <c r="HF90" s="154"/>
      <c r="HG90" s="154"/>
      <c r="HH90" s="154"/>
      <c r="HI90" s="154"/>
      <c r="HJ90" s="154"/>
      <c r="HK90" s="154"/>
      <c r="HL90" s="154"/>
      <c r="HM90" s="154"/>
      <c r="HN90" s="154"/>
      <c r="HO90" s="154"/>
      <c r="HP90" s="154"/>
      <c r="HQ90" s="154"/>
      <c r="HR90" s="154"/>
      <c r="HS90" s="154"/>
      <c r="HT90" s="154"/>
      <c r="HU90" s="154"/>
      <c r="HV90" s="154"/>
      <c r="HW90" s="154"/>
      <c r="HX90" s="154"/>
      <c r="HY90" s="154"/>
      <c r="HZ90" s="154"/>
      <c r="IA90" s="154"/>
      <c r="IB90" s="154"/>
      <c r="IC90" s="154"/>
      <c r="ID90" s="154"/>
      <c r="IE90" s="154"/>
      <c r="IF90" s="154"/>
      <c r="IG90" s="154"/>
      <c r="IH90" s="154"/>
      <c r="II90" s="154"/>
      <c r="IJ90" s="154"/>
      <c r="IK90" s="154"/>
      <c r="IL90" s="154"/>
      <c r="IM90" s="154"/>
      <c r="IN90" s="154"/>
      <c r="IO90" s="154"/>
    </row>
    <row r="91" spans="2:249" s="147" customFormat="1" ht="15">
      <c r="B91" s="152"/>
      <c r="C91" s="170" t="s">
        <v>579</v>
      </c>
      <c r="D91" s="191"/>
      <c r="E91" s="192"/>
      <c r="F91" s="198"/>
      <c r="G91" s="192"/>
      <c r="H91" s="199"/>
      <c r="I91" s="197"/>
      <c r="J91" s="197"/>
      <c r="K91" s="197"/>
      <c r="L91" s="197"/>
      <c r="M91" s="198"/>
      <c r="N91" s="192"/>
      <c r="O91" s="201" t="s">
        <v>360</v>
      </c>
      <c r="P91" s="197"/>
      <c r="Q91" s="201" t="s">
        <v>360</v>
      </c>
      <c r="R91" s="205" t="s">
        <v>360</v>
      </c>
      <c r="S91" s="185"/>
      <c r="T91" s="153"/>
      <c r="U91" s="153"/>
      <c r="V91" s="153"/>
      <c r="W91" s="153"/>
      <c r="X91" s="153"/>
      <c r="Y91" s="153"/>
      <c r="Z91" s="153"/>
      <c r="AA91" s="153"/>
      <c r="AB91" s="153"/>
      <c r="AC91" s="153"/>
      <c r="AD91" s="153"/>
      <c r="AE91" s="186"/>
      <c r="AF91" s="185"/>
      <c r="AG91" s="153"/>
      <c r="AH91" s="153"/>
      <c r="AI91" s="153"/>
      <c r="AJ91" s="153"/>
      <c r="AK91" s="206"/>
      <c r="AL91" s="197"/>
      <c r="AM91" s="197"/>
      <c r="AN91" s="197"/>
      <c r="AO91" s="197"/>
      <c r="AP91" s="199" t="s">
        <v>360</v>
      </c>
      <c r="AQ91" s="197"/>
      <c r="AR91" s="197"/>
      <c r="AS91" s="197"/>
      <c r="AT91" s="197"/>
      <c r="AU91" s="197"/>
      <c r="AV91" s="197"/>
      <c r="AW91" s="197"/>
      <c r="AX91" s="197" t="s">
        <v>360</v>
      </c>
      <c r="AY91" s="199"/>
      <c r="AZ91" s="199"/>
      <c r="BA91" s="199"/>
      <c r="BB91" s="199"/>
      <c r="BC91" s="199"/>
      <c r="BD91" s="197"/>
      <c r="BE91" s="197"/>
      <c r="BF91" s="197"/>
      <c r="BG91" s="197" t="s">
        <v>360</v>
      </c>
      <c r="BH91" s="199"/>
      <c r="BI91" s="199"/>
      <c r="BJ91" s="199"/>
      <c r="BK91" s="199"/>
      <c r="BL91" s="199"/>
      <c r="BM91" s="197"/>
      <c r="BN91" s="197"/>
      <c r="BO91" s="197"/>
      <c r="BP91" s="197" t="s">
        <v>360</v>
      </c>
      <c r="BQ91" s="199"/>
      <c r="BR91" s="199"/>
      <c r="BS91" s="199"/>
      <c r="BT91" s="199"/>
      <c r="BU91" s="199"/>
      <c r="BV91" s="197"/>
      <c r="BW91" s="197"/>
      <c r="BX91" s="197"/>
      <c r="BY91" s="197" t="s">
        <v>360</v>
      </c>
      <c r="BZ91" s="199"/>
      <c r="CA91" s="199"/>
      <c r="CB91" s="199"/>
      <c r="CC91" s="199"/>
      <c r="CD91" s="199"/>
      <c r="CE91" s="153"/>
      <c r="CF91" s="153"/>
      <c r="CG91" s="153"/>
      <c r="CH91" s="153"/>
      <c r="CI91" s="153"/>
      <c r="CJ91" s="153"/>
      <c r="CK91" s="153"/>
      <c r="CL91" s="153"/>
      <c r="CM91" s="153"/>
      <c r="CN91" s="153"/>
      <c r="CO91" s="153"/>
      <c r="CP91" s="153"/>
      <c r="CQ91" s="153"/>
      <c r="CR91" s="153"/>
      <c r="CS91" s="153"/>
      <c r="CT91" s="153"/>
      <c r="CU91" s="153"/>
      <c r="CV91" s="153"/>
      <c r="CW91" s="153"/>
      <c r="CX91" s="153"/>
      <c r="CY91" s="153"/>
      <c r="CZ91" s="153"/>
      <c r="DA91" s="153"/>
      <c r="DB91" s="153"/>
      <c r="DC91" s="153"/>
      <c r="DD91" s="153"/>
      <c r="DE91" s="153"/>
      <c r="DF91" s="153"/>
      <c r="DG91" s="153"/>
      <c r="DH91" s="153"/>
      <c r="DI91" s="153"/>
      <c r="DJ91" s="153"/>
      <c r="DK91" s="153"/>
      <c r="DL91" s="153"/>
      <c r="DM91" s="153"/>
      <c r="DN91" s="153"/>
      <c r="DO91" s="153"/>
      <c r="DP91" s="153"/>
      <c r="DQ91" s="153"/>
      <c r="DR91" s="153"/>
      <c r="DS91" s="153"/>
      <c r="DT91" s="153"/>
      <c r="DU91" s="153"/>
      <c r="DV91" s="153"/>
      <c r="DW91" s="153"/>
      <c r="DX91" s="153"/>
      <c r="DY91" s="153"/>
      <c r="DZ91" s="153"/>
      <c r="EA91" s="153"/>
      <c r="EB91" s="153"/>
      <c r="EC91" s="153"/>
      <c r="ED91" s="153"/>
      <c r="EE91" s="153"/>
      <c r="EF91" s="153"/>
      <c r="EG91" s="153"/>
      <c r="EH91" s="153"/>
      <c r="EI91" s="153"/>
      <c r="EJ91" s="153"/>
      <c r="EK91" s="153"/>
      <c r="EL91" s="153"/>
      <c r="EM91" s="153"/>
      <c r="EN91" s="153"/>
      <c r="EO91" s="153"/>
      <c r="EP91" s="153"/>
      <c r="EQ91" s="153"/>
      <c r="ER91" s="153"/>
      <c r="ES91" s="153"/>
      <c r="ET91" s="153"/>
      <c r="EU91" s="153"/>
      <c r="EV91" s="153"/>
      <c r="EW91" s="153"/>
      <c r="EX91" s="153"/>
      <c r="EY91" s="153"/>
      <c r="EZ91" s="153"/>
      <c r="FA91" s="153"/>
      <c r="FB91" s="153"/>
      <c r="FC91" s="153"/>
      <c r="FD91" s="153"/>
      <c r="FE91" s="153"/>
      <c r="FF91" s="153"/>
      <c r="FG91" s="153"/>
      <c r="FH91" s="153"/>
      <c r="FI91" s="153"/>
      <c r="FJ91" s="153"/>
      <c r="FK91" s="153"/>
      <c r="FL91" s="153"/>
      <c r="FM91" s="153"/>
      <c r="FN91" s="153"/>
      <c r="FO91" s="153"/>
      <c r="FP91" s="153"/>
      <c r="FQ91" s="153"/>
      <c r="FR91" s="153"/>
      <c r="FS91" s="153"/>
      <c r="FT91" s="153"/>
      <c r="FU91" s="153"/>
      <c r="FV91" s="153"/>
      <c r="FW91" s="153"/>
      <c r="FX91" s="153"/>
      <c r="FY91" s="153"/>
      <c r="FZ91" s="153"/>
      <c r="GA91" s="153"/>
      <c r="GB91" s="153"/>
      <c r="GC91" s="153"/>
      <c r="GD91" s="153"/>
      <c r="GE91" s="153"/>
      <c r="GF91" s="153"/>
      <c r="GG91" s="153"/>
      <c r="GH91" s="153"/>
      <c r="GI91" s="153"/>
      <c r="GJ91" s="153"/>
      <c r="GK91" s="153"/>
      <c r="GL91" s="153"/>
      <c r="GM91" s="153"/>
      <c r="GN91" s="153"/>
      <c r="GO91" s="153"/>
      <c r="GP91" s="153"/>
      <c r="GQ91" s="153"/>
      <c r="GR91" s="153"/>
      <c r="GS91" s="153"/>
      <c r="GT91" s="153"/>
      <c r="GU91" s="153"/>
      <c r="GV91" s="153"/>
      <c r="GW91" s="153"/>
      <c r="GX91" s="153"/>
      <c r="GY91" s="153"/>
      <c r="GZ91" s="153"/>
      <c r="HA91" s="153"/>
      <c r="HB91" s="153"/>
      <c r="HC91" s="153"/>
      <c r="HD91" s="153"/>
      <c r="HE91" s="153"/>
      <c r="HF91" s="153"/>
      <c r="HG91" s="153"/>
      <c r="HH91" s="153"/>
      <c r="HI91" s="153"/>
      <c r="HJ91" s="153"/>
      <c r="HK91" s="153"/>
      <c r="HL91" s="153"/>
      <c r="HM91" s="153"/>
      <c r="HN91" s="153"/>
      <c r="HO91" s="153"/>
      <c r="HP91" s="153"/>
      <c r="HQ91" s="153"/>
      <c r="HR91" s="153"/>
      <c r="HS91" s="153"/>
      <c r="HT91" s="153"/>
      <c r="HU91" s="153"/>
      <c r="HV91" s="153"/>
      <c r="HW91" s="153"/>
      <c r="HX91" s="153"/>
      <c r="HY91" s="153"/>
      <c r="HZ91" s="153"/>
      <c r="IA91" s="153"/>
      <c r="IB91" s="153"/>
      <c r="IC91" s="153"/>
      <c r="ID91" s="153"/>
      <c r="IE91" s="153"/>
      <c r="IF91" s="153"/>
      <c r="IG91" s="153"/>
      <c r="IH91" s="153"/>
      <c r="II91" s="153"/>
      <c r="IJ91" s="153"/>
      <c r="IK91" s="153"/>
      <c r="IL91" s="153"/>
      <c r="IM91" s="153"/>
      <c r="IN91" s="153"/>
      <c r="IO91" s="153"/>
    </row>
    <row r="92" spans="2:249" s="147" customFormat="1" ht="15">
      <c r="B92" s="152"/>
      <c r="C92" s="170" t="s">
        <v>580</v>
      </c>
      <c r="D92" s="191"/>
      <c r="E92" s="192"/>
      <c r="F92" s="198"/>
      <c r="G92" s="192"/>
      <c r="H92" s="199"/>
      <c r="I92" s="197"/>
      <c r="J92" s="197"/>
      <c r="K92" s="197"/>
      <c r="L92" s="197"/>
      <c r="M92" s="198"/>
      <c r="N92" s="185"/>
      <c r="O92" s="153"/>
      <c r="P92" s="153"/>
      <c r="Q92" s="153"/>
      <c r="R92" s="206"/>
      <c r="S92" s="185"/>
      <c r="T92" s="153"/>
      <c r="U92" s="153"/>
      <c r="V92" s="153"/>
      <c r="W92" s="153"/>
      <c r="X92" s="153"/>
      <c r="Y92" s="153"/>
      <c r="Z92" s="153"/>
      <c r="AA92" s="153"/>
      <c r="AB92" s="153"/>
      <c r="AC92" s="153"/>
      <c r="AD92" s="153"/>
      <c r="AE92" s="186"/>
      <c r="AF92" s="185"/>
      <c r="AG92" s="153"/>
      <c r="AH92" s="153"/>
      <c r="AI92" s="153"/>
      <c r="AJ92" s="153"/>
      <c r="AK92" s="206"/>
      <c r="AL92" s="197"/>
      <c r="AM92" s="197"/>
      <c r="AN92" s="197"/>
      <c r="AO92" s="197"/>
      <c r="AP92" s="199"/>
      <c r="AQ92" s="197"/>
      <c r="AR92" s="197"/>
      <c r="AS92" s="197"/>
      <c r="AT92" s="197"/>
      <c r="AU92" s="197"/>
      <c r="AV92" s="197"/>
      <c r="AW92" s="197"/>
      <c r="AX92" s="197"/>
      <c r="AY92" s="199"/>
      <c r="AZ92" s="199"/>
      <c r="BA92" s="199"/>
      <c r="BB92" s="199"/>
      <c r="BC92" s="199"/>
      <c r="BD92" s="197"/>
      <c r="BE92" s="197"/>
      <c r="BF92" s="197"/>
      <c r="BG92" s="197"/>
      <c r="BH92" s="199"/>
      <c r="BI92" s="199"/>
      <c r="BJ92" s="199"/>
      <c r="BK92" s="199"/>
      <c r="BL92" s="199"/>
      <c r="BM92" s="197"/>
      <c r="BN92" s="197"/>
      <c r="BO92" s="197"/>
      <c r="BP92" s="197"/>
      <c r="BQ92" s="199"/>
      <c r="BR92" s="199"/>
      <c r="BS92" s="199"/>
      <c r="BT92" s="199"/>
      <c r="BU92" s="199"/>
      <c r="BV92" s="197"/>
      <c r="BW92" s="197"/>
      <c r="BX92" s="197"/>
      <c r="BY92" s="197"/>
      <c r="BZ92" s="199"/>
      <c r="CA92" s="199"/>
      <c r="CB92" s="199"/>
      <c r="CC92" s="199"/>
      <c r="CD92" s="199"/>
      <c r="CE92" s="153"/>
      <c r="CF92" s="153"/>
      <c r="CG92" s="153"/>
      <c r="CH92" s="153"/>
      <c r="CI92" s="153"/>
      <c r="CJ92" s="153"/>
      <c r="CK92" s="153"/>
      <c r="CL92" s="153"/>
      <c r="CM92" s="153"/>
      <c r="CN92" s="153"/>
      <c r="CO92" s="153"/>
      <c r="CP92" s="153"/>
      <c r="CQ92" s="153"/>
      <c r="CR92" s="153"/>
      <c r="CS92" s="153"/>
      <c r="CT92" s="153"/>
      <c r="CU92" s="153"/>
      <c r="CV92" s="153"/>
      <c r="CW92" s="153"/>
      <c r="CX92" s="153"/>
      <c r="CY92" s="153"/>
      <c r="CZ92" s="153"/>
      <c r="DA92" s="153"/>
      <c r="DB92" s="153"/>
      <c r="DC92" s="153"/>
      <c r="DD92" s="153"/>
      <c r="DE92" s="153"/>
      <c r="DF92" s="153"/>
      <c r="DG92" s="153"/>
      <c r="DH92" s="153"/>
      <c r="DI92" s="153"/>
      <c r="DJ92" s="153"/>
      <c r="DK92" s="153"/>
      <c r="DL92" s="153"/>
      <c r="DM92" s="153"/>
      <c r="DN92" s="153"/>
      <c r="DO92" s="153"/>
      <c r="DP92" s="153"/>
      <c r="DQ92" s="153"/>
      <c r="DR92" s="153"/>
      <c r="DS92" s="153"/>
      <c r="DT92" s="153"/>
      <c r="DU92" s="153"/>
      <c r="DV92" s="153"/>
      <c r="DW92" s="153"/>
      <c r="DX92" s="153"/>
      <c r="DY92" s="153"/>
      <c r="DZ92" s="153"/>
      <c r="EA92" s="153"/>
      <c r="EB92" s="153"/>
      <c r="EC92" s="153"/>
      <c r="ED92" s="153"/>
      <c r="EE92" s="153"/>
      <c r="EF92" s="153"/>
      <c r="EG92" s="153"/>
      <c r="EH92" s="153"/>
      <c r="EI92" s="153"/>
      <c r="EJ92" s="153"/>
      <c r="EK92" s="153"/>
      <c r="EL92" s="153"/>
      <c r="EM92" s="153"/>
      <c r="EN92" s="153"/>
      <c r="EO92" s="153"/>
      <c r="EP92" s="153"/>
      <c r="EQ92" s="153"/>
      <c r="ER92" s="153"/>
      <c r="ES92" s="153"/>
      <c r="ET92" s="153"/>
      <c r="EU92" s="153"/>
      <c r="EV92" s="153"/>
      <c r="EW92" s="153"/>
      <c r="EX92" s="153"/>
      <c r="EY92" s="153"/>
      <c r="EZ92" s="153"/>
      <c r="FA92" s="153"/>
      <c r="FB92" s="153"/>
      <c r="FC92" s="153"/>
      <c r="FD92" s="153"/>
      <c r="FE92" s="153"/>
      <c r="FF92" s="153"/>
      <c r="FG92" s="153"/>
      <c r="FH92" s="153"/>
      <c r="FI92" s="153"/>
      <c r="FJ92" s="153"/>
      <c r="FK92" s="153"/>
      <c r="FL92" s="153"/>
      <c r="FM92" s="153"/>
      <c r="FN92" s="153"/>
      <c r="FO92" s="153"/>
      <c r="FP92" s="153"/>
      <c r="FQ92" s="153"/>
      <c r="FR92" s="153"/>
      <c r="FS92" s="153"/>
      <c r="FT92" s="153"/>
      <c r="FU92" s="153"/>
      <c r="FV92" s="153"/>
      <c r="FW92" s="153"/>
      <c r="FX92" s="153"/>
      <c r="FY92" s="153"/>
      <c r="FZ92" s="153"/>
      <c r="GA92" s="153"/>
      <c r="GB92" s="153"/>
      <c r="GC92" s="153"/>
      <c r="GD92" s="153"/>
      <c r="GE92" s="153"/>
      <c r="GF92" s="153"/>
      <c r="GG92" s="153"/>
      <c r="GH92" s="153"/>
      <c r="GI92" s="153"/>
      <c r="GJ92" s="153"/>
      <c r="GK92" s="153"/>
      <c r="GL92" s="153"/>
      <c r="GM92" s="153"/>
      <c r="GN92" s="153"/>
      <c r="GO92" s="153"/>
      <c r="GP92" s="153"/>
      <c r="GQ92" s="153"/>
      <c r="GR92" s="153"/>
      <c r="GS92" s="153"/>
      <c r="GT92" s="153"/>
      <c r="GU92" s="153"/>
      <c r="GV92" s="153"/>
      <c r="GW92" s="153"/>
      <c r="GX92" s="153"/>
      <c r="GY92" s="153"/>
      <c r="GZ92" s="153"/>
      <c r="HA92" s="153"/>
      <c r="HB92" s="153"/>
      <c r="HC92" s="153"/>
      <c r="HD92" s="153"/>
      <c r="HE92" s="153"/>
      <c r="HF92" s="153"/>
      <c r="HG92" s="153"/>
      <c r="HH92" s="153"/>
      <c r="HI92" s="153"/>
      <c r="HJ92" s="153"/>
      <c r="HK92" s="153"/>
      <c r="HL92" s="153"/>
      <c r="HM92" s="153"/>
      <c r="HN92" s="153"/>
      <c r="HO92" s="153"/>
      <c r="HP92" s="153"/>
      <c r="HQ92" s="153"/>
      <c r="HR92" s="153"/>
      <c r="HS92" s="153"/>
      <c r="HT92" s="153"/>
      <c r="HU92" s="153"/>
      <c r="HV92" s="153"/>
      <c r="HW92" s="153"/>
      <c r="HX92" s="153"/>
      <c r="HY92" s="153"/>
      <c r="HZ92" s="153"/>
      <c r="IA92" s="153"/>
      <c r="IB92" s="153"/>
      <c r="IC92" s="153"/>
      <c r="ID92" s="153"/>
      <c r="IE92" s="153"/>
      <c r="IF92" s="153"/>
      <c r="IG92" s="153"/>
      <c r="IH92" s="153"/>
      <c r="II92" s="153"/>
      <c r="IJ92" s="153"/>
      <c r="IK92" s="153"/>
      <c r="IL92" s="153"/>
      <c r="IM92" s="153"/>
      <c r="IN92" s="153"/>
      <c r="IO92" s="153"/>
    </row>
    <row r="93" spans="2:249" s="147" customFormat="1" ht="15">
      <c r="B93" s="152"/>
      <c r="C93" s="170" t="s">
        <v>581</v>
      </c>
      <c r="D93" s="191"/>
      <c r="E93" s="192"/>
      <c r="F93" s="193"/>
      <c r="G93" s="192"/>
      <c r="H93" s="197"/>
      <c r="I93" s="197"/>
      <c r="J93" s="197"/>
      <c r="K93" s="197"/>
      <c r="L93" s="197"/>
      <c r="M93" s="198"/>
      <c r="N93" s="185"/>
      <c r="O93" s="153"/>
      <c r="P93" s="153"/>
      <c r="Q93" s="153"/>
      <c r="R93" s="206"/>
      <c r="S93" s="185"/>
      <c r="T93" s="153"/>
      <c r="U93" s="153"/>
      <c r="V93" s="153"/>
      <c r="W93" s="153"/>
      <c r="X93" s="153"/>
      <c r="Y93" s="153"/>
      <c r="Z93" s="153"/>
      <c r="AA93" s="153"/>
      <c r="AB93" s="153"/>
      <c r="AC93" s="153"/>
      <c r="AD93" s="153"/>
      <c r="AE93" s="186"/>
      <c r="AF93" s="185"/>
      <c r="AG93" s="153"/>
      <c r="AH93" s="153"/>
      <c r="AI93" s="197"/>
      <c r="AJ93" s="153"/>
      <c r="AK93" s="204"/>
      <c r="AL93" s="197"/>
      <c r="AM93" s="197"/>
      <c r="AN93" s="199"/>
      <c r="AO93" s="197"/>
      <c r="AP93" s="197"/>
      <c r="AQ93" s="197"/>
      <c r="AR93" s="197"/>
      <c r="AS93" s="197"/>
      <c r="AT93" s="197"/>
      <c r="AU93" s="197"/>
      <c r="AV93" s="197"/>
      <c r="AW93" s="199"/>
      <c r="AX93" s="197"/>
      <c r="AY93" s="197"/>
      <c r="AZ93" s="197"/>
      <c r="BA93" s="197"/>
      <c r="BB93" s="197"/>
      <c r="BC93" s="197"/>
      <c r="BD93" s="197"/>
      <c r="BE93" s="197"/>
      <c r="BF93" s="199"/>
      <c r="BG93" s="197"/>
      <c r="BH93" s="197"/>
      <c r="BI93" s="197"/>
      <c r="BJ93" s="197"/>
      <c r="BK93" s="197"/>
      <c r="BL93" s="197"/>
      <c r="BM93" s="197"/>
      <c r="BN93" s="197"/>
      <c r="BO93" s="199"/>
      <c r="BP93" s="197"/>
      <c r="BQ93" s="197"/>
      <c r="BR93" s="197"/>
      <c r="BS93" s="197"/>
      <c r="BT93" s="197"/>
      <c r="BU93" s="197"/>
      <c r="BV93" s="197"/>
      <c r="BW93" s="197"/>
      <c r="BX93" s="199"/>
      <c r="BY93" s="197"/>
      <c r="BZ93" s="197"/>
      <c r="CA93" s="197"/>
      <c r="CB93" s="197"/>
      <c r="CC93" s="197"/>
      <c r="CD93" s="197"/>
      <c r="CE93" s="197"/>
      <c r="CF93" s="197"/>
      <c r="CG93" s="197"/>
      <c r="CH93" s="197"/>
      <c r="CI93" s="197"/>
      <c r="CJ93" s="197"/>
      <c r="CK93" s="197"/>
      <c r="CL93" s="197"/>
      <c r="CM93" s="197"/>
      <c r="CN93" s="197"/>
      <c r="CO93" s="197"/>
      <c r="CP93" s="197"/>
      <c r="CQ93" s="197"/>
      <c r="CR93" s="197"/>
      <c r="CS93" s="197"/>
      <c r="CT93" s="197"/>
      <c r="CU93" s="197"/>
      <c r="CV93" s="197"/>
      <c r="CW93" s="197"/>
      <c r="CX93" s="197"/>
      <c r="CY93" s="197"/>
      <c r="CZ93" s="197"/>
      <c r="DA93" s="197"/>
      <c r="DB93" s="197"/>
      <c r="DC93" s="197"/>
      <c r="DD93" s="197"/>
      <c r="DE93" s="197"/>
      <c r="DF93" s="197"/>
      <c r="DG93" s="197"/>
      <c r="DH93" s="197"/>
      <c r="DI93" s="197"/>
      <c r="DJ93" s="197"/>
      <c r="DK93" s="197"/>
      <c r="DL93" s="197"/>
      <c r="DM93" s="197"/>
      <c r="DN93" s="197"/>
      <c r="DO93" s="197"/>
      <c r="DP93" s="197"/>
      <c r="DQ93" s="197"/>
      <c r="DR93" s="197"/>
      <c r="DS93" s="197"/>
      <c r="DT93" s="197"/>
      <c r="DU93" s="197"/>
      <c r="DV93" s="197"/>
      <c r="DW93" s="197"/>
      <c r="DX93" s="197"/>
      <c r="DY93" s="197"/>
      <c r="DZ93" s="197"/>
      <c r="EA93" s="197"/>
      <c r="EB93" s="197"/>
      <c r="EC93" s="197"/>
      <c r="ED93" s="197"/>
      <c r="EE93" s="197"/>
      <c r="EF93" s="197"/>
      <c r="EG93" s="197"/>
      <c r="EH93" s="197"/>
      <c r="EI93" s="197"/>
      <c r="EJ93" s="197"/>
      <c r="EK93" s="197"/>
      <c r="EL93" s="197"/>
      <c r="EM93" s="197"/>
      <c r="EN93" s="197"/>
      <c r="EO93" s="197"/>
      <c r="EP93" s="197"/>
      <c r="EQ93" s="197"/>
      <c r="ER93" s="197"/>
      <c r="ES93" s="197"/>
      <c r="ET93" s="197"/>
      <c r="EU93" s="197"/>
      <c r="EV93" s="197"/>
      <c r="EW93" s="197"/>
      <c r="EX93" s="197"/>
      <c r="EY93" s="197"/>
      <c r="EZ93" s="197"/>
      <c r="FA93" s="197"/>
      <c r="FB93" s="197"/>
      <c r="FC93" s="197"/>
      <c r="FD93" s="197"/>
      <c r="FE93" s="197"/>
      <c r="FF93" s="197"/>
      <c r="FG93" s="197"/>
      <c r="FH93" s="197"/>
      <c r="FI93" s="197"/>
      <c r="FJ93" s="197"/>
      <c r="FK93" s="197"/>
      <c r="FL93" s="197"/>
      <c r="FM93" s="197"/>
      <c r="FN93" s="197"/>
      <c r="FO93" s="197"/>
      <c r="FP93" s="197"/>
      <c r="FQ93" s="197"/>
      <c r="FR93" s="197"/>
      <c r="FS93" s="197"/>
      <c r="FT93" s="197"/>
      <c r="FU93" s="197"/>
      <c r="FV93" s="197"/>
      <c r="FW93" s="197"/>
      <c r="FX93" s="197"/>
      <c r="FY93" s="197"/>
      <c r="FZ93" s="197"/>
      <c r="GA93" s="197"/>
      <c r="GB93" s="197"/>
      <c r="GC93" s="197"/>
      <c r="GD93" s="197"/>
      <c r="GE93" s="197"/>
      <c r="GF93" s="197"/>
      <c r="GG93" s="197"/>
      <c r="GH93" s="197"/>
      <c r="GI93" s="197"/>
      <c r="GJ93" s="197"/>
      <c r="GK93" s="197"/>
      <c r="GL93" s="197"/>
      <c r="GM93" s="197"/>
      <c r="GN93" s="197"/>
      <c r="GO93" s="197"/>
      <c r="GP93" s="197"/>
      <c r="GQ93" s="197"/>
      <c r="GR93" s="197"/>
      <c r="GS93" s="197"/>
      <c r="GT93" s="197"/>
      <c r="GU93" s="197"/>
      <c r="GV93" s="197"/>
      <c r="GW93" s="197"/>
      <c r="GX93" s="197"/>
      <c r="GY93" s="197"/>
      <c r="GZ93" s="197"/>
      <c r="HA93" s="197"/>
      <c r="HB93" s="197"/>
      <c r="HC93" s="197"/>
      <c r="HD93" s="197"/>
      <c r="HE93" s="197"/>
      <c r="HF93" s="197"/>
      <c r="HG93" s="197"/>
      <c r="HH93" s="197"/>
      <c r="HI93" s="197"/>
      <c r="HJ93" s="197"/>
      <c r="HK93" s="197"/>
      <c r="HL93" s="197"/>
      <c r="HM93" s="197"/>
      <c r="HN93" s="197"/>
      <c r="HO93" s="197"/>
      <c r="HP93" s="197"/>
      <c r="HQ93" s="197"/>
      <c r="HR93" s="197"/>
      <c r="HS93" s="197"/>
      <c r="HT93" s="197"/>
      <c r="HU93" s="197"/>
      <c r="HV93" s="197"/>
      <c r="HW93" s="197"/>
      <c r="HX93" s="197"/>
      <c r="HY93" s="197"/>
      <c r="HZ93" s="197"/>
      <c r="IA93" s="197"/>
      <c r="IB93" s="197"/>
      <c r="IC93" s="197"/>
      <c r="ID93" s="197"/>
      <c r="IE93" s="197"/>
      <c r="IF93" s="197"/>
      <c r="IG93" s="197"/>
      <c r="IH93" s="197"/>
      <c r="II93" s="197"/>
      <c r="IJ93" s="197"/>
      <c r="IK93" s="197"/>
      <c r="IL93" s="197"/>
      <c r="IM93" s="197"/>
      <c r="IN93" s="197"/>
      <c r="IO93" s="197"/>
    </row>
    <row r="94" spans="2:249" s="147" customFormat="1" ht="15">
      <c r="B94" s="152"/>
      <c r="C94" s="170" t="s">
        <v>582</v>
      </c>
      <c r="D94" s="191"/>
      <c r="E94" s="192"/>
      <c r="F94" s="193" t="s">
        <v>360</v>
      </c>
      <c r="G94" s="192"/>
      <c r="H94" s="197"/>
      <c r="I94" s="197"/>
      <c r="J94" s="197"/>
      <c r="K94" s="197"/>
      <c r="L94" s="197"/>
      <c r="M94" s="198"/>
      <c r="N94" s="185"/>
      <c r="O94" s="153"/>
      <c r="P94" s="153"/>
      <c r="Q94" s="153"/>
      <c r="R94" s="206"/>
      <c r="S94" s="185"/>
      <c r="T94" s="153"/>
      <c r="U94" s="153"/>
      <c r="V94" s="153"/>
      <c r="W94" s="153"/>
      <c r="X94" s="153"/>
      <c r="Y94" s="153"/>
      <c r="Z94" s="153"/>
      <c r="AA94" s="153"/>
      <c r="AB94" s="153"/>
      <c r="AC94" s="153"/>
      <c r="AD94" s="153"/>
      <c r="AE94" s="186"/>
      <c r="AF94" s="185"/>
      <c r="AG94" s="153"/>
      <c r="AH94" s="153"/>
      <c r="AI94" s="153"/>
      <c r="AJ94" s="153"/>
      <c r="AK94" s="206"/>
      <c r="AL94" s="197"/>
      <c r="AM94" s="197"/>
      <c r="AN94" s="199" t="s">
        <v>360</v>
      </c>
      <c r="AO94" s="197"/>
      <c r="AP94" s="197"/>
      <c r="AQ94" s="197"/>
      <c r="AR94" s="197"/>
      <c r="AS94" s="197"/>
      <c r="AT94" s="197"/>
      <c r="AU94" s="197"/>
      <c r="AV94" s="197" t="s">
        <v>360</v>
      </c>
      <c r="AW94" s="199"/>
      <c r="AX94" s="197"/>
      <c r="AY94" s="197"/>
      <c r="AZ94" s="197"/>
      <c r="BA94" s="197"/>
      <c r="BB94" s="197"/>
      <c r="BC94" s="197"/>
      <c r="BD94" s="197"/>
      <c r="BE94" s="197" t="s">
        <v>360</v>
      </c>
      <c r="BF94" s="199"/>
      <c r="BG94" s="197"/>
      <c r="BH94" s="197"/>
      <c r="BI94" s="197"/>
      <c r="BJ94" s="197"/>
      <c r="BK94" s="197"/>
      <c r="BL94" s="197"/>
      <c r="BM94" s="197"/>
      <c r="BN94" s="197" t="s">
        <v>360</v>
      </c>
      <c r="BO94" s="199"/>
      <c r="BP94" s="197"/>
      <c r="BQ94" s="197"/>
      <c r="BR94" s="197"/>
      <c r="BS94" s="197"/>
      <c r="BT94" s="197"/>
      <c r="BU94" s="197"/>
      <c r="BV94" s="197"/>
      <c r="BW94" s="197" t="s">
        <v>360</v>
      </c>
      <c r="BX94" s="199"/>
      <c r="BY94" s="197"/>
      <c r="BZ94" s="197"/>
      <c r="CA94" s="197"/>
      <c r="CB94" s="197"/>
      <c r="CC94" s="197"/>
      <c r="CD94" s="197"/>
      <c r="CE94" s="153"/>
      <c r="CF94" s="153"/>
      <c r="CG94" s="153"/>
      <c r="CH94" s="153"/>
      <c r="CI94" s="153"/>
      <c r="CJ94" s="153"/>
      <c r="CK94" s="153"/>
      <c r="CL94" s="153"/>
      <c r="CM94" s="153"/>
      <c r="CN94" s="153"/>
      <c r="CO94" s="153"/>
      <c r="CP94" s="153"/>
      <c r="CQ94" s="153"/>
      <c r="CR94" s="153"/>
      <c r="CS94" s="153"/>
      <c r="CT94" s="153"/>
      <c r="CU94" s="153"/>
      <c r="CV94" s="153"/>
      <c r="CW94" s="153"/>
      <c r="CX94" s="153"/>
      <c r="CY94" s="153"/>
      <c r="CZ94" s="153"/>
      <c r="DA94" s="153"/>
      <c r="DB94" s="153"/>
      <c r="DC94" s="153"/>
      <c r="DD94" s="153"/>
      <c r="DE94" s="153"/>
      <c r="DF94" s="153"/>
      <c r="DG94" s="153"/>
      <c r="DH94" s="153"/>
      <c r="DI94" s="153"/>
      <c r="DJ94" s="153"/>
      <c r="DK94" s="153"/>
      <c r="DL94" s="153"/>
      <c r="DM94" s="153"/>
      <c r="DN94" s="153"/>
      <c r="DO94" s="153"/>
      <c r="DP94" s="153"/>
      <c r="DQ94" s="153"/>
      <c r="DR94" s="153"/>
      <c r="DS94" s="153"/>
      <c r="DT94" s="153"/>
      <c r="DU94" s="153"/>
      <c r="DV94" s="153"/>
      <c r="DW94" s="153"/>
      <c r="DX94" s="153"/>
      <c r="DY94" s="153"/>
      <c r="DZ94" s="153"/>
      <c r="EA94" s="153"/>
      <c r="EB94" s="153"/>
      <c r="EC94" s="153"/>
      <c r="ED94" s="153"/>
      <c r="EE94" s="153"/>
      <c r="EF94" s="153"/>
      <c r="EG94" s="153"/>
      <c r="EH94" s="153"/>
      <c r="EI94" s="153"/>
      <c r="EJ94" s="153"/>
      <c r="EK94" s="153"/>
      <c r="EL94" s="153"/>
      <c r="EM94" s="153"/>
      <c r="EN94" s="153"/>
      <c r="EO94" s="153"/>
      <c r="EP94" s="153"/>
      <c r="EQ94" s="153"/>
      <c r="ER94" s="153"/>
      <c r="ES94" s="153"/>
      <c r="ET94" s="153"/>
      <c r="EU94" s="153"/>
      <c r="EV94" s="153"/>
      <c r="EW94" s="153"/>
      <c r="EX94" s="153"/>
      <c r="EY94" s="153"/>
      <c r="EZ94" s="153"/>
      <c r="FA94" s="153"/>
      <c r="FB94" s="153"/>
      <c r="FC94" s="153"/>
      <c r="FD94" s="153"/>
      <c r="FE94" s="153"/>
      <c r="FF94" s="153"/>
      <c r="FG94" s="153"/>
      <c r="FH94" s="153"/>
      <c r="FI94" s="153"/>
      <c r="FJ94" s="153"/>
      <c r="FK94" s="153"/>
      <c r="FL94" s="153"/>
      <c r="FM94" s="153"/>
      <c r="FN94" s="153"/>
      <c r="FO94" s="153"/>
      <c r="FP94" s="153"/>
      <c r="FQ94" s="153"/>
      <c r="FR94" s="153"/>
      <c r="FS94" s="153"/>
      <c r="FT94" s="153"/>
      <c r="FU94" s="153"/>
      <c r="FV94" s="153"/>
      <c r="FW94" s="153"/>
      <c r="FX94" s="153"/>
      <c r="FY94" s="153"/>
      <c r="FZ94" s="153"/>
      <c r="GA94" s="153"/>
      <c r="GB94" s="153"/>
      <c r="GC94" s="153"/>
      <c r="GD94" s="153"/>
      <c r="GE94" s="153"/>
      <c r="GF94" s="153"/>
      <c r="GG94" s="153"/>
      <c r="GH94" s="153"/>
      <c r="GI94" s="153"/>
      <c r="GJ94" s="153"/>
      <c r="GK94" s="153"/>
      <c r="GL94" s="153"/>
      <c r="GM94" s="153"/>
      <c r="GN94" s="153"/>
      <c r="GO94" s="153"/>
      <c r="GP94" s="153"/>
      <c r="GQ94" s="153"/>
      <c r="GR94" s="153"/>
      <c r="GS94" s="153"/>
      <c r="GT94" s="153"/>
      <c r="GU94" s="153"/>
      <c r="GV94" s="153"/>
      <c r="GW94" s="153"/>
      <c r="GX94" s="153"/>
      <c r="GY94" s="153"/>
      <c r="GZ94" s="153"/>
      <c r="HA94" s="153"/>
      <c r="HB94" s="153"/>
      <c r="HC94" s="153"/>
      <c r="HD94" s="153"/>
      <c r="HE94" s="153"/>
      <c r="HF94" s="153"/>
      <c r="HG94" s="153"/>
      <c r="HH94" s="153"/>
      <c r="HI94" s="153"/>
      <c r="HJ94" s="153"/>
      <c r="HK94" s="153"/>
      <c r="HL94" s="153"/>
      <c r="HM94" s="153"/>
      <c r="HN94" s="153"/>
      <c r="HO94" s="153"/>
      <c r="HP94" s="153"/>
      <c r="HQ94" s="153"/>
      <c r="HR94" s="153"/>
      <c r="HS94" s="153"/>
      <c r="HT94" s="153"/>
      <c r="HU94" s="153"/>
      <c r="HV94" s="153"/>
      <c r="HW94" s="153"/>
      <c r="HX94" s="153"/>
      <c r="HY94" s="153"/>
      <c r="HZ94" s="153"/>
      <c r="IA94" s="153"/>
      <c r="IB94" s="153"/>
      <c r="IC94" s="153"/>
      <c r="ID94" s="153"/>
      <c r="IE94" s="153"/>
      <c r="IF94" s="153"/>
      <c r="IG94" s="153"/>
      <c r="IH94" s="153"/>
      <c r="II94" s="153"/>
      <c r="IJ94" s="153"/>
      <c r="IK94" s="153"/>
      <c r="IL94" s="153"/>
      <c r="IM94" s="153"/>
      <c r="IN94" s="153"/>
      <c r="IO94" s="153"/>
    </row>
    <row r="95" spans="2:249" s="147" customFormat="1" ht="15">
      <c r="B95" s="152"/>
      <c r="C95" s="170" t="s">
        <v>583</v>
      </c>
      <c r="D95" s="191"/>
      <c r="E95" s="192"/>
      <c r="F95" s="193"/>
      <c r="G95" s="192"/>
      <c r="H95" s="197"/>
      <c r="I95" s="197"/>
      <c r="J95" s="199" t="s">
        <v>360</v>
      </c>
      <c r="K95" s="199" t="s">
        <v>360</v>
      </c>
      <c r="L95" s="199" t="s">
        <v>360</v>
      </c>
      <c r="M95" s="198"/>
      <c r="N95" s="185"/>
      <c r="O95" s="153"/>
      <c r="P95" s="153"/>
      <c r="Q95" s="153"/>
      <c r="R95" s="206"/>
      <c r="S95" s="185"/>
      <c r="T95" s="153"/>
      <c r="U95" s="153"/>
      <c r="V95" s="153"/>
      <c r="W95" s="153"/>
      <c r="X95" s="153"/>
      <c r="Y95" s="153"/>
      <c r="Z95" s="153"/>
      <c r="AA95" s="153"/>
      <c r="AB95" s="153"/>
      <c r="AC95" s="153"/>
      <c r="AD95" s="153"/>
      <c r="AE95" s="186"/>
      <c r="AF95" s="185"/>
      <c r="AG95" s="153"/>
      <c r="AH95" s="153"/>
      <c r="AI95" s="153"/>
      <c r="AJ95" s="153"/>
      <c r="AK95" s="206"/>
      <c r="AL95" s="197"/>
      <c r="AM95" s="197"/>
      <c r="AN95" s="199"/>
      <c r="AO95" s="197" t="s">
        <v>360</v>
      </c>
      <c r="AP95" s="197"/>
      <c r="AQ95" s="199"/>
      <c r="AR95" s="199"/>
      <c r="AS95" s="199"/>
      <c r="AT95" s="199"/>
      <c r="AU95" s="197"/>
      <c r="AV95" s="197"/>
      <c r="AW95" s="199" t="s">
        <v>360</v>
      </c>
      <c r="AX95" s="197"/>
      <c r="AY95" s="197"/>
      <c r="AZ95" s="197"/>
      <c r="BA95" s="197"/>
      <c r="BB95" s="197"/>
      <c r="BC95" s="197"/>
      <c r="BD95" s="197"/>
      <c r="BE95" s="197"/>
      <c r="BF95" s="199" t="s">
        <v>360</v>
      </c>
      <c r="BG95" s="197"/>
      <c r="BH95" s="197"/>
      <c r="BI95" s="197"/>
      <c r="BJ95" s="197"/>
      <c r="BK95" s="197"/>
      <c r="BL95" s="197"/>
      <c r="BM95" s="197"/>
      <c r="BN95" s="197"/>
      <c r="BO95" s="199" t="s">
        <v>360</v>
      </c>
      <c r="BP95" s="197"/>
      <c r="BQ95" s="197"/>
      <c r="BR95" s="197"/>
      <c r="BS95" s="197"/>
      <c r="BT95" s="197"/>
      <c r="BU95" s="197"/>
      <c r="BV95" s="197"/>
      <c r="BW95" s="197"/>
      <c r="BX95" s="199" t="s">
        <v>360</v>
      </c>
      <c r="BY95" s="197"/>
      <c r="BZ95" s="197"/>
      <c r="CA95" s="197"/>
      <c r="CB95" s="197"/>
      <c r="CC95" s="197"/>
      <c r="CD95" s="197"/>
      <c r="CE95" s="153"/>
      <c r="CF95" s="153"/>
      <c r="CG95" s="153"/>
      <c r="CH95" s="153"/>
      <c r="CI95" s="153"/>
      <c r="CJ95" s="153"/>
      <c r="CK95" s="153"/>
      <c r="CL95" s="153"/>
      <c r="CM95" s="153"/>
      <c r="CN95" s="153"/>
      <c r="CO95" s="153"/>
      <c r="CP95" s="153"/>
      <c r="CQ95" s="153"/>
      <c r="CR95" s="153"/>
      <c r="CS95" s="153"/>
      <c r="CT95" s="153"/>
      <c r="CU95" s="153"/>
      <c r="CV95" s="153"/>
      <c r="CW95" s="153"/>
      <c r="CX95" s="153"/>
      <c r="CY95" s="153"/>
      <c r="CZ95" s="153"/>
      <c r="DA95" s="153"/>
      <c r="DB95" s="153"/>
      <c r="DC95" s="153"/>
      <c r="DD95" s="153"/>
      <c r="DE95" s="153"/>
      <c r="DF95" s="153"/>
      <c r="DG95" s="153"/>
      <c r="DH95" s="153"/>
      <c r="DI95" s="153"/>
      <c r="DJ95" s="153"/>
      <c r="DK95" s="153"/>
      <c r="DL95" s="153"/>
      <c r="DM95" s="153"/>
      <c r="DN95" s="153"/>
      <c r="DO95" s="153"/>
      <c r="DP95" s="153"/>
      <c r="DQ95" s="153"/>
      <c r="DR95" s="153"/>
      <c r="DS95" s="153"/>
      <c r="DT95" s="153"/>
      <c r="DU95" s="153"/>
      <c r="DV95" s="153"/>
      <c r="DW95" s="153"/>
      <c r="DX95" s="153"/>
      <c r="DY95" s="153"/>
      <c r="DZ95" s="153"/>
      <c r="EA95" s="153"/>
      <c r="EB95" s="153"/>
      <c r="EC95" s="153"/>
      <c r="ED95" s="153"/>
      <c r="EE95" s="153"/>
      <c r="EF95" s="153"/>
      <c r="EG95" s="153"/>
      <c r="EH95" s="153"/>
      <c r="EI95" s="153"/>
      <c r="EJ95" s="153"/>
      <c r="EK95" s="153"/>
      <c r="EL95" s="153"/>
      <c r="EM95" s="153"/>
      <c r="EN95" s="153"/>
      <c r="EO95" s="153"/>
      <c r="EP95" s="153"/>
      <c r="EQ95" s="153"/>
      <c r="ER95" s="153"/>
      <c r="ES95" s="153"/>
      <c r="ET95" s="153"/>
      <c r="EU95" s="153"/>
      <c r="EV95" s="153"/>
      <c r="EW95" s="153"/>
      <c r="EX95" s="153"/>
      <c r="EY95" s="153"/>
      <c r="EZ95" s="153"/>
      <c r="FA95" s="153"/>
      <c r="FB95" s="153"/>
      <c r="FC95" s="153"/>
      <c r="FD95" s="153"/>
      <c r="FE95" s="153"/>
      <c r="FF95" s="153"/>
      <c r="FG95" s="153"/>
      <c r="FH95" s="153"/>
      <c r="FI95" s="153"/>
      <c r="FJ95" s="153"/>
      <c r="FK95" s="153"/>
      <c r="FL95" s="153"/>
      <c r="FM95" s="153"/>
      <c r="FN95" s="153"/>
      <c r="FO95" s="153"/>
      <c r="FP95" s="153"/>
      <c r="FQ95" s="153"/>
      <c r="FR95" s="153"/>
      <c r="FS95" s="153"/>
      <c r="FT95" s="153"/>
      <c r="FU95" s="153"/>
      <c r="FV95" s="153"/>
      <c r="FW95" s="153"/>
      <c r="FX95" s="153"/>
      <c r="FY95" s="153"/>
      <c r="FZ95" s="153"/>
      <c r="GA95" s="153"/>
      <c r="GB95" s="153"/>
      <c r="GC95" s="153"/>
      <c r="GD95" s="153"/>
      <c r="GE95" s="153"/>
      <c r="GF95" s="153"/>
      <c r="GG95" s="153"/>
      <c r="GH95" s="153"/>
      <c r="GI95" s="153"/>
      <c r="GJ95" s="153"/>
      <c r="GK95" s="153"/>
      <c r="GL95" s="153"/>
      <c r="GM95" s="153"/>
      <c r="GN95" s="153"/>
      <c r="GO95" s="153"/>
      <c r="GP95" s="153"/>
      <c r="GQ95" s="153"/>
      <c r="GR95" s="153"/>
      <c r="GS95" s="153"/>
      <c r="GT95" s="153"/>
      <c r="GU95" s="153"/>
      <c r="GV95" s="153"/>
      <c r="GW95" s="153"/>
      <c r="GX95" s="153"/>
      <c r="GY95" s="153"/>
      <c r="GZ95" s="153"/>
      <c r="HA95" s="153"/>
      <c r="HB95" s="153"/>
      <c r="HC95" s="153"/>
      <c r="HD95" s="153"/>
      <c r="HE95" s="153"/>
      <c r="HF95" s="153"/>
      <c r="HG95" s="153"/>
      <c r="HH95" s="153"/>
      <c r="HI95" s="153"/>
      <c r="HJ95" s="153"/>
      <c r="HK95" s="153"/>
      <c r="HL95" s="153"/>
      <c r="HM95" s="153"/>
      <c r="HN95" s="153"/>
      <c r="HO95" s="153"/>
      <c r="HP95" s="153"/>
      <c r="HQ95" s="153"/>
      <c r="HR95" s="153"/>
      <c r="HS95" s="153"/>
      <c r="HT95" s="153"/>
      <c r="HU95" s="153"/>
      <c r="HV95" s="153"/>
      <c r="HW95" s="153"/>
      <c r="HX95" s="153"/>
      <c r="HY95" s="153"/>
      <c r="HZ95" s="153"/>
      <c r="IA95" s="153"/>
      <c r="IB95" s="153"/>
      <c r="IC95" s="153"/>
      <c r="ID95" s="153"/>
      <c r="IE95" s="153"/>
      <c r="IF95" s="153"/>
      <c r="IG95" s="153"/>
      <c r="IH95" s="153"/>
      <c r="II95" s="153"/>
      <c r="IJ95" s="153"/>
      <c r="IK95" s="153"/>
      <c r="IL95" s="153"/>
      <c r="IM95" s="153"/>
      <c r="IN95" s="153"/>
      <c r="IO95" s="153"/>
    </row>
    <row r="96" spans="2:249" s="147" customFormat="1" ht="15">
      <c r="B96" s="152"/>
      <c r="C96" s="170" t="s">
        <v>584</v>
      </c>
      <c r="D96" s="191"/>
      <c r="E96" s="192"/>
      <c r="F96" s="193"/>
      <c r="G96" s="192"/>
      <c r="H96" s="197"/>
      <c r="I96" s="199" t="s">
        <v>360</v>
      </c>
      <c r="J96" s="197"/>
      <c r="K96" s="197"/>
      <c r="L96" s="197"/>
      <c r="M96" s="198"/>
      <c r="N96" s="185"/>
      <c r="O96" s="153"/>
      <c r="P96" s="153"/>
      <c r="Q96" s="153"/>
      <c r="R96" s="206"/>
      <c r="S96" s="185"/>
      <c r="T96" s="153"/>
      <c r="U96" s="153"/>
      <c r="V96" s="153"/>
      <c r="W96" s="153"/>
      <c r="X96" s="153"/>
      <c r="Y96" s="153"/>
      <c r="Z96" s="153"/>
      <c r="AA96" s="153"/>
      <c r="AB96" s="153"/>
      <c r="AC96" s="153"/>
      <c r="AD96" s="153"/>
      <c r="AE96" s="186"/>
      <c r="AF96" s="185"/>
      <c r="AG96" s="153"/>
      <c r="AH96" s="153"/>
      <c r="AI96" s="153"/>
      <c r="AJ96" s="153"/>
      <c r="AK96" s="206"/>
      <c r="AL96" s="197"/>
      <c r="AM96" s="197"/>
      <c r="AN96" s="199"/>
      <c r="AO96" s="197"/>
      <c r="AP96" s="197"/>
      <c r="AQ96" s="197"/>
      <c r="AR96" s="197"/>
      <c r="AS96" s="197"/>
      <c r="AT96" s="197"/>
      <c r="AU96" s="197"/>
      <c r="AV96" s="197"/>
      <c r="AW96" s="199"/>
      <c r="AX96" s="197"/>
      <c r="AY96" s="197"/>
      <c r="AZ96" s="197"/>
      <c r="BA96" s="197"/>
      <c r="BB96" s="197"/>
      <c r="BC96" s="197"/>
      <c r="BD96" s="197"/>
      <c r="BE96" s="197"/>
      <c r="BF96" s="199"/>
      <c r="BG96" s="197"/>
      <c r="BH96" s="197"/>
      <c r="BI96" s="197"/>
      <c r="BJ96" s="197"/>
      <c r="BK96" s="197"/>
      <c r="BL96" s="197"/>
      <c r="BM96" s="197"/>
      <c r="BN96" s="197"/>
      <c r="BO96" s="199"/>
      <c r="BP96" s="197"/>
      <c r="BQ96" s="197"/>
      <c r="BR96" s="197"/>
      <c r="BS96" s="197"/>
      <c r="BT96" s="197"/>
      <c r="BU96" s="197"/>
      <c r="BV96" s="197"/>
      <c r="BW96" s="197"/>
      <c r="BX96" s="199"/>
      <c r="BY96" s="197"/>
      <c r="BZ96" s="197"/>
      <c r="CA96" s="197"/>
      <c r="CB96" s="197"/>
      <c r="CC96" s="197"/>
      <c r="CD96" s="197"/>
      <c r="CE96" s="153"/>
      <c r="CF96" s="153"/>
      <c r="CG96" s="153"/>
      <c r="CH96" s="153"/>
      <c r="CI96" s="153"/>
      <c r="CJ96" s="153"/>
      <c r="CK96" s="153"/>
      <c r="CL96" s="153"/>
      <c r="CM96" s="153"/>
      <c r="CN96" s="153"/>
      <c r="CO96" s="153"/>
      <c r="CP96" s="153"/>
      <c r="CQ96" s="153"/>
      <c r="CR96" s="153"/>
      <c r="CS96" s="153"/>
      <c r="CT96" s="153"/>
      <c r="CU96" s="153"/>
      <c r="CV96" s="153"/>
      <c r="CW96" s="153"/>
      <c r="CX96" s="153"/>
      <c r="CY96" s="153"/>
      <c r="CZ96" s="153"/>
      <c r="DA96" s="153"/>
      <c r="DB96" s="153"/>
      <c r="DC96" s="153"/>
      <c r="DD96" s="153"/>
      <c r="DE96" s="153"/>
      <c r="DF96" s="153"/>
      <c r="DG96" s="153"/>
      <c r="DH96" s="153"/>
      <c r="DI96" s="153"/>
      <c r="DJ96" s="153"/>
      <c r="DK96" s="153"/>
      <c r="DL96" s="153"/>
      <c r="DM96" s="153"/>
      <c r="DN96" s="153"/>
      <c r="DO96" s="153"/>
      <c r="DP96" s="153"/>
      <c r="DQ96" s="153"/>
      <c r="DR96" s="153"/>
      <c r="DS96" s="153"/>
      <c r="DT96" s="153"/>
      <c r="DU96" s="153"/>
      <c r="DV96" s="153"/>
      <c r="DW96" s="153"/>
      <c r="DX96" s="153"/>
      <c r="DY96" s="153"/>
      <c r="DZ96" s="153"/>
      <c r="EA96" s="153"/>
      <c r="EB96" s="153"/>
      <c r="EC96" s="153"/>
      <c r="ED96" s="153"/>
      <c r="EE96" s="153"/>
      <c r="EF96" s="153"/>
      <c r="EG96" s="153"/>
      <c r="EH96" s="153"/>
      <c r="EI96" s="153"/>
      <c r="EJ96" s="153"/>
      <c r="EK96" s="153"/>
      <c r="EL96" s="153"/>
      <c r="EM96" s="153"/>
      <c r="EN96" s="153"/>
      <c r="EO96" s="153"/>
      <c r="EP96" s="153"/>
      <c r="EQ96" s="153"/>
      <c r="ER96" s="153"/>
      <c r="ES96" s="153"/>
      <c r="ET96" s="153"/>
      <c r="EU96" s="153"/>
      <c r="EV96" s="153"/>
      <c r="EW96" s="153"/>
      <c r="EX96" s="153"/>
      <c r="EY96" s="153"/>
      <c r="EZ96" s="153"/>
      <c r="FA96" s="153"/>
      <c r="FB96" s="153"/>
      <c r="FC96" s="153"/>
      <c r="FD96" s="153"/>
      <c r="FE96" s="153"/>
      <c r="FF96" s="153"/>
      <c r="FG96" s="153"/>
      <c r="FH96" s="153"/>
      <c r="FI96" s="153"/>
      <c r="FJ96" s="153"/>
      <c r="FK96" s="153"/>
      <c r="FL96" s="153"/>
      <c r="FM96" s="153"/>
      <c r="FN96" s="153"/>
      <c r="FO96" s="153"/>
      <c r="FP96" s="153"/>
      <c r="FQ96" s="153"/>
      <c r="FR96" s="153"/>
      <c r="FS96" s="153"/>
      <c r="FT96" s="153"/>
      <c r="FU96" s="153"/>
      <c r="FV96" s="153"/>
      <c r="FW96" s="153"/>
      <c r="FX96" s="153"/>
      <c r="FY96" s="153"/>
      <c r="FZ96" s="153"/>
      <c r="GA96" s="153"/>
      <c r="GB96" s="153"/>
      <c r="GC96" s="153"/>
      <c r="GD96" s="153"/>
      <c r="GE96" s="153"/>
      <c r="GF96" s="153"/>
      <c r="GG96" s="153"/>
      <c r="GH96" s="153"/>
      <c r="GI96" s="153"/>
      <c r="GJ96" s="153"/>
      <c r="GK96" s="153"/>
      <c r="GL96" s="153"/>
      <c r="GM96" s="153"/>
      <c r="GN96" s="153"/>
      <c r="GO96" s="153"/>
      <c r="GP96" s="153"/>
      <c r="GQ96" s="153"/>
      <c r="GR96" s="153"/>
      <c r="GS96" s="153"/>
      <c r="GT96" s="153"/>
      <c r="GU96" s="153"/>
      <c r="GV96" s="153"/>
      <c r="GW96" s="153"/>
      <c r="GX96" s="153"/>
      <c r="GY96" s="153"/>
      <c r="GZ96" s="153"/>
      <c r="HA96" s="153"/>
      <c r="HB96" s="153"/>
      <c r="HC96" s="153"/>
      <c r="HD96" s="153"/>
      <c r="HE96" s="153"/>
      <c r="HF96" s="153"/>
      <c r="HG96" s="153"/>
      <c r="HH96" s="153"/>
      <c r="HI96" s="153"/>
      <c r="HJ96" s="153"/>
      <c r="HK96" s="153"/>
      <c r="HL96" s="153"/>
      <c r="HM96" s="153"/>
      <c r="HN96" s="153"/>
      <c r="HO96" s="153"/>
      <c r="HP96" s="153"/>
      <c r="HQ96" s="153"/>
      <c r="HR96" s="153"/>
      <c r="HS96" s="153"/>
      <c r="HT96" s="153"/>
      <c r="HU96" s="153"/>
      <c r="HV96" s="153"/>
      <c r="HW96" s="153"/>
      <c r="HX96" s="153"/>
      <c r="HY96" s="153"/>
      <c r="HZ96" s="153"/>
      <c r="IA96" s="153"/>
      <c r="IB96" s="153"/>
      <c r="IC96" s="153"/>
      <c r="ID96" s="153"/>
      <c r="IE96" s="153"/>
      <c r="IF96" s="153"/>
      <c r="IG96" s="153"/>
      <c r="IH96" s="153"/>
      <c r="II96" s="153"/>
      <c r="IJ96" s="153"/>
      <c r="IK96" s="153"/>
      <c r="IL96" s="153"/>
      <c r="IM96" s="153"/>
      <c r="IN96" s="153"/>
      <c r="IO96" s="153"/>
    </row>
    <row r="97" spans="2:249" s="147" customFormat="1" ht="15">
      <c r="B97" s="152"/>
      <c r="C97" s="170" t="s">
        <v>585</v>
      </c>
      <c r="D97" s="191"/>
      <c r="E97" s="192"/>
      <c r="F97" s="193"/>
      <c r="G97" s="192"/>
      <c r="H97" s="197"/>
      <c r="I97" s="197"/>
      <c r="J97" s="197"/>
      <c r="K97" s="199"/>
      <c r="L97" s="197"/>
      <c r="M97" s="193" t="s">
        <v>360</v>
      </c>
      <c r="N97" s="185"/>
      <c r="O97" s="153"/>
      <c r="P97" s="153"/>
      <c r="Q97" s="153"/>
      <c r="R97" s="206"/>
      <c r="S97" s="185"/>
      <c r="T97" s="153"/>
      <c r="U97" s="153"/>
      <c r="V97" s="153"/>
      <c r="W97" s="153"/>
      <c r="X97" s="153"/>
      <c r="Y97" s="153"/>
      <c r="Z97" s="153"/>
      <c r="AA97" s="153"/>
      <c r="AB97" s="153"/>
      <c r="AC97" s="153"/>
      <c r="AD97" s="153"/>
      <c r="AE97" s="186"/>
      <c r="AF97" s="185"/>
      <c r="AG97" s="153"/>
      <c r="AH97" s="153"/>
      <c r="AI97" s="153"/>
      <c r="AJ97" s="153"/>
      <c r="AK97" s="206"/>
      <c r="AL97" s="197"/>
      <c r="AM97" s="197"/>
      <c r="AN97" s="199"/>
      <c r="AO97" s="197"/>
      <c r="AP97" s="197"/>
      <c r="AQ97" s="197"/>
      <c r="AR97" s="197"/>
      <c r="AS97" s="197"/>
      <c r="AT97" s="197"/>
      <c r="AU97" s="197"/>
      <c r="AV97" s="197"/>
      <c r="AW97" s="199"/>
      <c r="AX97" s="197"/>
      <c r="AY97" s="197"/>
      <c r="AZ97" s="197"/>
      <c r="BA97" s="197"/>
      <c r="BB97" s="197"/>
      <c r="BC97" s="197"/>
      <c r="BD97" s="197"/>
      <c r="BE97" s="197"/>
      <c r="BF97" s="199"/>
      <c r="BG97" s="197"/>
      <c r="BH97" s="197"/>
      <c r="BI97" s="197"/>
      <c r="BJ97" s="197"/>
      <c r="BK97" s="197"/>
      <c r="BL97" s="197"/>
      <c r="BM97" s="197"/>
      <c r="BN97" s="197"/>
      <c r="BO97" s="199"/>
      <c r="BP97" s="197"/>
      <c r="BQ97" s="197"/>
      <c r="BR97" s="197"/>
      <c r="BS97" s="197"/>
      <c r="BT97" s="197"/>
      <c r="BU97" s="197"/>
      <c r="BV97" s="197"/>
      <c r="BW97" s="197"/>
      <c r="BX97" s="199"/>
      <c r="BY97" s="197"/>
      <c r="BZ97" s="197"/>
      <c r="CA97" s="197"/>
      <c r="CB97" s="197"/>
      <c r="CC97" s="197"/>
      <c r="CD97" s="197"/>
      <c r="CE97" s="153"/>
      <c r="CF97" s="153"/>
      <c r="CG97" s="153"/>
      <c r="CH97" s="153"/>
      <c r="CI97" s="153"/>
      <c r="CJ97" s="153"/>
      <c r="CK97" s="153"/>
      <c r="CL97" s="153"/>
      <c r="CM97" s="153"/>
      <c r="CN97" s="153"/>
      <c r="CO97" s="153"/>
      <c r="CP97" s="153"/>
      <c r="CQ97" s="153"/>
      <c r="CR97" s="153"/>
      <c r="CS97" s="153"/>
      <c r="CT97" s="153"/>
      <c r="CU97" s="153"/>
      <c r="CV97" s="153"/>
      <c r="CW97" s="153"/>
      <c r="CX97" s="153"/>
      <c r="CY97" s="153"/>
      <c r="CZ97" s="153"/>
      <c r="DA97" s="153"/>
      <c r="DB97" s="153"/>
      <c r="DC97" s="153"/>
      <c r="DD97" s="153"/>
      <c r="DE97" s="153"/>
      <c r="DF97" s="153"/>
      <c r="DG97" s="153"/>
      <c r="DH97" s="153"/>
      <c r="DI97" s="153"/>
      <c r="DJ97" s="153"/>
      <c r="DK97" s="153"/>
      <c r="DL97" s="153"/>
      <c r="DM97" s="153"/>
      <c r="DN97" s="153"/>
      <c r="DO97" s="153"/>
      <c r="DP97" s="153"/>
      <c r="DQ97" s="153"/>
      <c r="DR97" s="153"/>
      <c r="DS97" s="153"/>
      <c r="DT97" s="153"/>
      <c r="DU97" s="153"/>
      <c r="DV97" s="153"/>
      <c r="DW97" s="153"/>
      <c r="DX97" s="153"/>
      <c r="DY97" s="153"/>
      <c r="DZ97" s="153"/>
      <c r="EA97" s="153"/>
      <c r="EB97" s="153"/>
      <c r="EC97" s="153"/>
      <c r="ED97" s="153"/>
      <c r="EE97" s="153"/>
      <c r="EF97" s="153"/>
      <c r="EG97" s="153"/>
      <c r="EH97" s="153"/>
      <c r="EI97" s="153"/>
      <c r="EJ97" s="153"/>
      <c r="EK97" s="153"/>
      <c r="EL97" s="153"/>
      <c r="EM97" s="153"/>
      <c r="EN97" s="153"/>
      <c r="EO97" s="153"/>
      <c r="EP97" s="153"/>
      <c r="EQ97" s="153"/>
      <c r="ER97" s="153"/>
      <c r="ES97" s="153"/>
      <c r="ET97" s="153"/>
      <c r="EU97" s="153"/>
      <c r="EV97" s="153"/>
      <c r="EW97" s="153"/>
      <c r="EX97" s="153"/>
      <c r="EY97" s="153"/>
      <c r="EZ97" s="153"/>
      <c r="FA97" s="153"/>
      <c r="FB97" s="153"/>
      <c r="FC97" s="153"/>
      <c r="FD97" s="153"/>
      <c r="FE97" s="153"/>
      <c r="FF97" s="153"/>
      <c r="FG97" s="153"/>
      <c r="FH97" s="153"/>
      <c r="FI97" s="153"/>
      <c r="FJ97" s="153"/>
      <c r="FK97" s="153"/>
      <c r="FL97" s="153"/>
      <c r="FM97" s="153"/>
      <c r="FN97" s="153"/>
      <c r="FO97" s="153"/>
      <c r="FP97" s="153"/>
      <c r="FQ97" s="153"/>
      <c r="FR97" s="153"/>
      <c r="FS97" s="153"/>
      <c r="FT97" s="153"/>
      <c r="FU97" s="153"/>
      <c r="FV97" s="153"/>
      <c r="FW97" s="153"/>
      <c r="FX97" s="153"/>
      <c r="FY97" s="153"/>
      <c r="FZ97" s="153"/>
      <c r="GA97" s="153"/>
      <c r="GB97" s="153"/>
      <c r="GC97" s="153"/>
      <c r="GD97" s="153"/>
      <c r="GE97" s="153"/>
      <c r="GF97" s="153"/>
      <c r="GG97" s="153"/>
      <c r="GH97" s="153"/>
      <c r="GI97" s="153"/>
      <c r="GJ97" s="153"/>
      <c r="GK97" s="153"/>
      <c r="GL97" s="153"/>
      <c r="GM97" s="153"/>
      <c r="GN97" s="153"/>
      <c r="GO97" s="153"/>
      <c r="GP97" s="153"/>
      <c r="GQ97" s="153"/>
      <c r="GR97" s="153"/>
      <c r="GS97" s="153"/>
      <c r="GT97" s="153"/>
      <c r="GU97" s="153"/>
      <c r="GV97" s="153"/>
      <c r="GW97" s="153"/>
      <c r="GX97" s="153"/>
      <c r="GY97" s="153"/>
      <c r="GZ97" s="153"/>
      <c r="HA97" s="153"/>
      <c r="HB97" s="153"/>
      <c r="HC97" s="153"/>
      <c r="HD97" s="153"/>
      <c r="HE97" s="153"/>
      <c r="HF97" s="153"/>
      <c r="HG97" s="153"/>
      <c r="HH97" s="153"/>
      <c r="HI97" s="153"/>
      <c r="HJ97" s="153"/>
      <c r="HK97" s="153"/>
      <c r="HL97" s="153"/>
      <c r="HM97" s="153"/>
      <c r="HN97" s="153"/>
      <c r="HO97" s="153"/>
      <c r="HP97" s="153"/>
      <c r="HQ97" s="153"/>
      <c r="HR97" s="153"/>
      <c r="HS97" s="153"/>
      <c r="HT97" s="153"/>
      <c r="HU97" s="153"/>
      <c r="HV97" s="153"/>
      <c r="HW97" s="153"/>
      <c r="HX97" s="153"/>
      <c r="HY97" s="153"/>
      <c r="HZ97" s="153"/>
      <c r="IA97" s="153"/>
      <c r="IB97" s="153"/>
      <c r="IC97" s="153"/>
      <c r="ID97" s="153"/>
      <c r="IE97" s="153"/>
      <c r="IF97" s="153"/>
      <c r="IG97" s="153"/>
      <c r="IH97" s="153"/>
      <c r="II97" s="153"/>
      <c r="IJ97" s="153"/>
      <c r="IK97" s="153"/>
      <c r="IL97" s="153"/>
      <c r="IM97" s="153"/>
      <c r="IN97" s="153"/>
      <c r="IO97" s="153"/>
    </row>
    <row r="98" spans="2:249" s="147" customFormat="1" ht="15">
      <c r="B98" s="150" t="s">
        <v>586</v>
      </c>
      <c r="C98" s="150" t="s">
        <v>587</v>
      </c>
      <c r="D98" s="200"/>
      <c r="E98" s="188"/>
      <c r="F98" s="187"/>
      <c r="G98" s="188"/>
      <c r="H98" s="155"/>
      <c r="I98" s="155"/>
      <c r="J98" s="155"/>
      <c r="K98" s="155"/>
      <c r="L98" s="155"/>
      <c r="M98" s="187"/>
      <c r="N98" s="188"/>
      <c r="O98" s="155"/>
      <c r="P98" s="155"/>
      <c r="Q98" s="155"/>
      <c r="R98" s="207"/>
      <c r="S98" s="188"/>
      <c r="T98" s="155"/>
      <c r="U98" s="155"/>
      <c r="V98" s="155"/>
      <c r="W98" s="155"/>
      <c r="X98" s="155"/>
      <c r="Y98" s="155"/>
      <c r="Z98" s="155"/>
      <c r="AA98" s="155"/>
      <c r="AB98" s="155"/>
      <c r="AC98" s="155"/>
      <c r="AD98" s="155"/>
      <c r="AE98" s="187"/>
      <c r="AF98" s="188"/>
      <c r="AG98" s="155"/>
      <c r="AH98" s="155"/>
      <c r="AI98" s="155"/>
      <c r="AJ98" s="155"/>
      <c r="AK98" s="207"/>
      <c r="AL98" s="155"/>
      <c r="AM98" s="155"/>
      <c r="AN98" s="155"/>
      <c r="AO98" s="155"/>
      <c r="AP98" s="155"/>
      <c r="AQ98" s="155"/>
      <c r="AR98" s="155"/>
      <c r="AS98" s="155"/>
      <c r="AT98" s="155"/>
      <c r="AU98" s="155"/>
      <c r="AV98" s="155"/>
      <c r="AW98" s="155"/>
      <c r="AX98" s="155"/>
      <c r="AY98" s="155"/>
      <c r="AZ98" s="155"/>
      <c r="BA98" s="155"/>
      <c r="BB98" s="155"/>
      <c r="BC98" s="155"/>
      <c r="BD98" s="155"/>
      <c r="BE98" s="155"/>
      <c r="BF98" s="155"/>
      <c r="BG98" s="155"/>
      <c r="BH98" s="155"/>
      <c r="BI98" s="155"/>
      <c r="BJ98" s="155"/>
      <c r="BK98" s="155"/>
      <c r="BL98" s="155"/>
      <c r="BM98" s="155"/>
      <c r="BN98" s="155"/>
      <c r="BO98" s="155"/>
      <c r="BP98" s="155"/>
      <c r="BQ98" s="155"/>
      <c r="BR98" s="155"/>
      <c r="BS98" s="155"/>
      <c r="BT98" s="155"/>
      <c r="BU98" s="155"/>
      <c r="BV98" s="155"/>
      <c r="BW98" s="155"/>
      <c r="BX98" s="155"/>
      <c r="BY98" s="155"/>
      <c r="BZ98" s="155"/>
      <c r="CA98" s="155"/>
      <c r="CB98" s="155"/>
      <c r="CC98" s="155"/>
      <c r="CD98" s="155"/>
      <c r="CE98" s="155"/>
      <c r="CF98" s="155"/>
      <c r="CG98" s="155"/>
      <c r="CH98" s="155"/>
      <c r="CI98" s="155"/>
      <c r="CJ98" s="155"/>
      <c r="CK98" s="155"/>
      <c r="CL98" s="155"/>
      <c r="CM98" s="155"/>
      <c r="CN98" s="155"/>
      <c r="CO98" s="155"/>
      <c r="CP98" s="155"/>
      <c r="CQ98" s="155"/>
      <c r="CR98" s="155"/>
      <c r="CS98" s="155"/>
      <c r="CT98" s="155"/>
      <c r="CU98" s="155"/>
      <c r="CV98" s="155"/>
      <c r="CW98" s="155"/>
      <c r="CX98" s="155"/>
      <c r="CY98" s="155"/>
      <c r="CZ98" s="155"/>
      <c r="DA98" s="155"/>
      <c r="DB98" s="155"/>
      <c r="DC98" s="155"/>
      <c r="DD98" s="155"/>
      <c r="DE98" s="155"/>
      <c r="DF98" s="155"/>
      <c r="DG98" s="155"/>
      <c r="DH98" s="155"/>
      <c r="DI98" s="155"/>
      <c r="DJ98" s="155"/>
      <c r="DK98" s="155"/>
      <c r="DL98" s="155"/>
      <c r="DM98" s="155"/>
      <c r="DN98" s="155"/>
      <c r="DO98" s="155"/>
      <c r="DP98" s="155"/>
      <c r="DQ98" s="155"/>
      <c r="DR98" s="155"/>
      <c r="DS98" s="155"/>
      <c r="DT98" s="155"/>
      <c r="DU98" s="155"/>
      <c r="DV98" s="155"/>
      <c r="DW98" s="155"/>
      <c r="DX98" s="155"/>
      <c r="DY98" s="155"/>
      <c r="DZ98" s="155"/>
      <c r="EA98" s="155"/>
      <c r="EB98" s="155"/>
      <c r="EC98" s="155"/>
      <c r="ED98" s="155"/>
      <c r="EE98" s="155"/>
      <c r="EF98" s="155"/>
      <c r="EG98" s="155"/>
      <c r="EH98" s="155"/>
      <c r="EI98" s="155"/>
      <c r="EJ98" s="155"/>
      <c r="EK98" s="155"/>
      <c r="EL98" s="155"/>
      <c r="EM98" s="155"/>
      <c r="EN98" s="155"/>
      <c r="EO98" s="155"/>
      <c r="EP98" s="155"/>
      <c r="EQ98" s="155"/>
      <c r="ER98" s="155"/>
      <c r="ES98" s="155"/>
      <c r="ET98" s="155"/>
      <c r="EU98" s="155"/>
      <c r="EV98" s="155"/>
      <c r="EW98" s="155"/>
      <c r="EX98" s="155"/>
      <c r="EY98" s="155"/>
      <c r="EZ98" s="155"/>
      <c r="FA98" s="155"/>
      <c r="FB98" s="155"/>
      <c r="FC98" s="155"/>
      <c r="FD98" s="155"/>
      <c r="FE98" s="155"/>
      <c r="FF98" s="155"/>
      <c r="FG98" s="155"/>
      <c r="FH98" s="155"/>
      <c r="FI98" s="155"/>
      <c r="FJ98" s="155"/>
      <c r="FK98" s="155"/>
      <c r="FL98" s="155"/>
      <c r="FM98" s="155"/>
      <c r="FN98" s="155"/>
      <c r="FO98" s="155"/>
      <c r="FP98" s="155"/>
      <c r="FQ98" s="155"/>
      <c r="FR98" s="155"/>
      <c r="FS98" s="155"/>
      <c r="FT98" s="155"/>
      <c r="FU98" s="155"/>
      <c r="FV98" s="155"/>
      <c r="FW98" s="155"/>
      <c r="FX98" s="155"/>
      <c r="FY98" s="155"/>
      <c r="FZ98" s="155"/>
      <c r="GA98" s="155"/>
      <c r="GB98" s="155"/>
      <c r="GC98" s="155"/>
      <c r="GD98" s="155"/>
      <c r="GE98" s="155"/>
      <c r="GF98" s="155"/>
      <c r="GG98" s="155"/>
      <c r="GH98" s="155"/>
      <c r="GI98" s="155"/>
      <c r="GJ98" s="155"/>
      <c r="GK98" s="155"/>
      <c r="GL98" s="155"/>
      <c r="GM98" s="155"/>
      <c r="GN98" s="155"/>
      <c r="GO98" s="155"/>
      <c r="GP98" s="155"/>
      <c r="GQ98" s="155"/>
      <c r="GR98" s="155"/>
      <c r="GS98" s="155"/>
      <c r="GT98" s="155"/>
      <c r="GU98" s="155"/>
      <c r="GV98" s="155"/>
      <c r="GW98" s="155"/>
      <c r="GX98" s="155"/>
      <c r="GY98" s="155"/>
      <c r="GZ98" s="155"/>
      <c r="HA98" s="155"/>
      <c r="HB98" s="155"/>
      <c r="HC98" s="155"/>
      <c r="HD98" s="155"/>
      <c r="HE98" s="155"/>
      <c r="HF98" s="155"/>
      <c r="HG98" s="155"/>
      <c r="HH98" s="155"/>
      <c r="HI98" s="155"/>
      <c r="HJ98" s="155"/>
      <c r="HK98" s="155"/>
      <c r="HL98" s="155"/>
      <c r="HM98" s="155"/>
      <c r="HN98" s="155"/>
      <c r="HO98" s="155"/>
      <c r="HP98" s="155"/>
      <c r="HQ98" s="155"/>
      <c r="HR98" s="155"/>
      <c r="HS98" s="155"/>
      <c r="HT98" s="155"/>
      <c r="HU98" s="155"/>
      <c r="HV98" s="155"/>
      <c r="HW98" s="155"/>
      <c r="HX98" s="155"/>
      <c r="HY98" s="155"/>
      <c r="HZ98" s="155"/>
      <c r="IA98" s="155"/>
      <c r="IB98" s="155"/>
      <c r="IC98" s="155"/>
      <c r="ID98" s="155"/>
      <c r="IE98" s="155"/>
      <c r="IF98" s="155"/>
      <c r="IG98" s="155"/>
      <c r="IH98" s="155"/>
      <c r="II98" s="155"/>
      <c r="IJ98" s="155"/>
      <c r="IK98" s="155"/>
      <c r="IL98" s="155"/>
      <c r="IM98" s="155"/>
      <c r="IN98" s="155"/>
      <c r="IO98" s="155"/>
    </row>
    <row r="99" spans="2:249" s="147" customFormat="1" ht="15">
      <c r="B99" s="152"/>
      <c r="C99" s="170" t="s">
        <v>651</v>
      </c>
      <c r="D99" s="189"/>
      <c r="E99" s="190"/>
      <c r="F99" s="198"/>
      <c r="G99" s="190" t="s">
        <v>360</v>
      </c>
      <c r="H99" s="199" t="s">
        <v>360</v>
      </c>
      <c r="I99" s="199"/>
      <c r="J99" s="199" t="s">
        <v>360</v>
      </c>
      <c r="K99" s="199" t="s">
        <v>360</v>
      </c>
      <c r="L99" s="199" t="s">
        <v>360</v>
      </c>
      <c r="M99" s="193" t="s">
        <v>360</v>
      </c>
      <c r="N99" s="184"/>
      <c r="O99" s="154"/>
      <c r="P99" s="154"/>
      <c r="Q99" s="154"/>
      <c r="R99" s="208"/>
      <c r="S99" s="185"/>
      <c r="T99" s="153"/>
      <c r="U99" s="153"/>
      <c r="V99" s="153"/>
      <c r="W99" s="153"/>
      <c r="X99" s="153"/>
      <c r="Y99" s="153"/>
      <c r="Z99" s="153"/>
      <c r="AA99" s="153"/>
      <c r="AB99" s="153"/>
      <c r="AC99" s="153"/>
      <c r="AD99" s="153"/>
      <c r="AE99" s="186"/>
      <c r="AF99" s="184"/>
      <c r="AG99" s="154"/>
      <c r="AH99" s="154"/>
      <c r="AI99" s="154"/>
      <c r="AJ99" s="154"/>
      <c r="AK99" s="208"/>
      <c r="AL99" s="199" t="s">
        <v>718</v>
      </c>
      <c r="AM99" s="199" t="s">
        <v>718</v>
      </c>
      <c r="AN99" s="197" t="s">
        <v>718</v>
      </c>
      <c r="AO99" s="199" t="s">
        <v>718</v>
      </c>
      <c r="AP99" s="199" t="s">
        <v>718</v>
      </c>
      <c r="AQ99" s="199" t="s">
        <v>718</v>
      </c>
      <c r="AR99" s="199" t="s">
        <v>718</v>
      </c>
      <c r="AS99" s="199" t="s">
        <v>718</v>
      </c>
      <c r="AT99" s="199" t="s">
        <v>718</v>
      </c>
      <c r="AU99" s="199" t="s">
        <v>718</v>
      </c>
      <c r="AV99" s="199" t="s">
        <v>718</v>
      </c>
      <c r="AW99" s="197" t="s">
        <v>718</v>
      </c>
      <c r="AX99" s="199" t="s">
        <v>718</v>
      </c>
      <c r="AY99" s="199" t="s">
        <v>718</v>
      </c>
      <c r="AZ99" s="199" t="s">
        <v>718</v>
      </c>
      <c r="BA99" s="199" t="s">
        <v>718</v>
      </c>
      <c r="BB99" s="199" t="s">
        <v>718</v>
      </c>
      <c r="BC99" s="199" t="s">
        <v>718</v>
      </c>
      <c r="BD99" s="199" t="s">
        <v>718</v>
      </c>
      <c r="BE99" s="199" t="s">
        <v>718</v>
      </c>
      <c r="BF99" s="197" t="s">
        <v>718</v>
      </c>
      <c r="BG99" s="199" t="s">
        <v>718</v>
      </c>
      <c r="BH99" s="199" t="s">
        <v>718</v>
      </c>
      <c r="BI99" s="199" t="s">
        <v>718</v>
      </c>
      <c r="BJ99" s="199" t="s">
        <v>718</v>
      </c>
      <c r="BK99" s="199" t="s">
        <v>718</v>
      </c>
      <c r="BL99" s="199" t="s">
        <v>718</v>
      </c>
      <c r="BM99" s="199" t="s">
        <v>718</v>
      </c>
      <c r="BN99" s="199" t="s">
        <v>718</v>
      </c>
      <c r="BO99" s="197" t="s">
        <v>718</v>
      </c>
      <c r="BP99" s="199" t="s">
        <v>718</v>
      </c>
      <c r="BQ99" s="199" t="s">
        <v>718</v>
      </c>
      <c r="BR99" s="199" t="s">
        <v>718</v>
      </c>
      <c r="BS99" s="199" t="s">
        <v>718</v>
      </c>
      <c r="BT99" s="199" t="s">
        <v>718</v>
      </c>
      <c r="BU99" s="199" t="s">
        <v>718</v>
      </c>
      <c r="BV99" s="199" t="s">
        <v>718</v>
      </c>
      <c r="BW99" s="199" t="s">
        <v>718</v>
      </c>
      <c r="BX99" s="197" t="s">
        <v>718</v>
      </c>
      <c r="BY99" s="199" t="s">
        <v>718</v>
      </c>
      <c r="BZ99" s="199" t="s">
        <v>718</v>
      </c>
      <c r="CA99" s="199" t="s">
        <v>718</v>
      </c>
      <c r="CB99" s="199" t="s">
        <v>718</v>
      </c>
      <c r="CC99" s="199" t="s">
        <v>718</v>
      </c>
      <c r="CD99" s="199" t="s">
        <v>718</v>
      </c>
      <c r="CE99" s="154"/>
      <c r="CF99" s="154"/>
      <c r="CG99" s="154"/>
      <c r="CH99" s="154"/>
      <c r="CI99" s="154"/>
      <c r="CJ99" s="154"/>
      <c r="CK99" s="154"/>
      <c r="CL99" s="154"/>
      <c r="CM99" s="154"/>
      <c r="CN99" s="154"/>
      <c r="CO99" s="154"/>
      <c r="CP99" s="154"/>
      <c r="CQ99" s="154"/>
      <c r="CR99" s="154"/>
      <c r="CS99" s="154"/>
      <c r="CT99" s="154"/>
      <c r="CU99" s="154"/>
      <c r="CV99" s="154"/>
      <c r="CW99" s="154"/>
      <c r="CX99" s="154"/>
      <c r="CY99" s="154"/>
      <c r="CZ99" s="154"/>
      <c r="DA99" s="154"/>
      <c r="DB99" s="154"/>
      <c r="DC99" s="154"/>
      <c r="DD99" s="154"/>
      <c r="DE99" s="154"/>
      <c r="DF99" s="154"/>
      <c r="DG99" s="154"/>
      <c r="DH99" s="154"/>
      <c r="DI99" s="154"/>
      <c r="DJ99" s="154"/>
      <c r="DK99" s="154"/>
      <c r="DL99" s="154"/>
      <c r="DM99" s="154"/>
      <c r="DN99" s="154"/>
      <c r="DO99" s="154"/>
      <c r="DP99" s="154"/>
      <c r="DQ99" s="154"/>
      <c r="DR99" s="154"/>
      <c r="DS99" s="154"/>
      <c r="DT99" s="154"/>
      <c r="DU99" s="154"/>
      <c r="DV99" s="154"/>
      <c r="DW99" s="154"/>
      <c r="DX99" s="154"/>
      <c r="DY99" s="154"/>
      <c r="DZ99" s="154"/>
      <c r="EA99" s="154"/>
      <c r="EB99" s="154"/>
      <c r="EC99" s="154"/>
      <c r="ED99" s="154"/>
      <c r="EE99" s="154"/>
      <c r="EF99" s="154"/>
      <c r="EG99" s="154"/>
      <c r="EH99" s="154"/>
      <c r="EI99" s="154"/>
      <c r="EJ99" s="154"/>
      <c r="EK99" s="154"/>
      <c r="EL99" s="154"/>
      <c r="EM99" s="154"/>
      <c r="EN99" s="154"/>
      <c r="EO99" s="154"/>
      <c r="EP99" s="154"/>
      <c r="EQ99" s="154"/>
      <c r="ER99" s="154"/>
      <c r="ES99" s="154"/>
      <c r="ET99" s="154"/>
      <c r="EU99" s="154"/>
      <c r="EV99" s="154"/>
      <c r="EW99" s="154"/>
      <c r="EX99" s="154"/>
      <c r="EY99" s="154"/>
      <c r="EZ99" s="154"/>
      <c r="FA99" s="154"/>
      <c r="FB99" s="154"/>
      <c r="FC99" s="154"/>
      <c r="FD99" s="154"/>
      <c r="FE99" s="154"/>
      <c r="FF99" s="154"/>
      <c r="FG99" s="154"/>
      <c r="FH99" s="154"/>
      <c r="FI99" s="154"/>
      <c r="FJ99" s="154"/>
      <c r="FK99" s="154"/>
      <c r="FL99" s="154"/>
      <c r="FM99" s="154"/>
      <c r="FN99" s="154"/>
      <c r="FO99" s="154"/>
      <c r="FP99" s="154"/>
      <c r="FQ99" s="154"/>
      <c r="FR99" s="154"/>
      <c r="FS99" s="154"/>
      <c r="FT99" s="154"/>
      <c r="FU99" s="154"/>
      <c r="FV99" s="154"/>
      <c r="FW99" s="154"/>
      <c r="FX99" s="154"/>
      <c r="FY99" s="154"/>
      <c r="FZ99" s="154"/>
      <c r="GA99" s="154"/>
      <c r="GB99" s="154"/>
      <c r="GC99" s="154"/>
      <c r="GD99" s="154"/>
      <c r="GE99" s="154"/>
      <c r="GF99" s="154"/>
      <c r="GG99" s="154"/>
      <c r="GH99" s="154"/>
      <c r="GI99" s="154"/>
      <c r="GJ99" s="154"/>
      <c r="GK99" s="154"/>
      <c r="GL99" s="154"/>
      <c r="GM99" s="154"/>
      <c r="GN99" s="154"/>
      <c r="GO99" s="154"/>
      <c r="GP99" s="154"/>
      <c r="GQ99" s="154"/>
      <c r="GR99" s="154"/>
      <c r="GS99" s="154"/>
      <c r="GT99" s="154"/>
      <c r="GU99" s="154"/>
      <c r="GV99" s="154"/>
      <c r="GW99" s="154"/>
      <c r="GX99" s="154"/>
      <c r="GY99" s="154"/>
      <c r="GZ99" s="154"/>
      <c r="HA99" s="154"/>
      <c r="HB99" s="154"/>
      <c r="HC99" s="154"/>
      <c r="HD99" s="154"/>
      <c r="HE99" s="154"/>
      <c r="HF99" s="154"/>
      <c r="HG99" s="154"/>
      <c r="HH99" s="154"/>
      <c r="HI99" s="154"/>
      <c r="HJ99" s="154"/>
      <c r="HK99" s="154"/>
      <c r="HL99" s="154"/>
      <c r="HM99" s="154"/>
      <c r="HN99" s="154"/>
      <c r="HO99" s="154"/>
      <c r="HP99" s="154"/>
      <c r="HQ99" s="154"/>
      <c r="HR99" s="154"/>
      <c r="HS99" s="154"/>
      <c r="HT99" s="154"/>
      <c r="HU99" s="154"/>
      <c r="HV99" s="154"/>
      <c r="HW99" s="154"/>
      <c r="HX99" s="154"/>
      <c r="HY99" s="154"/>
      <c r="HZ99" s="154"/>
      <c r="IA99" s="154"/>
      <c r="IB99" s="154"/>
      <c r="IC99" s="154"/>
      <c r="ID99" s="154"/>
      <c r="IE99" s="154"/>
      <c r="IF99" s="154"/>
      <c r="IG99" s="154"/>
      <c r="IH99" s="154"/>
      <c r="II99" s="154"/>
      <c r="IJ99" s="154"/>
      <c r="IK99" s="154"/>
      <c r="IL99" s="154"/>
      <c r="IM99" s="154"/>
      <c r="IN99" s="154"/>
      <c r="IO99" s="154"/>
    </row>
    <row r="100" spans="2:249" s="147" customFormat="1" ht="15">
      <c r="B100" s="152"/>
      <c r="C100" s="170" t="s">
        <v>677</v>
      </c>
      <c r="D100" s="189"/>
      <c r="E100" s="190"/>
      <c r="F100" s="198"/>
      <c r="G100" s="190"/>
      <c r="H100" s="199"/>
      <c r="I100" s="199" t="s">
        <v>360</v>
      </c>
      <c r="J100" s="199"/>
      <c r="K100" s="199"/>
      <c r="L100" s="199"/>
      <c r="M100" s="193"/>
      <c r="N100" s="184"/>
      <c r="O100" s="154"/>
      <c r="P100" s="154"/>
      <c r="Q100" s="154"/>
      <c r="R100" s="208"/>
      <c r="S100" s="185"/>
      <c r="T100" s="153"/>
      <c r="U100" s="153"/>
      <c r="V100" s="153"/>
      <c r="W100" s="153"/>
      <c r="X100" s="153"/>
      <c r="Y100" s="153"/>
      <c r="Z100" s="153"/>
      <c r="AA100" s="153"/>
      <c r="AB100" s="153"/>
      <c r="AC100" s="153"/>
      <c r="AD100" s="153"/>
      <c r="AE100" s="186"/>
      <c r="AF100" s="184"/>
      <c r="AG100" s="154"/>
      <c r="AH100" s="154"/>
      <c r="AI100" s="154"/>
      <c r="AJ100" s="154"/>
      <c r="AK100" s="208"/>
      <c r="AL100" s="199"/>
      <c r="AM100" s="199"/>
      <c r="AN100" s="197"/>
      <c r="AO100" s="199"/>
      <c r="AP100" s="199"/>
      <c r="AQ100" s="199"/>
      <c r="AR100" s="199"/>
      <c r="AS100" s="199"/>
      <c r="AT100" s="199"/>
      <c r="AU100" s="199"/>
      <c r="AV100" s="199"/>
      <c r="AW100" s="197"/>
      <c r="AX100" s="199"/>
      <c r="AY100" s="199"/>
      <c r="AZ100" s="199"/>
      <c r="BA100" s="199"/>
      <c r="BB100" s="199"/>
      <c r="BC100" s="199"/>
      <c r="BD100" s="199"/>
      <c r="BE100" s="199"/>
      <c r="BF100" s="197"/>
      <c r="BG100" s="199"/>
      <c r="BH100" s="199"/>
      <c r="BI100" s="199"/>
      <c r="BJ100" s="199"/>
      <c r="BK100" s="199"/>
      <c r="BL100" s="199"/>
      <c r="BM100" s="199"/>
      <c r="BN100" s="199"/>
      <c r="BO100" s="197"/>
      <c r="BP100" s="199"/>
      <c r="BQ100" s="199"/>
      <c r="BR100" s="199"/>
      <c r="BS100" s="199"/>
      <c r="BT100" s="199"/>
      <c r="BU100" s="199"/>
      <c r="BV100" s="199"/>
      <c r="BW100" s="199"/>
      <c r="BX100" s="197"/>
      <c r="BY100" s="199"/>
      <c r="BZ100" s="199"/>
      <c r="CA100" s="199"/>
      <c r="CB100" s="199"/>
      <c r="CC100" s="199"/>
      <c r="CD100" s="199"/>
      <c r="CE100" s="154"/>
      <c r="CF100" s="154"/>
      <c r="CG100" s="154"/>
      <c r="CH100" s="154"/>
      <c r="CI100" s="154"/>
      <c r="CJ100" s="154"/>
      <c r="CK100" s="154"/>
      <c r="CL100" s="154"/>
      <c r="CM100" s="154"/>
      <c r="CN100" s="154"/>
      <c r="CO100" s="154"/>
      <c r="CP100" s="154"/>
      <c r="CQ100" s="154"/>
      <c r="CR100" s="154"/>
      <c r="CS100" s="154"/>
      <c r="CT100" s="154"/>
      <c r="CU100" s="154"/>
      <c r="CV100" s="154"/>
      <c r="CW100" s="154"/>
      <c r="CX100" s="154"/>
      <c r="CY100" s="154"/>
      <c r="CZ100" s="154"/>
      <c r="DA100" s="154"/>
      <c r="DB100" s="154"/>
      <c r="DC100" s="154"/>
      <c r="DD100" s="154"/>
      <c r="DE100" s="154"/>
      <c r="DF100" s="154"/>
      <c r="DG100" s="154"/>
      <c r="DH100" s="154"/>
      <c r="DI100" s="154"/>
      <c r="DJ100" s="154"/>
      <c r="DK100" s="154"/>
      <c r="DL100" s="154"/>
      <c r="DM100" s="154"/>
      <c r="DN100" s="154"/>
      <c r="DO100" s="154"/>
      <c r="DP100" s="154"/>
      <c r="DQ100" s="154"/>
      <c r="DR100" s="154"/>
      <c r="DS100" s="154"/>
      <c r="DT100" s="154"/>
      <c r="DU100" s="154"/>
      <c r="DV100" s="154"/>
      <c r="DW100" s="154"/>
      <c r="DX100" s="154"/>
      <c r="DY100" s="154"/>
      <c r="DZ100" s="154"/>
      <c r="EA100" s="154"/>
      <c r="EB100" s="154"/>
      <c r="EC100" s="154"/>
      <c r="ED100" s="154"/>
      <c r="EE100" s="154"/>
      <c r="EF100" s="154"/>
      <c r="EG100" s="154"/>
      <c r="EH100" s="154"/>
      <c r="EI100" s="154"/>
      <c r="EJ100" s="154"/>
      <c r="EK100" s="154"/>
      <c r="EL100" s="154"/>
      <c r="EM100" s="154"/>
      <c r="EN100" s="154"/>
      <c r="EO100" s="154"/>
      <c r="EP100" s="154"/>
      <c r="EQ100" s="154"/>
      <c r="ER100" s="154"/>
      <c r="ES100" s="154"/>
      <c r="ET100" s="154"/>
      <c r="EU100" s="154"/>
      <c r="EV100" s="154"/>
      <c r="EW100" s="154"/>
      <c r="EX100" s="154"/>
      <c r="EY100" s="154"/>
      <c r="EZ100" s="154"/>
      <c r="FA100" s="154"/>
      <c r="FB100" s="154"/>
      <c r="FC100" s="154"/>
      <c r="FD100" s="154"/>
      <c r="FE100" s="154"/>
      <c r="FF100" s="154"/>
      <c r="FG100" s="154"/>
      <c r="FH100" s="154"/>
      <c r="FI100" s="154"/>
      <c r="FJ100" s="154"/>
      <c r="FK100" s="154"/>
      <c r="FL100" s="154"/>
      <c r="FM100" s="154"/>
      <c r="FN100" s="154"/>
      <c r="FO100" s="154"/>
      <c r="FP100" s="154"/>
      <c r="FQ100" s="154"/>
      <c r="FR100" s="154"/>
      <c r="FS100" s="154"/>
      <c r="FT100" s="154"/>
      <c r="FU100" s="154"/>
      <c r="FV100" s="154"/>
      <c r="FW100" s="154"/>
      <c r="FX100" s="154"/>
      <c r="FY100" s="154"/>
      <c r="FZ100" s="154"/>
      <c r="GA100" s="154"/>
      <c r="GB100" s="154"/>
      <c r="GC100" s="154"/>
      <c r="GD100" s="154"/>
      <c r="GE100" s="154"/>
      <c r="GF100" s="154"/>
      <c r="GG100" s="154"/>
      <c r="GH100" s="154"/>
      <c r="GI100" s="154"/>
      <c r="GJ100" s="154"/>
      <c r="GK100" s="154"/>
      <c r="GL100" s="154"/>
      <c r="GM100" s="154"/>
      <c r="GN100" s="154"/>
      <c r="GO100" s="154"/>
      <c r="GP100" s="154"/>
      <c r="GQ100" s="154"/>
      <c r="GR100" s="154"/>
      <c r="GS100" s="154"/>
      <c r="GT100" s="154"/>
      <c r="GU100" s="154"/>
      <c r="GV100" s="154"/>
      <c r="GW100" s="154"/>
      <c r="GX100" s="154"/>
      <c r="GY100" s="154"/>
      <c r="GZ100" s="154"/>
      <c r="HA100" s="154"/>
      <c r="HB100" s="154"/>
      <c r="HC100" s="154"/>
      <c r="HD100" s="154"/>
      <c r="HE100" s="154"/>
      <c r="HF100" s="154"/>
      <c r="HG100" s="154"/>
      <c r="HH100" s="154"/>
      <c r="HI100" s="154"/>
      <c r="HJ100" s="154"/>
      <c r="HK100" s="154"/>
      <c r="HL100" s="154"/>
      <c r="HM100" s="154"/>
      <c r="HN100" s="154"/>
      <c r="HO100" s="154"/>
      <c r="HP100" s="154"/>
      <c r="HQ100" s="154"/>
      <c r="HR100" s="154"/>
      <c r="HS100" s="154"/>
      <c r="HT100" s="154"/>
      <c r="HU100" s="154"/>
      <c r="HV100" s="154"/>
      <c r="HW100" s="154"/>
      <c r="HX100" s="154"/>
      <c r="HY100" s="154"/>
      <c r="HZ100" s="154"/>
      <c r="IA100" s="154"/>
      <c r="IB100" s="154"/>
      <c r="IC100" s="154"/>
      <c r="ID100" s="154"/>
      <c r="IE100" s="154"/>
      <c r="IF100" s="154"/>
      <c r="IG100" s="154"/>
      <c r="IH100" s="154"/>
      <c r="II100" s="154"/>
      <c r="IJ100" s="154"/>
      <c r="IK100" s="154"/>
      <c r="IL100" s="154"/>
      <c r="IM100" s="154"/>
      <c r="IN100" s="154"/>
      <c r="IO100" s="154"/>
    </row>
    <row r="101" spans="2:249" s="147" customFormat="1" ht="15">
      <c r="B101" s="150" t="s">
        <v>588</v>
      </c>
      <c r="C101" s="150" t="s">
        <v>640</v>
      </c>
      <c r="D101" s="200"/>
      <c r="E101" s="188"/>
      <c r="F101" s="187"/>
      <c r="G101" s="188"/>
      <c r="H101" s="155"/>
      <c r="I101" s="155"/>
      <c r="J101" s="155"/>
      <c r="K101" s="155"/>
      <c r="L101" s="155"/>
      <c r="M101" s="187"/>
      <c r="N101" s="188"/>
      <c r="O101" s="155"/>
      <c r="P101" s="155"/>
      <c r="Q101" s="155"/>
      <c r="R101" s="207"/>
      <c r="S101" s="188"/>
      <c r="T101" s="155"/>
      <c r="U101" s="155"/>
      <c r="V101" s="155"/>
      <c r="W101" s="155"/>
      <c r="X101" s="155"/>
      <c r="Y101" s="155"/>
      <c r="Z101" s="155"/>
      <c r="AA101" s="155"/>
      <c r="AB101" s="155"/>
      <c r="AC101" s="155"/>
      <c r="AD101" s="155"/>
      <c r="AE101" s="187"/>
      <c r="AF101" s="188"/>
      <c r="AG101" s="155"/>
      <c r="AH101" s="155"/>
      <c r="AI101" s="155"/>
      <c r="AJ101" s="155"/>
      <c r="AK101" s="207"/>
      <c r="AL101" s="155"/>
      <c r="AM101" s="155"/>
      <c r="AN101" s="155"/>
      <c r="AO101" s="155"/>
      <c r="AP101" s="155"/>
      <c r="AQ101" s="155"/>
      <c r="AR101" s="155"/>
      <c r="AS101" s="155"/>
      <c r="AT101" s="155"/>
      <c r="AU101" s="155"/>
      <c r="AV101" s="155"/>
      <c r="AW101" s="155"/>
      <c r="AX101" s="155"/>
      <c r="AY101" s="155"/>
      <c r="AZ101" s="155"/>
      <c r="BA101" s="155"/>
      <c r="BB101" s="155"/>
      <c r="BC101" s="155"/>
      <c r="BD101" s="155"/>
      <c r="BE101" s="155"/>
      <c r="BF101" s="155"/>
      <c r="BG101" s="155"/>
      <c r="BH101" s="155"/>
      <c r="BI101" s="155"/>
      <c r="BJ101" s="155"/>
      <c r="BK101" s="155"/>
      <c r="BL101" s="155"/>
      <c r="BM101" s="155"/>
      <c r="BN101" s="155"/>
      <c r="BO101" s="155"/>
      <c r="BP101" s="155"/>
      <c r="BQ101" s="155"/>
      <c r="BR101" s="155"/>
      <c r="BS101" s="155"/>
      <c r="BT101" s="155"/>
      <c r="BU101" s="155"/>
      <c r="BV101" s="155"/>
      <c r="BW101" s="155"/>
      <c r="BX101" s="155"/>
      <c r="BY101" s="155"/>
      <c r="BZ101" s="155"/>
      <c r="CA101" s="155"/>
      <c r="CB101" s="155"/>
      <c r="CC101" s="155"/>
      <c r="CD101" s="155"/>
      <c r="CE101" s="155"/>
      <c r="CF101" s="155"/>
      <c r="CG101" s="155"/>
      <c r="CH101" s="155"/>
      <c r="CI101" s="155"/>
      <c r="CJ101" s="155"/>
      <c r="CK101" s="155"/>
      <c r="CL101" s="155"/>
      <c r="CM101" s="155"/>
      <c r="CN101" s="155"/>
      <c r="CO101" s="155"/>
      <c r="CP101" s="155"/>
      <c r="CQ101" s="155"/>
      <c r="CR101" s="155"/>
      <c r="CS101" s="155"/>
      <c r="CT101" s="155"/>
      <c r="CU101" s="155"/>
      <c r="CV101" s="155"/>
      <c r="CW101" s="155"/>
      <c r="CX101" s="155"/>
      <c r="CY101" s="155"/>
      <c r="CZ101" s="155"/>
      <c r="DA101" s="155"/>
      <c r="DB101" s="155"/>
      <c r="DC101" s="155"/>
      <c r="DD101" s="155"/>
      <c r="DE101" s="155"/>
      <c r="DF101" s="155"/>
      <c r="DG101" s="155"/>
      <c r="DH101" s="155"/>
      <c r="DI101" s="155"/>
      <c r="DJ101" s="155"/>
      <c r="DK101" s="155"/>
      <c r="DL101" s="155"/>
      <c r="DM101" s="155"/>
      <c r="DN101" s="155"/>
      <c r="DO101" s="155"/>
      <c r="DP101" s="155"/>
      <c r="DQ101" s="155"/>
      <c r="DR101" s="155"/>
      <c r="DS101" s="155"/>
      <c r="DT101" s="155"/>
      <c r="DU101" s="155"/>
      <c r="DV101" s="155"/>
      <c r="DW101" s="155"/>
      <c r="DX101" s="155"/>
      <c r="DY101" s="155"/>
      <c r="DZ101" s="155"/>
      <c r="EA101" s="155"/>
      <c r="EB101" s="155"/>
      <c r="EC101" s="155"/>
      <c r="ED101" s="155"/>
      <c r="EE101" s="155"/>
      <c r="EF101" s="155"/>
      <c r="EG101" s="155"/>
      <c r="EH101" s="155"/>
      <c r="EI101" s="155"/>
      <c r="EJ101" s="155"/>
      <c r="EK101" s="155"/>
      <c r="EL101" s="155"/>
      <c r="EM101" s="155"/>
      <c r="EN101" s="155"/>
      <c r="EO101" s="155"/>
      <c r="EP101" s="155"/>
      <c r="EQ101" s="155"/>
      <c r="ER101" s="155"/>
      <c r="ES101" s="155"/>
      <c r="ET101" s="155"/>
      <c r="EU101" s="155"/>
      <c r="EV101" s="155"/>
      <c r="EW101" s="155"/>
      <c r="EX101" s="155"/>
      <c r="EY101" s="155"/>
      <c r="EZ101" s="155"/>
      <c r="FA101" s="155"/>
      <c r="FB101" s="155"/>
      <c r="FC101" s="155"/>
      <c r="FD101" s="155"/>
      <c r="FE101" s="155"/>
      <c r="FF101" s="155"/>
      <c r="FG101" s="155"/>
      <c r="FH101" s="155"/>
      <c r="FI101" s="155"/>
      <c r="FJ101" s="155"/>
      <c r="FK101" s="155"/>
      <c r="FL101" s="155"/>
      <c r="FM101" s="155"/>
      <c r="FN101" s="155"/>
      <c r="FO101" s="155"/>
      <c r="FP101" s="155"/>
      <c r="FQ101" s="155"/>
      <c r="FR101" s="155"/>
      <c r="FS101" s="155"/>
      <c r="FT101" s="155"/>
      <c r="FU101" s="155"/>
      <c r="FV101" s="155"/>
      <c r="FW101" s="155"/>
      <c r="FX101" s="155"/>
      <c r="FY101" s="155"/>
      <c r="FZ101" s="155"/>
      <c r="GA101" s="155"/>
      <c r="GB101" s="155"/>
      <c r="GC101" s="155"/>
      <c r="GD101" s="155"/>
      <c r="GE101" s="155"/>
      <c r="GF101" s="155"/>
      <c r="GG101" s="155"/>
      <c r="GH101" s="155"/>
      <c r="GI101" s="155"/>
      <c r="GJ101" s="155"/>
      <c r="GK101" s="155"/>
      <c r="GL101" s="155"/>
      <c r="GM101" s="155"/>
      <c r="GN101" s="155"/>
      <c r="GO101" s="155"/>
      <c r="GP101" s="155"/>
      <c r="GQ101" s="155"/>
      <c r="GR101" s="155"/>
      <c r="GS101" s="155"/>
      <c r="GT101" s="155"/>
      <c r="GU101" s="155"/>
      <c r="GV101" s="155"/>
      <c r="GW101" s="155"/>
      <c r="GX101" s="155"/>
      <c r="GY101" s="155"/>
      <c r="GZ101" s="155"/>
      <c r="HA101" s="155"/>
      <c r="HB101" s="155"/>
      <c r="HC101" s="155"/>
      <c r="HD101" s="155"/>
      <c r="HE101" s="155"/>
      <c r="HF101" s="155"/>
      <c r="HG101" s="155"/>
      <c r="HH101" s="155"/>
      <c r="HI101" s="155"/>
      <c r="HJ101" s="155"/>
      <c r="HK101" s="155"/>
      <c r="HL101" s="155"/>
      <c r="HM101" s="155"/>
      <c r="HN101" s="155"/>
      <c r="HO101" s="155"/>
      <c r="HP101" s="155"/>
      <c r="HQ101" s="155"/>
      <c r="HR101" s="155"/>
      <c r="HS101" s="155"/>
      <c r="HT101" s="155"/>
      <c r="HU101" s="155"/>
      <c r="HV101" s="155"/>
      <c r="HW101" s="155"/>
      <c r="HX101" s="155"/>
      <c r="HY101" s="155"/>
      <c r="HZ101" s="155"/>
      <c r="IA101" s="155"/>
      <c r="IB101" s="155"/>
      <c r="IC101" s="155"/>
      <c r="ID101" s="155"/>
      <c r="IE101" s="155"/>
      <c r="IF101" s="155"/>
      <c r="IG101" s="155"/>
      <c r="IH101" s="155"/>
      <c r="II101" s="155"/>
      <c r="IJ101" s="155"/>
      <c r="IK101" s="155"/>
      <c r="IL101" s="155"/>
      <c r="IM101" s="155"/>
      <c r="IN101" s="155"/>
      <c r="IO101" s="155"/>
    </row>
    <row r="102" spans="2:249" s="147" customFormat="1" ht="15">
      <c r="B102" s="152"/>
      <c r="C102" s="170" t="s">
        <v>641</v>
      </c>
      <c r="D102" s="189" t="s">
        <v>360</v>
      </c>
      <c r="E102" s="190"/>
      <c r="F102" s="193"/>
      <c r="G102" s="190" t="s">
        <v>360</v>
      </c>
      <c r="H102" s="199" t="s">
        <v>360</v>
      </c>
      <c r="I102" s="199"/>
      <c r="J102" s="199"/>
      <c r="K102" s="199"/>
      <c r="L102" s="199"/>
      <c r="M102" s="193"/>
      <c r="N102" s="192"/>
      <c r="O102" s="199"/>
      <c r="P102" s="201" t="s">
        <v>360</v>
      </c>
      <c r="Q102" s="199"/>
      <c r="R102" s="209"/>
      <c r="S102" s="192" t="s">
        <v>360</v>
      </c>
      <c r="T102" s="197" t="s">
        <v>360</v>
      </c>
      <c r="U102" s="197" t="s">
        <v>360</v>
      </c>
      <c r="V102" s="197" t="s">
        <v>360</v>
      </c>
      <c r="W102" s="197" t="s">
        <v>360</v>
      </c>
      <c r="X102" s="197" t="s">
        <v>360</v>
      </c>
      <c r="Y102" s="197" t="s">
        <v>360</v>
      </c>
      <c r="Z102" s="197" t="s">
        <v>360</v>
      </c>
      <c r="AA102" s="197" t="s">
        <v>360</v>
      </c>
      <c r="AB102" s="197" t="s">
        <v>360</v>
      </c>
      <c r="AC102" s="197" t="s">
        <v>360</v>
      </c>
      <c r="AD102" s="197" t="s">
        <v>360</v>
      </c>
      <c r="AE102" s="198" t="s">
        <v>360</v>
      </c>
      <c r="AF102" s="192" t="s">
        <v>360</v>
      </c>
      <c r="AG102" s="197" t="s">
        <v>360</v>
      </c>
      <c r="AH102" s="197" t="s">
        <v>360</v>
      </c>
      <c r="AI102" s="154"/>
      <c r="AJ102" s="197" t="s">
        <v>360</v>
      </c>
      <c r="AK102" s="208"/>
      <c r="AL102" s="199" t="s">
        <v>360</v>
      </c>
      <c r="AM102" s="199" t="s">
        <v>360</v>
      </c>
      <c r="AN102" s="199"/>
      <c r="AO102" s="199"/>
      <c r="AP102" s="199"/>
      <c r="AQ102" s="199" t="s">
        <v>360</v>
      </c>
      <c r="AR102" s="199" t="s">
        <v>360</v>
      </c>
      <c r="AS102" s="199" t="s">
        <v>360</v>
      </c>
      <c r="AT102" s="199" t="s">
        <v>360</v>
      </c>
      <c r="AU102" s="199" t="s">
        <v>360</v>
      </c>
      <c r="AV102" s="199"/>
      <c r="AW102" s="199"/>
      <c r="AX102" s="199"/>
      <c r="AY102" s="199" t="s">
        <v>360</v>
      </c>
      <c r="AZ102" s="199" t="s">
        <v>360</v>
      </c>
      <c r="BA102" s="199" t="s">
        <v>360</v>
      </c>
      <c r="BB102" s="199" t="s">
        <v>360</v>
      </c>
      <c r="BC102" s="199" t="s">
        <v>360</v>
      </c>
      <c r="BD102" s="199" t="s">
        <v>360</v>
      </c>
      <c r="BE102" s="199"/>
      <c r="BF102" s="199"/>
      <c r="BG102" s="199"/>
      <c r="BH102" s="199" t="s">
        <v>360</v>
      </c>
      <c r="BI102" s="199" t="s">
        <v>360</v>
      </c>
      <c r="BJ102" s="199" t="s">
        <v>360</v>
      </c>
      <c r="BK102" s="199" t="s">
        <v>360</v>
      </c>
      <c r="BL102" s="199" t="s">
        <v>360</v>
      </c>
      <c r="BM102" s="199" t="s">
        <v>360</v>
      </c>
      <c r="BN102" s="199"/>
      <c r="BO102" s="199"/>
      <c r="BP102" s="199"/>
      <c r="BQ102" s="199" t="s">
        <v>360</v>
      </c>
      <c r="BR102" s="199" t="s">
        <v>360</v>
      </c>
      <c r="BS102" s="199" t="s">
        <v>360</v>
      </c>
      <c r="BT102" s="199" t="s">
        <v>360</v>
      </c>
      <c r="BU102" s="199" t="s">
        <v>360</v>
      </c>
      <c r="BV102" s="199" t="s">
        <v>360</v>
      </c>
      <c r="BW102" s="199"/>
      <c r="BX102" s="199"/>
      <c r="BY102" s="199"/>
      <c r="BZ102" s="199" t="s">
        <v>360</v>
      </c>
      <c r="CA102" s="199" t="s">
        <v>360</v>
      </c>
      <c r="CB102" s="199" t="s">
        <v>360</v>
      </c>
      <c r="CC102" s="199" t="s">
        <v>360</v>
      </c>
      <c r="CD102" s="199" t="s">
        <v>360</v>
      </c>
      <c r="CE102" s="154"/>
      <c r="CF102" s="154"/>
      <c r="CG102" s="154"/>
      <c r="CH102" s="154"/>
      <c r="CI102" s="154"/>
      <c r="CJ102" s="154"/>
      <c r="CK102" s="154"/>
      <c r="CL102" s="154"/>
      <c r="CM102" s="154"/>
      <c r="CN102" s="154"/>
      <c r="CO102" s="154"/>
      <c r="CP102" s="154"/>
      <c r="CQ102" s="154"/>
      <c r="CR102" s="154"/>
      <c r="CS102" s="154"/>
      <c r="CT102" s="154"/>
      <c r="CU102" s="154"/>
      <c r="CV102" s="154"/>
      <c r="CW102" s="154"/>
      <c r="CX102" s="154"/>
      <c r="CY102" s="154"/>
      <c r="CZ102" s="154"/>
      <c r="DA102" s="154"/>
      <c r="DB102" s="154"/>
      <c r="DC102" s="154"/>
      <c r="DD102" s="154"/>
      <c r="DE102" s="154"/>
      <c r="DF102" s="154"/>
      <c r="DG102" s="154"/>
      <c r="DH102" s="154"/>
      <c r="DI102" s="154"/>
      <c r="DJ102" s="154"/>
      <c r="DK102" s="154"/>
      <c r="DL102" s="154"/>
      <c r="DM102" s="154"/>
      <c r="DN102" s="154"/>
      <c r="DO102" s="154"/>
      <c r="DP102" s="154"/>
      <c r="DQ102" s="154"/>
      <c r="DR102" s="154"/>
      <c r="DS102" s="154"/>
      <c r="DT102" s="154"/>
      <c r="DU102" s="154"/>
      <c r="DV102" s="154"/>
      <c r="DW102" s="154"/>
      <c r="DX102" s="154"/>
      <c r="DY102" s="154"/>
      <c r="DZ102" s="154"/>
      <c r="EA102" s="154"/>
      <c r="EB102" s="154"/>
      <c r="EC102" s="154"/>
      <c r="ED102" s="154"/>
      <c r="EE102" s="154"/>
      <c r="EF102" s="154"/>
      <c r="EG102" s="154"/>
      <c r="EH102" s="154"/>
      <c r="EI102" s="154"/>
      <c r="EJ102" s="154"/>
      <c r="EK102" s="154"/>
      <c r="EL102" s="154"/>
      <c r="EM102" s="154"/>
      <c r="EN102" s="154"/>
      <c r="EO102" s="154"/>
      <c r="EP102" s="154"/>
      <c r="EQ102" s="154"/>
      <c r="ER102" s="154"/>
      <c r="ES102" s="154"/>
      <c r="ET102" s="154"/>
      <c r="EU102" s="154"/>
      <c r="EV102" s="154"/>
      <c r="EW102" s="154"/>
      <c r="EX102" s="154"/>
      <c r="EY102" s="154"/>
      <c r="EZ102" s="154"/>
      <c r="FA102" s="154"/>
      <c r="FB102" s="154"/>
      <c r="FC102" s="154"/>
      <c r="FD102" s="154"/>
      <c r="FE102" s="154"/>
      <c r="FF102" s="154"/>
      <c r="FG102" s="154"/>
      <c r="FH102" s="154"/>
      <c r="FI102" s="154"/>
      <c r="FJ102" s="154"/>
      <c r="FK102" s="154"/>
      <c r="FL102" s="154"/>
      <c r="FM102" s="154"/>
      <c r="FN102" s="154"/>
      <c r="FO102" s="154"/>
      <c r="FP102" s="154"/>
      <c r="FQ102" s="154"/>
      <c r="FR102" s="154"/>
      <c r="FS102" s="154"/>
      <c r="FT102" s="154"/>
      <c r="FU102" s="154"/>
      <c r="FV102" s="154"/>
      <c r="FW102" s="154"/>
      <c r="FX102" s="154"/>
      <c r="FY102" s="154"/>
      <c r="FZ102" s="154"/>
      <c r="GA102" s="154"/>
      <c r="GB102" s="154"/>
      <c r="GC102" s="154"/>
      <c r="GD102" s="154"/>
      <c r="GE102" s="154"/>
      <c r="GF102" s="154"/>
      <c r="GG102" s="154"/>
      <c r="GH102" s="154"/>
      <c r="GI102" s="154"/>
      <c r="GJ102" s="154"/>
      <c r="GK102" s="154"/>
      <c r="GL102" s="154"/>
      <c r="GM102" s="154"/>
      <c r="GN102" s="154"/>
      <c r="GO102" s="154"/>
      <c r="GP102" s="154"/>
      <c r="GQ102" s="154"/>
      <c r="GR102" s="154"/>
      <c r="GS102" s="154"/>
      <c r="GT102" s="154"/>
      <c r="GU102" s="154"/>
      <c r="GV102" s="154"/>
      <c r="GW102" s="154"/>
      <c r="GX102" s="154"/>
      <c r="GY102" s="154"/>
      <c r="GZ102" s="154"/>
      <c r="HA102" s="154"/>
      <c r="HB102" s="154"/>
      <c r="HC102" s="154"/>
      <c r="HD102" s="154"/>
      <c r="HE102" s="154"/>
      <c r="HF102" s="154"/>
      <c r="HG102" s="154"/>
      <c r="HH102" s="154"/>
      <c r="HI102" s="154"/>
      <c r="HJ102" s="154"/>
      <c r="HK102" s="154"/>
      <c r="HL102" s="154"/>
      <c r="HM102" s="154"/>
      <c r="HN102" s="154"/>
      <c r="HO102" s="154"/>
      <c r="HP102" s="154"/>
      <c r="HQ102" s="154"/>
      <c r="HR102" s="154"/>
      <c r="HS102" s="154"/>
      <c r="HT102" s="154"/>
      <c r="HU102" s="154"/>
      <c r="HV102" s="154"/>
      <c r="HW102" s="154"/>
      <c r="HX102" s="154"/>
      <c r="HY102" s="154"/>
      <c r="HZ102" s="154"/>
      <c r="IA102" s="154"/>
      <c r="IB102" s="154"/>
      <c r="IC102" s="154"/>
      <c r="ID102" s="154"/>
      <c r="IE102" s="154"/>
      <c r="IF102" s="154"/>
      <c r="IG102" s="154"/>
      <c r="IH102" s="154"/>
      <c r="II102" s="154"/>
      <c r="IJ102" s="154"/>
      <c r="IK102" s="154"/>
      <c r="IL102" s="154"/>
      <c r="IM102" s="154"/>
      <c r="IN102" s="154"/>
      <c r="IO102" s="154"/>
    </row>
    <row r="103" spans="2:249" s="147" customFormat="1" ht="15">
      <c r="B103" s="152"/>
      <c r="C103" s="170" t="s">
        <v>642</v>
      </c>
      <c r="D103" s="189"/>
      <c r="E103" s="190"/>
      <c r="F103" s="193"/>
      <c r="G103" s="190"/>
      <c r="H103" s="199"/>
      <c r="I103" s="197"/>
      <c r="J103" s="197"/>
      <c r="K103" s="197"/>
      <c r="L103" s="197"/>
      <c r="M103" s="198"/>
      <c r="N103" s="202" t="s">
        <v>360</v>
      </c>
      <c r="O103" s="199" t="s">
        <v>360</v>
      </c>
      <c r="P103" s="197"/>
      <c r="Q103" s="199" t="s">
        <v>360</v>
      </c>
      <c r="R103" s="209" t="s">
        <v>360</v>
      </c>
      <c r="S103" s="185"/>
      <c r="T103" s="153"/>
      <c r="U103" s="153"/>
      <c r="V103" s="153"/>
      <c r="W103" s="153"/>
      <c r="X103" s="153"/>
      <c r="Y103" s="153"/>
      <c r="Z103" s="153"/>
      <c r="AA103" s="153"/>
      <c r="AB103" s="153"/>
      <c r="AC103" s="153"/>
      <c r="AD103" s="153"/>
      <c r="AE103" s="186"/>
      <c r="AF103" s="184"/>
      <c r="AG103" s="154"/>
      <c r="AH103" s="154"/>
      <c r="AI103" s="154"/>
      <c r="AJ103" s="154"/>
      <c r="AK103" s="208"/>
      <c r="AL103" s="199"/>
      <c r="AM103" s="199"/>
      <c r="AN103" s="199"/>
      <c r="AO103" s="199"/>
      <c r="AP103" s="199"/>
      <c r="AQ103" s="197"/>
      <c r="AR103" s="197"/>
      <c r="AS103" s="197"/>
      <c r="AT103" s="197"/>
      <c r="AU103" s="199"/>
      <c r="AV103" s="199"/>
      <c r="AW103" s="199"/>
      <c r="AX103" s="199"/>
      <c r="AY103" s="199"/>
      <c r="AZ103" s="199"/>
      <c r="BA103" s="199"/>
      <c r="BB103" s="199"/>
      <c r="BC103" s="199"/>
      <c r="BD103" s="199"/>
      <c r="BE103" s="199"/>
      <c r="BF103" s="199"/>
      <c r="BG103" s="199"/>
      <c r="BH103" s="199"/>
      <c r="BI103" s="199"/>
      <c r="BJ103" s="199"/>
      <c r="BK103" s="199"/>
      <c r="BL103" s="199"/>
      <c r="BM103" s="199"/>
      <c r="BN103" s="199"/>
      <c r="BO103" s="199"/>
      <c r="BP103" s="199"/>
      <c r="BQ103" s="199"/>
      <c r="BR103" s="199"/>
      <c r="BS103" s="199"/>
      <c r="BT103" s="199"/>
      <c r="BU103" s="199"/>
      <c r="BV103" s="199"/>
      <c r="BW103" s="199"/>
      <c r="BX103" s="199"/>
      <c r="BY103" s="199"/>
      <c r="BZ103" s="199"/>
      <c r="CA103" s="199"/>
      <c r="CB103" s="199"/>
      <c r="CC103" s="199"/>
      <c r="CD103" s="199"/>
      <c r="CE103" s="154"/>
      <c r="CF103" s="154"/>
      <c r="CG103" s="154"/>
      <c r="CH103" s="154"/>
      <c r="CI103" s="154"/>
      <c r="CJ103" s="154"/>
      <c r="CK103" s="154"/>
      <c r="CL103" s="154"/>
      <c r="CM103" s="154"/>
      <c r="CN103" s="154"/>
      <c r="CO103" s="154"/>
      <c r="CP103" s="154"/>
      <c r="CQ103" s="154"/>
      <c r="CR103" s="154"/>
      <c r="CS103" s="154"/>
      <c r="CT103" s="154"/>
      <c r="CU103" s="154"/>
      <c r="CV103" s="154"/>
      <c r="CW103" s="154"/>
      <c r="CX103" s="154"/>
      <c r="CY103" s="154"/>
      <c r="CZ103" s="154"/>
      <c r="DA103" s="154"/>
      <c r="DB103" s="154"/>
      <c r="DC103" s="154"/>
      <c r="DD103" s="154"/>
      <c r="DE103" s="154"/>
      <c r="DF103" s="154"/>
      <c r="DG103" s="154"/>
      <c r="DH103" s="154"/>
      <c r="DI103" s="154"/>
      <c r="DJ103" s="154"/>
      <c r="DK103" s="154"/>
      <c r="DL103" s="154"/>
      <c r="DM103" s="154"/>
      <c r="DN103" s="154"/>
      <c r="DO103" s="154"/>
      <c r="DP103" s="154"/>
      <c r="DQ103" s="154"/>
      <c r="DR103" s="154"/>
      <c r="DS103" s="154"/>
      <c r="DT103" s="154"/>
      <c r="DU103" s="154"/>
      <c r="DV103" s="154"/>
      <c r="DW103" s="154"/>
      <c r="DX103" s="154"/>
      <c r="DY103" s="154"/>
      <c r="DZ103" s="154"/>
      <c r="EA103" s="154"/>
      <c r="EB103" s="154"/>
      <c r="EC103" s="154"/>
      <c r="ED103" s="154"/>
      <c r="EE103" s="154"/>
      <c r="EF103" s="154"/>
      <c r="EG103" s="154"/>
      <c r="EH103" s="154"/>
      <c r="EI103" s="154"/>
      <c r="EJ103" s="154"/>
      <c r="EK103" s="154"/>
      <c r="EL103" s="154"/>
      <c r="EM103" s="154"/>
      <c r="EN103" s="154"/>
      <c r="EO103" s="154"/>
      <c r="EP103" s="154"/>
      <c r="EQ103" s="154"/>
      <c r="ER103" s="154"/>
      <c r="ES103" s="154"/>
      <c r="ET103" s="154"/>
      <c r="EU103" s="154"/>
      <c r="EV103" s="154"/>
      <c r="EW103" s="154"/>
      <c r="EX103" s="154"/>
      <c r="EY103" s="154"/>
      <c r="EZ103" s="154"/>
      <c r="FA103" s="154"/>
      <c r="FB103" s="154"/>
      <c r="FC103" s="154"/>
      <c r="FD103" s="154"/>
      <c r="FE103" s="154"/>
      <c r="FF103" s="154"/>
      <c r="FG103" s="154"/>
      <c r="FH103" s="154"/>
      <c r="FI103" s="154"/>
      <c r="FJ103" s="154"/>
      <c r="FK103" s="154"/>
      <c r="FL103" s="154"/>
      <c r="FM103" s="154"/>
      <c r="FN103" s="154"/>
      <c r="FO103" s="154"/>
      <c r="FP103" s="154"/>
      <c r="FQ103" s="154"/>
      <c r="FR103" s="154"/>
      <c r="FS103" s="154"/>
      <c r="FT103" s="154"/>
      <c r="FU103" s="154"/>
      <c r="FV103" s="154"/>
      <c r="FW103" s="154"/>
      <c r="FX103" s="154"/>
      <c r="FY103" s="154"/>
      <c r="FZ103" s="154"/>
      <c r="GA103" s="154"/>
      <c r="GB103" s="154"/>
      <c r="GC103" s="154"/>
      <c r="GD103" s="154"/>
      <c r="GE103" s="154"/>
      <c r="GF103" s="154"/>
      <c r="GG103" s="154"/>
      <c r="GH103" s="154"/>
      <c r="GI103" s="154"/>
      <c r="GJ103" s="154"/>
      <c r="GK103" s="154"/>
      <c r="GL103" s="154"/>
      <c r="GM103" s="154"/>
      <c r="GN103" s="154"/>
      <c r="GO103" s="154"/>
      <c r="GP103" s="154"/>
      <c r="GQ103" s="154"/>
      <c r="GR103" s="154"/>
      <c r="GS103" s="154"/>
      <c r="GT103" s="154"/>
      <c r="GU103" s="154"/>
      <c r="GV103" s="154"/>
      <c r="GW103" s="154"/>
      <c r="GX103" s="154"/>
      <c r="GY103" s="154"/>
      <c r="GZ103" s="154"/>
      <c r="HA103" s="154"/>
      <c r="HB103" s="154"/>
      <c r="HC103" s="154"/>
      <c r="HD103" s="154"/>
      <c r="HE103" s="154"/>
      <c r="HF103" s="154"/>
      <c r="HG103" s="154"/>
      <c r="HH103" s="154"/>
      <c r="HI103" s="154"/>
      <c r="HJ103" s="154"/>
      <c r="HK103" s="154"/>
      <c r="HL103" s="154"/>
      <c r="HM103" s="154"/>
      <c r="HN103" s="154"/>
      <c r="HO103" s="154"/>
      <c r="HP103" s="154"/>
      <c r="HQ103" s="154"/>
      <c r="HR103" s="154"/>
      <c r="HS103" s="154"/>
      <c r="HT103" s="154"/>
      <c r="HU103" s="154"/>
      <c r="HV103" s="154"/>
      <c r="HW103" s="154"/>
      <c r="HX103" s="154"/>
      <c r="HY103" s="154"/>
      <c r="HZ103" s="154"/>
      <c r="IA103" s="154"/>
      <c r="IB103" s="154"/>
      <c r="IC103" s="154"/>
      <c r="ID103" s="154"/>
      <c r="IE103" s="154"/>
      <c r="IF103" s="154"/>
      <c r="IG103" s="154"/>
      <c r="IH103" s="154"/>
      <c r="II103" s="154"/>
      <c r="IJ103" s="154"/>
      <c r="IK103" s="154"/>
      <c r="IL103" s="154"/>
      <c r="IM103" s="154"/>
      <c r="IN103" s="154"/>
      <c r="IO103" s="154"/>
    </row>
    <row r="104" spans="2:249" s="147" customFormat="1" ht="15">
      <c r="B104" s="152"/>
      <c r="C104" s="170" t="s">
        <v>581</v>
      </c>
      <c r="D104" s="191"/>
      <c r="E104" s="192"/>
      <c r="F104" s="193"/>
      <c r="G104" s="192"/>
      <c r="H104" s="197"/>
      <c r="I104" s="197"/>
      <c r="J104" s="197"/>
      <c r="K104" s="197"/>
      <c r="L104" s="197"/>
      <c r="M104" s="198"/>
      <c r="N104" s="185"/>
      <c r="O104" s="153"/>
      <c r="P104" s="153"/>
      <c r="Q104" s="153"/>
      <c r="R104" s="206"/>
      <c r="S104" s="185"/>
      <c r="T104" s="153"/>
      <c r="U104" s="153"/>
      <c r="V104" s="153"/>
      <c r="W104" s="153"/>
      <c r="X104" s="153"/>
      <c r="Y104" s="153"/>
      <c r="Z104" s="153"/>
      <c r="AA104" s="153"/>
      <c r="AB104" s="153"/>
      <c r="AC104" s="153"/>
      <c r="AD104" s="153"/>
      <c r="AE104" s="186"/>
      <c r="AF104" s="185"/>
      <c r="AG104" s="153"/>
      <c r="AH104" s="153"/>
      <c r="AI104" s="197" t="s">
        <v>360</v>
      </c>
      <c r="AJ104" s="153"/>
      <c r="AK104" s="204" t="s">
        <v>360</v>
      </c>
      <c r="AL104" s="197"/>
      <c r="AM104" s="197"/>
      <c r="AN104" s="199"/>
      <c r="AO104" s="197"/>
      <c r="AP104" s="197"/>
      <c r="AQ104" s="197"/>
      <c r="AR104" s="197"/>
      <c r="AS104" s="197"/>
      <c r="AT104" s="197"/>
      <c r="AU104" s="197"/>
      <c r="AV104" s="197"/>
      <c r="AW104" s="199"/>
      <c r="AX104" s="197"/>
      <c r="AY104" s="197"/>
      <c r="AZ104" s="197"/>
      <c r="BA104" s="197"/>
      <c r="BB104" s="197"/>
      <c r="BC104" s="197"/>
      <c r="BD104" s="197"/>
      <c r="BE104" s="197"/>
      <c r="BF104" s="199"/>
      <c r="BG104" s="197"/>
      <c r="BH104" s="197"/>
      <c r="BI104" s="197"/>
      <c r="BJ104" s="197"/>
      <c r="BK104" s="197"/>
      <c r="BL104" s="197"/>
      <c r="BM104" s="197"/>
      <c r="BN104" s="197"/>
      <c r="BO104" s="199"/>
      <c r="BP104" s="197"/>
      <c r="BQ104" s="197"/>
      <c r="BR104" s="197"/>
      <c r="BS104" s="197"/>
      <c r="BT104" s="197"/>
      <c r="BU104" s="197"/>
      <c r="BV104" s="197"/>
      <c r="BW104" s="197"/>
      <c r="BX104" s="199"/>
      <c r="BY104" s="197"/>
      <c r="BZ104" s="197"/>
      <c r="CA104" s="197"/>
      <c r="CB104" s="197"/>
      <c r="CC104" s="197"/>
      <c r="CD104" s="197"/>
      <c r="CE104" s="197"/>
      <c r="CF104" s="197"/>
      <c r="CG104" s="197"/>
      <c r="CH104" s="197"/>
      <c r="CI104" s="197"/>
      <c r="CJ104" s="197"/>
      <c r="CK104" s="197"/>
      <c r="CL104" s="197"/>
      <c r="CM104" s="197"/>
      <c r="CN104" s="197"/>
      <c r="CO104" s="197"/>
      <c r="CP104" s="197"/>
      <c r="CQ104" s="197"/>
      <c r="CR104" s="197"/>
      <c r="CS104" s="197"/>
      <c r="CT104" s="197"/>
      <c r="CU104" s="197"/>
      <c r="CV104" s="197"/>
      <c r="CW104" s="197"/>
      <c r="CX104" s="197"/>
      <c r="CY104" s="197"/>
      <c r="CZ104" s="197"/>
      <c r="DA104" s="197"/>
      <c r="DB104" s="197"/>
      <c r="DC104" s="197"/>
      <c r="DD104" s="197"/>
      <c r="DE104" s="197"/>
      <c r="DF104" s="197"/>
      <c r="DG104" s="197"/>
      <c r="DH104" s="197"/>
      <c r="DI104" s="197"/>
      <c r="DJ104" s="197"/>
      <c r="DK104" s="197"/>
      <c r="DL104" s="197"/>
      <c r="DM104" s="197"/>
      <c r="DN104" s="197"/>
      <c r="DO104" s="197"/>
      <c r="DP104" s="197"/>
      <c r="DQ104" s="197"/>
      <c r="DR104" s="197"/>
      <c r="DS104" s="197"/>
      <c r="DT104" s="197"/>
      <c r="DU104" s="197"/>
      <c r="DV104" s="197"/>
      <c r="DW104" s="197"/>
      <c r="DX104" s="197"/>
      <c r="DY104" s="197"/>
      <c r="DZ104" s="197"/>
      <c r="EA104" s="197"/>
      <c r="EB104" s="197"/>
      <c r="EC104" s="197"/>
      <c r="ED104" s="197"/>
      <c r="EE104" s="197"/>
      <c r="EF104" s="197"/>
      <c r="EG104" s="197"/>
      <c r="EH104" s="197"/>
      <c r="EI104" s="197"/>
      <c r="EJ104" s="197"/>
      <c r="EK104" s="197"/>
      <c r="EL104" s="197"/>
      <c r="EM104" s="197"/>
      <c r="EN104" s="197"/>
      <c r="EO104" s="197"/>
      <c r="EP104" s="197"/>
      <c r="EQ104" s="197"/>
      <c r="ER104" s="197"/>
      <c r="ES104" s="197"/>
      <c r="ET104" s="197"/>
      <c r="EU104" s="197"/>
      <c r="EV104" s="197"/>
      <c r="EW104" s="197"/>
      <c r="EX104" s="197"/>
      <c r="EY104" s="197"/>
      <c r="EZ104" s="197"/>
      <c r="FA104" s="197"/>
      <c r="FB104" s="197"/>
      <c r="FC104" s="197"/>
      <c r="FD104" s="197"/>
      <c r="FE104" s="197"/>
      <c r="FF104" s="197"/>
      <c r="FG104" s="197"/>
      <c r="FH104" s="197"/>
      <c r="FI104" s="197"/>
      <c r="FJ104" s="197"/>
      <c r="FK104" s="197"/>
      <c r="FL104" s="197"/>
      <c r="FM104" s="197"/>
      <c r="FN104" s="197"/>
      <c r="FO104" s="197"/>
      <c r="FP104" s="197"/>
      <c r="FQ104" s="197"/>
      <c r="FR104" s="197"/>
      <c r="FS104" s="197"/>
      <c r="FT104" s="197"/>
      <c r="FU104" s="197"/>
      <c r="FV104" s="197"/>
      <c r="FW104" s="197"/>
      <c r="FX104" s="197"/>
      <c r="FY104" s="197"/>
      <c r="FZ104" s="197"/>
      <c r="GA104" s="197"/>
      <c r="GB104" s="197"/>
      <c r="GC104" s="197"/>
      <c r="GD104" s="197"/>
      <c r="GE104" s="197"/>
      <c r="GF104" s="197"/>
      <c r="GG104" s="197"/>
      <c r="GH104" s="197"/>
      <c r="GI104" s="197"/>
      <c r="GJ104" s="197"/>
      <c r="GK104" s="197"/>
      <c r="GL104" s="197"/>
      <c r="GM104" s="197"/>
      <c r="GN104" s="197"/>
      <c r="GO104" s="197"/>
      <c r="GP104" s="197"/>
      <c r="GQ104" s="197"/>
      <c r="GR104" s="197"/>
      <c r="GS104" s="197"/>
      <c r="GT104" s="197"/>
      <c r="GU104" s="197"/>
      <c r="GV104" s="197"/>
      <c r="GW104" s="197"/>
      <c r="GX104" s="197"/>
      <c r="GY104" s="197"/>
      <c r="GZ104" s="197"/>
      <c r="HA104" s="197"/>
      <c r="HB104" s="197"/>
      <c r="HC104" s="197"/>
      <c r="HD104" s="197"/>
      <c r="HE104" s="197"/>
      <c r="HF104" s="197"/>
      <c r="HG104" s="197"/>
      <c r="HH104" s="197"/>
      <c r="HI104" s="197"/>
      <c r="HJ104" s="197"/>
      <c r="HK104" s="197"/>
      <c r="HL104" s="197"/>
      <c r="HM104" s="197"/>
      <c r="HN104" s="197"/>
      <c r="HO104" s="197"/>
      <c r="HP104" s="197"/>
      <c r="HQ104" s="197"/>
      <c r="HR104" s="197"/>
      <c r="HS104" s="197"/>
      <c r="HT104" s="197"/>
      <c r="HU104" s="197"/>
      <c r="HV104" s="197"/>
      <c r="HW104" s="197"/>
      <c r="HX104" s="197"/>
      <c r="HY104" s="197"/>
      <c r="HZ104" s="197"/>
      <c r="IA104" s="197"/>
      <c r="IB104" s="197"/>
      <c r="IC104" s="197"/>
      <c r="ID104" s="197"/>
      <c r="IE104" s="197"/>
      <c r="IF104" s="197"/>
      <c r="IG104" s="197"/>
      <c r="IH104" s="197"/>
      <c r="II104" s="197"/>
      <c r="IJ104" s="197"/>
      <c r="IK104" s="197"/>
      <c r="IL104" s="197"/>
      <c r="IM104" s="197"/>
      <c r="IN104" s="197"/>
      <c r="IO104" s="197"/>
    </row>
    <row r="105" spans="2:249" s="147" customFormat="1" ht="15">
      <c r="B105" s="152"/>
      <c r="C105" s="170" t="s">
        <v>584</v>
      </c>
      <c r="D105" s="191"/>
      <c r="E105" s="192"/>
      <c r="F105" s="193"/>
      <c r="G105" s="192"/>
      <c r="H105" s="197"/>
      <c r="I105" s="199" t="s">
        <v>360</v>
      </c>
      <c r="J105" s="197"/>
      <c r="K105" s="197"/>
      <c r="L105" s="197"/>
      <c r="M105" s="198"/>
      <c r="N105" s="185"/>
      <c r="O105" s="153"/>
      <c r="P105" s="153"/>
      <c r="Q105" s="153"/>
      <c r="R105" s="206"/>
      <c r="S105" s="185"/>
      <c r="T105" s="153"/>
      <c r="U105" s="153"/>
      <c r="V105" s="153"/>
      <c r="W105" s="153"/>
      <c r="X105" s="153"/>
      <c r="Y105" s="153"/>
      <c r="Z105" s="153"/>
      <c r="AA105" s="153"/>
      <c r="AB105" s="153"/>
      <c r="AC105" s="153"/>
      <c r="AD105" s="153"/>
      <c r="AE105" s="186"/>
      <c r="AF105" s="185"/>
      <c r="AG105" s="153"/>
      <c r="AH105" s="153"/>
      <c r="AI105" s="197"/>
      <c r="AJ105" s="153"/>
      <c r="AK105" s="204"/>
      <c r="AL105" s="197"/>
      <c r="AM105" s="197"/>
      <c r="AN105" s="199"/>
      <c r="AO105" s="197"/>
      <c r="AP105" s="197"/>
      <c r="AQ105" s="197"/>
      <c r="AR105" s="197"/>
      <c r="AS105" s="197"/>
      <c r="AT105" s="197"/>
      <c r="AU105" s="197"/>
      <c r="AV105" s="197"/>
      <c r="AW105" s="199"/>
      <c r="AX105" s="197"/>
      <c r="AY105" s="197"/>
      <c r="AZ105" s="197"/>
      <c r="BA105" s="197"/>
      <c r="BB105" s="197"/>
      <c r="BC105" s="197"/>
      <c r="BD105" s="197"/>
      <c r="BE105" s="197"/>
      <c r="BF105" s="199"/>
      <c r="BG105" s="197"/>
      <c r="BH105" s="197"/>
      <c r="BI105" s="197"/>
      <c r="BJ105" s="197"/>
      <c r="BK105" s="197"/>
      <c r="BL105" s="197"/>
      <c r="BM105" s="197"/>
      <c r="BN105" s="197"/>
      <c r="BO105" s="199"/>
      <c r="BP105" s="197"/>
      <c r="BQ105" s="197"/>
      <c r="BR105" s="197"/>
      <c r="BS105" s="197"/>
      <c r="BT105" s="197"/>
      <c r="BU105" s="197"/>
      <c r="BV105" s="197"/>
      <c r="BW105" s="197"/>
      <c r="BX105" s="199"/>
      <c r="BY105" s="197"/>
      <c r="BZ105" s="197"/>
      <c r="CA105" s="197"/>
      <c r="CB105" s="197"/>
      <c r="CC105" s="197"/>
      <c r="CD105" s="197"/>
      <c r="CE105" s="197"/>
      <c r="CF105" s="197"/>
      <c r="CG105" s="197"/>
      <c r="CH105" s="197"/>
      <c r="CI105" s="197"/>
      <c r="CJ105" s="197"/>
      <c r="CK105" s="197"/>
      <c r="CL105" s="197"/>
      <c r="CM105" s="197"/>
      <c r="CN105" s="197"/>
      <c r="CO105" s="197"/>
      <c r="CP105" s="197"/>
      <c r="CQ105" s="197"/>
      <c r="CR105" s="197"/>
      <c r="CS105" s="197"/>
      <c r="CT105" s="197"/>
      <c r="CU105" s="197"/>
      <c r="CV105" s="197"/>
      <c r="CW105" s="197"/>
      <c r="CX105" s="197"/>
      <c r="CY105" s="197"/>
      <c r="CZ105" s="197"/>
      <c r="DA105" s="197"/>
      <c r="DB105" s="197"/>
      <c r="DC105" s="197"/>
      <c r="DD105" s="197"/>
      <c r="DE105" s="197"/>
      <c r="DF105" s="197"/>
      <c r="DG105" s="197"/>
      <c r="DH105" s="197"/>
      <c r="DI105" s="197"/>
      <c r="DJ105" s="197"/>
      <c r="DK105" s="197"/>
      <c r="DL105" s="197"/>
      <c r="DM105" s="197"/>
      <c r="DN105" s="197"/>
      <c r="DO105" s="197"/>
      <c r="DP105" s="197"/>
      <c r="DQ105" s="197"/>
      <c r="DR105" s="197"/>
      <c r="DS105" s="197"/>
      <c r="DT105" s="197"/>
      <c r="DU105" s="197"/>
      <c r="DV105" s="197"/>
      <c r="DW105" s="197"/>
      <c r="DX105" s="197"/>
      <c r="DY105" s="197"/>
      <c r="DZ105" s="197"/>
      <c r="EA105" s="197"/>
      <c r="EB105" s="197"/>
      <c r="EC105" s="197"/>
      <c r="ED105" s="197"/>
      <c r="EE105" s="197"/>
      <c r="EF105" s="197"/>
      <c r="EG105" s="197"/>
      <c r="EH105" s="197"/>
      <c r="EI105" s="197"/>
      <c r="EJ105" s="197"/>
      <c r="EK105" s="197"/>
      <c r="EL105" s="197"/>
      <c r="EM105" s="197"/>
      <c r="EN105" s="197"/>
      <c r="EO105" s="197"/>
      <c r="EP105" s="197"/>
      <c r="EQ105" s="197"/>
      <c r="ER105" s="197"/>
      <c r="ES105" s="197"/>
      <c r="ET105" s="197"/>
      <c r="EU105" s="197"/>
      <c r="EV105" s="197"/>
      <c r="EW105" s="197"/>
      <c r="EX105" s="197"/>
      <c r="EY105" s="197"/>
      <c r="EZ105" s="197"/>
      <c r="FA105" s="197"/>
      <c r="FB105" s="197"/>
      <c r="FC105" s="197"/>
      <c r="FD105" s="197"/>
      <c r="FE105" s="197"/>
      <c r="FF105" s="197"/>
      <c r="FG105" s="197"/>
      <c r="FH105" s="197"/>
      <c r="FI105" s="197"/>
      <c r="FJ105" s="197"/>
      <c r="FK105" s="197"/>
      <c r="FL105" s="197"/>
      <c r="FM105" s="197"/>
      <c r="FN105" s="197"/>
      <c r="FO105" s="197"/>
      <c r="FP105" s="197"/>
      <c r="FQ105" s="197"/>
      <c r="FR105" s="197"/>
      <c r="FS105" s="197"/>
      <c r="FT105" s="197"/>
      <c r="FU105" s="197"/>
      <c r="FV105" s="197"/>
      <c r="FW105" s="197"/>
      <c r="FX105" s="197"/>
      <c r="FY105" s="197"/>
      <c r="FZ105" s="197"/>
      <c r="GA105" s="197"/>
      <c r="GB105" s="197"/>
      <c r="GC105" s="197"/>
      <c r="GD105" s="197"/>
      <c r="GE105" s="197"/>
      <c r="GF105" s="197"/>
      <c r="GG105" s="197"/>
      <c r="GH105" s="197"/>
      <c r="GI105" s="197"/>
      <c r="GJ105" s="197"/>
      <c r="GK105" s="197"/>
      <c r="GL105" s="197"/>
      <c r="GM105" s="197"/>
      <c r="GN105" s="197"/>
      <c r="GO105" s="197"/>
      <c r="GP105" s="197"/>
      <c r="GQ105" s="197"/>
      <c r="GR105" s="197"/>
      <c r="GS105" s="197"/>
      <c r="GT105" s="197"/>
      <c r="GU105" s="197"/>
      <c r="GV105" s="197"/>
      <c r="GW105" s="197"/>
      <c r="GX105" s="197"/>
      <c r="GY105" s="197"/>
      <c r="GZ105" s="197"/>
      <c r="HA105" s="197"/>
      <c r="HB105" s="197"/>
      <c r="HC105" s="197"/>
      <c r="HD105" s="197"/>
      <c r="HE105" s="197"/>
      <c r="HF105" s="197"/>
      <c r="HG105" s="197"/>
      <c r="HH105" s="197"/>
      <c r="HI105" s="197"/>
      <c r="HJ105" s="197"/>
      <c r="HK105" s="197"/>
      <c r="HL105" s="197"/>
      <c r="HM105" s="197"/>
      <c r="HN105" s="197"/>
      <c r="HO105" s="197"/>
      <c r="HP105" s="197"/>
      <c r="HQ105" s="197"/>
      <c r="HR105" s="197"/>
      <c r="HS105" s="197"/>
      <c r="HT105" s="197"/>
      <c r="HU105" s="197"/>
      <c r="HV105" s="197"/>
      <c r="HW105" s="197"/>
      <c r="HX105" s="197"/>
      <c r="HY105" s="197"/>
      <c r="HZ105" s="197"/>
      <c r="IA105" s="197"/>
      <c r="IB105" s="197"/>
      <c r="IC105" s="197"/>
      <c r="ID105" s="197"/>
      <c r="IE105" s="197"/>
      <c r="IF105" s="197"/>
      <c r="IG105" s="197"/>
      <c r="IH105" s="197"/>
      <c r="II105" s="197"/>
      <c r="IJ105" s="197"/>
      <c r="IK105" s="197"/>
      <c r="IL105" s="197"/>
      <c r="IM105" s="197"/>
      <c r="IN105" s="197"/>
      <c r="IO105" s="197"/>
    </row>
    <row r="106" spans="2:249" s="147" customFormat="1" ht="15">
      <c r="B106" s="152"/>
      <c r="C106" s="170" t="s">
        <v>643</v>
      </c>
      <c r="D106" s="189"/>
      <c r="E106" s="190"/>
      <c r="F106" s="193"/>
      <c r="G106" s="190"/>
      <c r="H106" s="199"/>
      <c r="I106" s="197"/>
      <c r="J106" s="199" t="s">
        <v>360</v>
      </c>
      <c r="K106" s="199" t="s">
        <v>360</v>
      </c>
      <c r="L106" s="199" t="s">
        <v>360</v>
      </c>
      <c r="M106" s="193" t="s">
        <v>360</v>
      </c>
      <c r="N106" s="202"/>
      <c r="O106" s="199"/>
      <c r="P106" s="197"/>
      <c r="Q106" s="199"/>
      <c r="R106" s="209"/>
      <c r="S106" s="185"/>
      <c r="T106" s="153"/>
      <c r="U106" s="153"/>
      <c r="V106" s="153"/>
      <c r="W106" s="153"/>
      <c r="X106" s="153"/>
      <c r="Y106" s="153"/>
      <c r="Z106" s="153"/>
      <c r="AA106" s="153"/>
      <c r="AB106" s="153"/>
      <c r="AC106" s="153"/>
      <c r="AD106" s="153"/>
      <c r="AE106" s="186"/>
      <c r="AF106" s="184"/>
      <c r="AG106" s="154"/>
      <c r="AH106" s="154"/>
      <c r="AI106" s="154"/>
      <c r="AJ106" s="154"/>
      <c r="AK106" s="208"/>
      <c r="AL106" s="199"/>
      <c r="AM106" s="199"/>
      <c r="AN106" s="199" t="s">
        <v>360</v>
      </c>
      <c r="AO106" s="199" t="s">
        <v>360</v>
      </c>
      <c r="AP106" s="199" t="s">
        <v>360</v>
      </c>
      <c r="AQ106" s="199"/>
      <c r="AR106" s="199"/>
      <c r="AS106" s="199"/>
      <c r="AT106" s="199"/>
      <c r="AU106" s="199"/>
      <c r="AV106" s="199" t="s">
        <v>360</v>
      </c>
      <c r="AW106" s="199" t="s">
        <v>360</v>
      </c>
      <c r="AX106" s="199" t="s">
        <v>360</v>
      </c>
      <c r="AY106" s="199"/>
      <c r="AZ106" s="199"/>
      <c r="BA106" s="199"/>
      <c r="BB106" s="199"/>
      <c r="BC106" s="199"/>
      <c r="BD106" s="199"/>
      <c r="BE106" s="199" t="s">
        <v>360</v>
      </c>
      <c r="BF106" s="199" t="s">
        <v>360</v>
      </c>
      <c r="BG106" s="199" t="s">
        <v>360</v>
      </c>
      <c r="BH106" s="199"/>
      <c r="BI106" s="199"/>
      <c r="BJ106" s="199"/>
      <c r="BK106" s="199"/>
      <c r="BL106" s="199"/>
      <c r="BM106" s="199"/>
      <c r="BN106" s="199" t="s">
        <v>360</v>
      </c>
      <c r="BO106" s="199" t="s">
        <v>360</v>
      </c>
      <c r="BP106" s="199" t="s">
        <v>360</v>
      </c>
      <c r="BQ106" s="199"/>
      <c r="BR106" s="199"/>
      <c r="BS106" s="199"/>
      <c r="BT106" s="199"/>
      <c r="BU106" s="199"/>
      <c r="BV106" s="199"/>
      <c r="BW106" s="199" t="s">
        <v>360</v>
      </c>
      <c r="BX106" s="199" t="s">
        <v>360</v>
      </c>
      <c r="BY106" s="199" t="s">
        <v>360</v>
      </c>
      <c r="BZ106" s="199"/>
      <c r="CA106" s="199"/>
      <c r="CB106" s="199"/>
      <c r="CC106" s="199"/>
      <c r="CD106" s="199"/>
      <c r="CE106" s="154"/>
      <c r="CF106" s="154"/>
      <c r="CG106" s="154"/>
      <c r="CH106" s="154"/>
      <c r="CI106" s="154"/>
      <c r="CJ106" s="154"/>
      <c r="CK106" s="154"/>
      <c r="CL106" s="154"/>
      <c r="CM106" s="154"/>
      <c r="CN106" s="154"/>
      <c r="CO106" s="154"/>
      <c r="CP106" s="154"/>
      <c r="CQ106" s="154"/>
      <c r="CR106" s="154"/>
      <c r="CS106" s="154"/>
      <c r="CT106" s="154"/>
      <c r="CU106" s="154"/>
      <c r="CV106" s="154"/>
      <c r="CW106" s="154"/>
      <c r="CX106" s="154"/>
      <c r="CY106" s="154"/>
      <c r="CZ106" s="154"/>
      <c r="DA106" s="154"/>
      <c r="DB106" s="154"/>
      <c r="DC106" s="154"/>
      <c r="DD106" s="154"/>
      <c r="DE106" s="154"/>
      <c r="DF106" s="154"/>
      <c r="DG106" s="154"/>
      <c r="DH106" s="154"/>
      <c r="DI106" s="154"/>
      <c r="DJ106" s="154"/>
      <c r="DK106" s="154"/>
      <c r="DL106" s="154"/>
      <c r="DM106" s="154"/>
      <c r="DN106" s="154"/>
      <c r="DO106" s="154"/>
      <c r="DP106" s="154"/>
      <c r="DQ106" s="154"/>
      <c r="DR106" s="154"/>
      <c r="DS106" s="154"/>
      <c r="DT106" s="154"/>
      <c r="DU106" s="154"/>
      <c r="DV106" s="154"/>
      <c r="DW106" s="154"/>
      <c r="DX106" s="154"/>
      <c r="DY106" s="154"/>
      <c r="DZ106" s="154"/>
      <c r="EA106" s="154"/>
      <c r="EB106" s="154"/>
      <c r="EC106" s="154"/>
      <c r="ED106" s="154"/>
      <c r="EE106" s="154"/>
      <c r="EF106" s="154"/>
      <c r="EG106" s="154"/>
      <c r="EH106" s="154"/>
      <c r="EI106" s="154"/>
      <c r="EJ106" s="154"/>
      <c r="EK106" s="154"/>
      <c r="EL106" s="154"/>
      <c r="EM106" s="154"/>
      <c r="EN106" s="154"/>
      <c r="EO106" s="154"/>
      <c r="EP106" s="154"/>
      <c r="EQ106" s="154"/>
      <c r="ER106" s="154"/>
      <c r="ES106" s="154"/>
      <c r="ET106" s="154"/>
      <c r="EU106" s="154"/>
      <c r="EV106" s="154"/>
      <c r="EW106" s="154"/>
      <c r="EX106" s="154"/>
      <c r="EY106" s="154"/>
      <c r="EZ106" s="154"/>
      <c r="FA106" s="154"/>
      <c r="FB106" s="154"/>
      <c r="FC106" s="154"/>
      <c r="FD106" s="154"/>
      <c r="FE106" s="154"/>
      <c r="FF106" s="154"/>
      <c r="FG106" s="154"/>
      <c r="FH106" s="154"/>
      <c r="FI106" s="154"/>
      <c r="FJ106" s="154"/>
      <c r="FK106" s="154"/>
      <c r="FL106" s="154"/>
      <c r="FM106" s="154"/>
      <c r="FN106" s="154"/>
      <c r="FO106" s="154"/>
      <c r="FP106" s="154"/>
      <c r="FQ106" s="154"/>
      <c r="FR106" s="154"/>
      <c r="FS106" s="154"/>
      <c r="FT106" s="154"/>
      <c r="FU106" s="154"/>
      <c r="FV106" s="154"/>
      <c r="FW106" s="154"/>
      <c r="FX106" s="154"/>
      <c r="FY106" s="154"/>
      <c r="FZ106" s="154"/>
      <c r="GA106" s="154"/>
      <c r="GB106" s="154"/>
      <c r="GC106" s="154"/>
      <c r="GD106" s="154"/>
      <c r="GE106" s="154"/>
      <c r="GF106" s="154"/>
      <c r="GG106" s="154"/>
      <c r="GH106" s="154"/>
      <c r="GI106" s="154"/>
      <c r="GJ106" s="154"/>
      <c r="GK106" s="154"/>
      <c r="GL106" s="154"/>
      <c r="GM106" s="154"/>
      <c r="GN106" s="154"/>
      <c r="GO106" s="154"/>
      <c r="GP106" s="154"/>
      <c r="GQ106" s="154"/>
      <c r="GR106" s="154"/>
      <c r="GS106" s="154"/>
      <c r="GT106" s="154"/>
      <c r="GU106" s="154"/>
      <c r="GV106" s="154"/>
      <c r="GW106" s="154"/>
      <c r="GX106" s="154"/>
      <c r="GY106" s="154"/>
      <c r="GZ106" s="154"/>
      <c r="HA106" s="154"/>
      <c r="HB106" s="154"/>
      <c r="HC106" s="154"/>
      <c r="HD106" s="154"/>
      <c r="HE106" s="154"/>
      <c r="HF106" s="154"/>
      <c r="HG106" s="154"/>
      <c r="HH106" s="154"/>
      <c r="HI106" s="154"/>
      <c r="HJ106" s="154"/>
      <c r="HK106" s="154"/>
      <c r="HL106" s="154"/>
      <c r="HM106" s="154"/>
      <c r="HN106" s="154"/>
      <c r="HO106" s="154"/>
      <c r="HP106" s="154"/>
      <c r="HQ106" s="154"/>
      <c r="HR106" s="154"/>
      <c r="HS106" s="154"/>
      <c r="HT106" s="154"/>
      <c r="HU106" s="154"/>
      <c r="HV106" s="154"/>
      <c r="HW106" s="154"/>
      <c r="HX106" s="154"/>
      <c r="HY106" s="154"/>
      <c r="HZ106" s="154"/>
      <c r="IA106" s="154"/>
      <c r="IB106" s="154"/>
      <c r="IC106" s="154"/>
      <c r="ID106" s="154"/>
      <c r="IE106" s="154"/>
      <c r="IF106" s="154"/>
      <c r="IG106" s="154"/>
      <c r="IH106" s="154"/>
      <c r="II106" s="154"/>
      <c r="IJ106" s="154"/>
      <c r="IK106" s="154"/>
      <c r="IL106" s="154"/>
      <c r="IM106" s="154"/>
      <c r="IN106" s="154"/>
      <c r="IO106" s="154"/>
    </row>
    <row r="107" spans="2:249" s="147" customFormat="1" ht="15">
      <c r="B107" s="150" t="s">
        <v>597</v>
      </c>
      <c r="C107" s="150" t="s">
        <v>644</v>
      </c>
      <c r="D107" s="200"/>
      <c r="E107" s="188"/>
      <c r="F107" s="187"/>
      <c r="G107" s="188"/>
      <c r="H107" s="155"/>
      <c r="I107" s="155"/>
      <c r="J107" s="155"/>
      <c r="K107" s="155"/>
      <c r="L107" s="155"/>
      <c r="M107" s="187"/>
      <c r="N107" s="188"/>
      <c r="O107" s="155"/>
      <c r="P107" s="155"/>
      <c r="Q107" s="155"/>
      <c r="R107" s="207"/>
      <c r="S107" s="188"/>
      <c r="T107" s="155"/>
      <c r="U107" s="155"/>
      <c r="V107" s="155"/>
      <c r="W107" s="155"/>
      <c r="X107" s="155"/>
      <c r="Y107" s="155"/>
      <c r="Z107" s="155"/>
      <c r="AA107" s="155"/>
      <c r="AB107" s="155"/>
      <c r="AC107" s="155"/>
      <c r="AD107" s="155"/>
      <c r="AE107" s="187"/>
      <c r="AF107" s="188"/>
      <c r="AG107" s="155"/>
      <c r="AH107" s="155"/>
      <c r="AI107" s="155"/>
      <c r="AJ107" s="155"/>
      <c r="AK107" s="207"/>
      <c r="AL107" s="155"/>
      <c r="AM107" s="155"/>
      <c r="AN107" s="155"/>
      <c r="AO107" s="155"/>
      <c r="AP107" s="155"/>
      <c r="AQ107" s="155"/>
      <c r="AR107" s="155"/>
      <c r="AS107" s="155"/>
      <c r="AT107" s="155"/>
      <c r="AU107" s="155"/>
      <c r="AV107" s="155"/>
      <c r="AW107" s="155"/>
      <c r="AX107" s="155"/>
      <c r="AY107" s="155"/>
      <c r="AZ107" s="155"/>
      <c r="BA107" s="155"/>
      <c r="BB107" s="155"/>
      <c r="BC107" s="155"/>
      <c r="BD107" s="155"/>
      <c r="BE107" s="155"/>
      <c r="BF107" s="155"/>
      <c r="BG107" s="155"/>
      <c r="BH107" s="155"/>
      <c r="BI107" s="155"/>
      <c r="BJ107" s="155"/>
      <c r="BK107" s="155"/>
      <c r="BL107" s="155"/>
      <c r="BM107" s="155"/>
      <c r="BN107" s="155"/>
      <c r="BO107" s="155"/>
      <c r="BP107" s="155"/>
      <c r="BQ107" s="155"/>
      <c r="BR107" s="155"/>
      <c r="BS107" s="155"/>
      <c r="BT107" s="155"/>
      <c r="BU107" s="155"/>
      <c r="BV107" s="155"/>
      <c r="BW107" s="155"/>
      <c r="BX107" s="155"/>
      <c r="BY107" s="155"/>
      <c r="BZ107" s="155"/>
      <c r="CA107" s="155"/>
      <c r="CB107" s="155"/>
      <c r="CC107" s="155"/>
      <c r="CD107" s="155"/>
      <c r="CE107" s="155"/>
      <c r="CF107" s="155"/>
      <c r="CG107" s="155"/>
      <c r="CH107" s="155"/>
      <c r="CI107" s="155"/>
      <c r="CJ107" s="155"/>
      <c r="CK107" s="155"/>
      <c r="CL107" s="155"/>
      <c r="CM107" s="155"/>
      <c r="CN107" s="155"/>
      <c r="CO107" s="155"/>
      <c r="CP107" s="155"/>
      <c r="CQ107" s="155"/>
      <c r="CR107" s="155"/>
      <c r="CS107" s="155"/>
      <c r="CT107" s="155"/>
      <c r="CU107" s="155"/>
      <c r="CV107" s="155"/>
      <c r="CW107" s="155"/>
      <c r="CX107" s="155"/>
      <c r="CY107" s="155"/>
      <c r="CZ107" s="155"/>
      <c r="DA107" s="155"/>
      <c r="DB107" s="155"/>
      <c r="DC107" s="155"/>
      <c r="DD107" s="155"/>
      <c r="DE107" s="155"/>
      <c r="DF107" s="155"/>
      <c r="DG107" s="155"/>
      <c r="DH107" s="155"/>
      <c r="DI107" s="155"/>
      <c r="DJ107" s="155"/>
      <c r="DK107" s="155"/>
      <c r="DL107" s="155"/>
      <c r="DM107" s="155"/>
      <c r="DN107" s="155"/>
      <c r="DO107" s="155"/>
      <c r="DP107" s="155"/>
      <c r="DQ107" s="155"/>
      <c r="DR107" s="155"/>
      <c r="DS107" s="155"/>
      <c r="DT107" s="155"/>
      <c r="DU107" s="155"/>
      <c r="DV107" s="155"/>
      <c r="DW107" s="155"/>
      <c r="DX107" s="155"/>
      <c r="DY107" s="155"/>
      <c r="DZ107" s="155"/>
      <c r="EA107" s="155"/>
      <c r="EB107" s="155"/>
      <c r="EC107" s="155"/>
      <c r="ED107" s="155"/>
      <c r="EE107" s="155"/>
      <c r="EF107" s="155"/>
      <c r="EG107" s="155"/>
      <c r="EH107" s="155"/>
      <c r="EI107" s="155"/>
      <c r="EJ107" s="155"/>
      <c r="EK107" s="155"/>
      <c r="EL107" s="155"/>
      <c r="EM107" s="155"/>
      <c r="EN107" s="155"/>
      <c r="EO107" s="155"/>
      <c r="EP107" s="155"/>
      <c r="EQ107" s="155"/>
      <c r="ER107" s="155"/>
      <c r="ES107" s="155"/>
      <c r="ET107" s="155"/>
      <c r="EU107" s="155"/>
      <c r="EV107" s="155"/>
      <c r="EW107" s="155"/>
      <c r="EX107" s="155"/>
      <c r="EY107" s="155"/>
      <c r="EZ107" s="155"/>
      <c r="FA107" s="155"/>
      <c r="FB107" s="155"/>
      <c r="FC107" s="155"/>
      <c r="FD107" s="155"/>
      <c r="FE107" s="155"/>
      <c r="FF107" s="155"/>
      <c r="FG107" s="155"/>
      <c r="FH107" s="155"/>
      <c r="FI107" s="155"/>
      <c r="FJ107" s="155"/>
      <c r="FK107" s="155"/>
      <c r="FL107" s="155"/>
      <c r="FM107" s="155"/>
      <c r="FN107" s="155"/>
      <c r="FO107" s="155"/>
      <c r="FP107" s="155"/>
      <c r="FQ107" s="155"/>
      <c r="FR107" s="155"/>
      <c r="FS107" s="155"/>
      <c r="FT107" s="155"/>
      <c r="FU107" s="155"/>
      <c r="FV107" s="155"/>
      <c r="FW107" s="155"/>
      <c r="FX107" s="155"/>
      <c r="FY107" s="155"/>
      <c r="FZ107" s="155"/>
      <c r="GA107" s="155"/>
      <c r="GB107" s="155"/>
      <c r="GC107" s="155"/>
      <c r="GD107" s="155"/>
      <c r="GE107" s="155"/>
      <c r="GF107" s="155"/>
      <c r="GG107" s="155"/>
      <c r="GH107" s="155"/>
      <c r="GI107" s="155"/>
      <c r="GJ107" s="155"/>
      <c r="GK107" s="155"/>
      <c r="GL107" s="155"/>
      <c r="GM107" s="155"/>
      <c r="GN107" s="155"/>
      <c r="GO107" s="155"/>
      <c r="GP107" s="155"/>
      <c r="GQ107" s="155"/>
      <c r="GR107" s="155"/>
      <c r="GS107" s="155"/>
      <c r="GT107" s="155"/>
      <c r="GU107" s="155"/>
      <c r="GV107" s="155"/>
      <c r="GW107" s="155"/>
      <c r="GX107" s="155"/>
      <c r="GY107" s="155"/>
      <c r="GZ107" s="155"/>
      <c r="HA107" s="155"/>
      <c r="HB107" s="155"/>
      <c r="HC107" s="155"/>
      <c r="HD107" s="155"/>
      <c r="HE107" s="155"/>
      <c r="HF107" s="155"/>
      <c r="HG107" s="155"/>
      <c r="HH107" s="155"/>
      <c r="HI107" s="155"/>
      <c r="HJ107" s="155"/>
      <c r="HK107" s="155"/>
      <c r="HL107" s="155"/>
      <c r="HM107" s="155"/>
      <c r="HN107" s="155"/>
      <c r="HO107" s="155"/>
      <c r="HP107" s="155"/>
      <c r="HQ107" s="155"/>
      <c r="HR107" s="155"/>
      <c r="HS107" s="155"/>
      <c r="HT107" s="155"/>
      <c r="HU107" s="155"/>
      <c r="HV107" s="155"/>
      <c r="HW107" s="155"/>
      <c r="HX107" s="155"/>
      <c r="HY107" s="155"/>
      <c r="HZ107" s="155"/>
      <c r="IA107" s="155"/>
      <c r="IB107" s="155"/>
      <c r="IC107" s="155"/>
      <c r="ID107" s="155"/>
      <c r="IE107" s="155"/>
      <c r="IF107" s="155"/>
      <c r="IG107" s="155"/>
      <c r="IH107" s="155"/>
      <c r="II107" s="155"/>
      <c r="IJ107" s="155"/>
      <c r="IK107" s="155"/>
      <c r="IL107" s="155"/>
      <c r="IM107" s="155"/>
      <c r="IN107" s="155"/>
      <c r="IO107" s="155"/>
    </row>
    <row r="108" spans="2:249" s="147" customFormat="1" ht="15">
      <c r="B108" s="152"/>
      <c r="C108" s="170" t="s">
        <v>641</v>
      </c>
      <c r="D108" s="189" t="s">
        <v>360</v>
      </c>
      <c r="E108" s="190"/>
      <c r="F108" s="193"/>
      <c r="G108" s="190"/>
      <c r="H108" s="199"/>
      <c r="I108" s="199"/>
      <c r="J108" s="199"/>
      <c r="K108" s="199"/>
      <c r="L108" s="199"/>
      <c r="M108" s="193"/>
      <c r="N108" s="192" t="s">
        <v>360</v>
      </c>
      <c r="O108" s="199"/>
      <c r="P108" s="201"/>
      <c r="Q108" s="199"/>
      <c r="R108" s="209"/>
      <c r="S108" s="192" t="s">
        <v>360</v>
      </c>
      <c r="T108" s="197" t="s">
        <v>360</v>
      </c>
      <c r="U108" s="197" t="s">
        <v>360</v>
      </c>
      <c r="V108" s="197" t="s">
        <v>360</v>
      </c>
      <c r="W108" s="197" t="s">
        <v>360</v>
      </c>
      <c r="X108" s="197" t="s">
        <v>360</v>
      </c>
      <c r="Y108" s="197" t="s">
        <v>360</v>
      </c>
      <c r="Z108" s="197" t="s">
        <v>360</v>
      </c>
      <c r="AA108" s="197" t="s">
        <v>360</v>
      </c>
      <c r="AB108" s="197" t="s">
        <v>360</v>
      </c>
      <c r="AC108" s="197" t="s">
        <v>360</v>
      </c>
      <c r="AD108" s="197" t="s">
        <v>360</v>
      </c>
      <c r="AE108" s="198" t="s">
        <v>360</v>
      </c>
      <c r="AF108" s="192" t="s">
        <v>360</v>
      </c>
      <c r="AG108" s="197" t="s">
        <v>360</v>
      </c>
      <c r="AH108" s="197" t="s">
        <v>360</v>
      </c>
      <c r="AI108" s="154"/>
      <c r="AJ108" s="197" t="s">
        <v>360</v>
      </c>
      <c r="AK108" s="208"/>
      <c r="AL108" s="199" t="s">
        <v>360</v>
      </c>
      <c r="AM108" s="199" t="s">
        <v>360</v>
      </c>
      <c r="AN108" s="199"/>
      <c r="AO108" s="199"/>
      <c r="AP108" s="199"/>
      <c r="AQ108" s="199" t="s">
        <v>360</v>
      </c>
      <c r="AR108" s="199" t="s">
        <v>360</v>
      </c>
      <c r="AS108" s="199" t="s">
        <v>360</v>
      </c>
      <c r="AT108" s="199" t="s">
        <v>360</v>
      </c>
      <c r="AU108" s="199" t="s">
        <v>360</v>
      </c>
      <c r="AV108" s="199"/>
      <c r="AW108" s="199"/>
      <c r="AX108" s="199"/>
      <c r="AY108" s="199" t="s">
        <v>360</v>
      </c>
      <c r="AZ108" s="199" t="s">
        <v>360</v>
      </c>
      <c r="BA108" s="199" t="s">
        <v>360</v>
      </c>
      <c r="BB108" s="199" t="s">
        <v>360</v>
      </c>
      <c r="BC108" s="199" t="s">
        <v>360</v>
      </c>
      <c r="BD108" s="199" t="s">
        <v>360</v>
      </c>
      <c r="BE108" s="199"/>
      <c r="BF108" s="199"/>
      <c r="BG108" s="199"/>
      <c r="BH108" s="199" t="s">
        <v>360</v>
      </c>
      <c r="BI108" s="199" t="s">
        <v>360</v>
      </c>
      <c r="BJ108" s="199" t="s">
        <v>360</v>
      </c>
      <c r="BK108" s="199" t="s">
        <v>360</v>
      </c>
      <c r="BL108" s="199" t="s">
        <v>360</v>
      </c>
      <c r="BM108" s="199" t="s">
        <v>360</v>
      </c>
      <c r="BN108" s="199"/>
      <c r="BO108" s="199"/>
      <c r="BP108" s="199"/>
      <c r="BQ108" s="199" t="s">
        <v>360</v>
      </c>
      <c r="BR108" s="199" t="s">
        <v>360</v>
      </c>
      <c r="BS108" s="199" t="s">
        <v>360</v>
      </c>
      <c r="BT108" s="199" t="s">
        <v>360</v>
      </c>
      <c r="BU108" s="199" t="s">
        <v>360</v>
      </c>
      <c r="BV108" s="199" t="s">
        <v>360</v>
      </c>
      <c r="BW108" s="199"/>
      <c r="BX108" s="199"/>
      <c r="BY108" s="199"/>
      <c r="BZ108" s="199" t="s">
        <v>360</v>
      </c>
      <c r="CA108" s="199" t="s">
        <v>360</v>
      </c>
      <c r="CB108" s="199" t="s">
        <v>360</v>
      </c>
      <c r="CC108" s="199" t="s">
        <v>360</v>
      </c>
      <c r="CD108" s="199" t="s">
        <v>360</v>
      </c>
      <c r="CE108" s="154"/>
      <c r="CF108" s="154"/>
      <c r="CG108" s="154"/>
      <c r="CH108" s="154"/>
      <c r="CI108" s="154"/>
      <c r="CJ108" s="154"/>
      <c r="CK108" s="154"/>
      <c r="CL108" s="154"/>
      <c r="CM108" s="154"/>
      <c r="CN108" s="154"/>
      <c r="CO108" s="154"/>
      <c r="CP108" s="154"/>
      <c r="CQ108" s="154"/>
      <c r="CR108" s="154"/>
      <c r="CS108" s="154"/>
      <c r="CT108" s="154"/>
      <c r="CU108" s="154"/>
      <c r="CV108" s="154"/>
      <c r="CW108" s="154"/>
      <c r="CX108" s="154"/>
      <c r="CY108" s="154"/>
      <c r="CZ108" s="154"/>
      <c r="DA108" s="154"/>
      <c r="DB108" s="154"/>
      <c r="DC108" s="154"/>
      <c r="DD108" s="154"/>
      <c r="DE108" s="154"/>
      <c r="DF108" s="154"/>
      <c r="DG108" s="154"/>
      <c r="DH108" s="154"/>
      <c r="DI108" s="154"/>
      <c r="DJ108" s="154"/>
      <c r="DK108" s="154"/>
      <c r="DL108" s="154"/>
      <c r="DM108" s="154"/>
      <c r="DN108" s="154"/>
      <c r="DO108" s="154"/>
      <c r="DP108" s="154"/>
      <c r="DQ108" s="154"/>
      <c r="DR108" s="154"/>
      <c r="DS108" s="154"/>
      <c r="DT108" s="154"/>
      <c r="DU108" s="154"/>
      <c r="DV108" s="154"/>
      <c r="DW108" s="154"/>
      <c r="DX108" s="154"/>
      <c r="DY108" s="154"/>
      <c r="DZ108" s="154"/>
      <c r="EA108" s="154"/>
      <c r="EB108" s="154"/>
      <c r="EC108" s="154"/>
      <c r="ED108" s="154"/>
      <c r="EE108" s="154"/>
      <c r="EF108" s="154"/>
      <c r="EG108" s="154"/>
      <c r="EH108" s="154"/>
      <c r="EI108" s="154"/>
      <c r="EJ108" s="154"/>
      <c r="EK108" s="154"/>
      <c r="EL108" s="154"/>
      <c r="EM108" s="154"/>
      <c r="EN108" s="154"/>
      <c r="EO108" s="154"/>
      <c r="EP108" s="154"/>
      <c r="EQ108" s="154"/>
      <c r="ER108" s="154"/>
      <c r="ES108" s="154"/>
      <c r="ET108" s="154"/>
      <c r="EU108" s="154"/>
      <c r="EV108" s="154"/>
      <c r="EW108" s="154"/>
      <c r="EX108" s="154"/>
      <c r="EY108" s="154"/>
      <c r="EZ108" s="154"/>
      <c r="FA108" s="154"/>
      <c r="FB108" s="154"/>
      <c r="FC108" s="154"/>
      <c r="FD108" s="154"/>
      <c r="FE108" s="154"/>
      <c r="FF108" s="154"/>
      <c r="FG108" s="154"/>
      <c r="FH108" s="154"/>
      <c r="FI108" s="154"/>
      <c r="FJ108" s="154"/>
      <c r="FK108" s="154"/>
      <c r="FL108" s="154"/>
      <c r="FM108" s="154"/>
      <c r="FN108" s="154"/>
      <c r="FO108" s="154"/>
      <c r="FP108" s="154"/>
      <c r="FQ108" s="154"/>
      <c r="FR108" s="154"/>
      <c r="FS108" s="154"/>
      <c r="FT108" s="154"/>
      <c r="FU108" s="154"/>
      <c r="FV108" s="154"/>
      <c r="FW108" s="154"/>
      <c r="FX108" s="154"/>
      <c r="FY108" s="154"/>
      <c r="FZ108" s="154"/>
      <c r="GA108" s="154"/>
      <c r="GB108" s="154"/>
      <c r="GC108" s="154"/>
      <c r="GD108" s="154"/>
      <c r="GE108" s="154"/>
      <c r="GF108" s="154"/>
      <c r="GG108" s="154"/>
      <c r="GH108" s="154"/>
      <c r="GI108" s="154"/>
      <c r="GJ108" s="154"/>
      <c r="GK108" s="154"/>
      <c r="GL108" s="154"/>
      <c r="GM108" s="154"/>
      <c r="GN108" s="154"/>
      <c r="GO108" s="154"/>
      <c r="GP108" s="154"/>
      <c r="GQ108" s="154"/>
      <c r="GR108" s="154"/>
      <c r="GS108" s="154"/>
      <c r="GT108" s="154"/>
      <c r="GU108" s="154"/>
      <c r="GV108" s="154"/>
      <c r="GW108" s="154"/>
      <c r="GX108" s="154"/>
      <c r="GY108" s="154"/>
      <c r="GZ108" s="154"/>
      <c r="HA108" s="154"/>
      <c r="HB108" s="154"/>
      <c r="HC108" s="154"/>
      <c r="HD108" s="154"/>
      <c r="HE108" s="154"/>
      <c r="HF108" s="154"/>
      <c r="HG108" s="154"/>
      <c r="HH108" s="154"/>
      <c r="HI108" s="154"/>
      <c r="HJ108" s="154"/>
      <c r="HK108" s="154"/>
      <c r="HL108" s="154"/>
      <c r="HM108" s="154"/>
      <c r="HN108" s="154"/>
      <c r="HO108" s="154"/>
      <c r="HP108" s="154"/>
      <c r="HQ108" s="154"/>
      <c r="HR108" s="154"/>
      <c r="HS108" s="154"/>
      <c r="HT108" s="154"/>
      <c r="HU108" s="154"/>
      <c r="HV108" s="154"/>
      <c r="HW108" s="154"/>
      <c r="HX108" s="154"/>
      <c r="HY108" s="154"/>
      <c r="HZ108" s="154"/>
      <c r="IA108" s="154"/>
      <c r="IB108" s="154"/>
      <c r="IC108" s="154"/>
      <c r="ID108" s="154"/>
      <c r="IE108" s="154"/>
      <c r="IF108" s="154"/>
      <c r="IG108" s="154"/>
      <c r="IH108" s="154"/>
      <c r="II108" s="154"/>
      <c r="IJ108" s="154"/>
      <c r="IK108" s="154"/>
      <c r="IL108" s="154"/>
      <c r="IM108" s="154"/>
      <c r="IN108" s="154"/>
      <c r="IO108" s="154"/>
    </row>
    <row r="109" spans="2:249" s="147" customFormat="1" ht="15">
      <c r="B109" s="152"/>
      <c r="C109" s="170" t="s">
        <v>579</v>
      </c>
      <c r="D109" s="189"/>
      <c r="E109" s="190"/>
      <c r="F109" s="193"/>
      <c r="G109" s="190"/>
      <c r="H109" s="199"/>
      <c r="I109" s="197"/>
      <c r="J109" s="197"/>
      <c r="K109" s="197"/>
      <c r="L109" s="197"/>
      <c r="M109" s="198"/>
      <c r="N109" s="202"/>
      <c r="O109" s="199"/>
      <c r="P109" s="197" t="s">
        <v>360</v>
      </c>
      <c r="Q109" s="197" t="s">
        <v>360</v>
      </c>
      <c r="R109" s="204" t="s">
        <v>360</v>
      </c>
      <c r="S109" s="185"/>
      <c r="T109" s="153"/>
      <c r="U109" s="153"/>
      <c r="V109" s="153"/>
      <c r="W109" s="153"/>
      <c r="X109" s="153"/>
      <c r="Y109" s="153"/>
      <c r="Z109" s="153"/>
      <c r="AA109" s="153"/>
      <c r="AB109" s="153"/>
      <c r="AC109" s="153"/>
      <c r="AD109" s="153"/>
      <c r="AE109" s="186"/>
      <c r="AF109" s="184"/>
      <c r="AG109" s="154"/>
      <c r="AH109" s="154"/>
      <c r="AI109" s="154"/>
      <c r="AJ109" s="154"/>
      <c r="AK109" s="208"/>
      <c r="AL109" s="199"/>
      <c r="AM109" s="199"/>
      <c r="AN109" s="199"/>
      <c r="AO109" s="199"/>
      <c r="AP109" s="199"/>
      <c r="AQ109" s="197"/>
      <c r="AR109" s="197"/>
      <c r="AS109" s="197"/>
      <c r="AT109" s="197"/>
      <c r="AU109" s="199"/>
      <c r="AV109" s="199"/>
      <c r="AW109" s="199"/>
      <c r="AX109" s="199"/>
      <c r="AY109" s="199"/>
      <c r="AZ109" s="199"/>
      <c r="BA109" s="199"/>
      <c r="BB109" s="199"/>
      <c r="BC109" s="199"/>
      <c r="BD109" s="199"/>
      <c r="BE109" s="199"/>
      <c r="BF109" s="199"/>
      <c r="BG109" s="199"/>
      <c r="BH109" s="199"/>
      <c r="BI109" s="199"/>
      <c r="BJ109" s="199"/>
      <c r="BK109" s="199"/>
      <c r="BL109" s="199"/>
      <c r="BM109" s="199"/>
      <c r="BN109" s="199"/>
      <c r="BO109" s="199"/>
      <c r="BP109" s="199"/>
      <c r="BQ109" s="199"/>
      <c r="BR109" s="199"/>
      <c r="BS109" s="199"/>
      <c r="BT109" s="199"/>
      <c r="BU109" s="199"/>
      <c r="BV109" s="199"/>
      <c r="BW109" s="199"/>
      <c r="BX109" s="199"/>
      <c r="BY109" s="199"/>
      <c r="BZ109" s="199"/>
      <c r="CA109" s="199"/>
      <c r="CB109" s="199"/>
      <c r="CC109" s="199"/>
      <c r="CD109" s="199"/>
      <c r="CE109" s="154"/>
      <c r="CF109" s="154"/>
      <c r="CG109" s="154"/>
      <c r="CH109" s="154"/>
      <c r="CI109" s="154"/>
      <c r="CJ109" s="154"/>
      <c r="CK109" s="154"/>
      <c r="CL109" s="154"/>
      <c r="CM109" s="154"/>
      <c r="CN109" s="154"/>
      <c r="CO109" s="154"/>
      <c r="CP109" s="154"/>
      <c r="CQ109" s="154"/>
      <c r="CR109" s="154"/>
      <c r="CS109" s="154"/>
      <c r="CT109" s="154"/>
      <c r="CU109" s="154"/>
      <c r="CV109" s="154"/>
      <c r="CW109" s="154"/>
      <c r="CX109" s="154"/>
      <c r="CY109" s="154"/>
      <c r="CZ109" s="154"/>
      <c r="DA109" s="154"/>
      <c r="DB109" s="154"/>
      <c r="DC109" s="154"/>
      <c r="DD109" s="154"/>
      <c r="DE109" s="154"/>
      <c r="DF109" s="154"/>
      <c r="DG109" s="154"/>
      <c r="DH109" s="154"/>
      <c r="DI109" s="154"/>
      <c r="DJ109" s="154"/>
      <c r="DK109" s="154"/>
      <c r="DL109" s="154"/>
      <c r="DM109" s="154"/>
      <c r="DN109" s="154"/>
      <c r="DO109" s="154"/>
      <c r="DP109" s="154"/>
      <c r="DQ109" s="154"/>
      <c r="DR109" s="154"/>
      <c r="DS109" s="154"/>
      <c r="DT109" s="154"/>
      <c r="DU109" s="154"/>
      <c r="DV109" s="154"/>
      <c r="DW109" s="154"/>
      <c r="DX109" s="154"/>
      <c r="DY109" s="154"/>
      <c r="DZ109" s="154"/>
      <c r="EA109" s="154"/>
      <c r="EB109" s="154"/>
      <c r="EC109" s="154"/>
      <c r="ED109" s="154"/>
      <c r="EE109" s="154"/>
      <c r="EF109" s="154"/>
      <c r="EG109" s="154"/>
      <c r="EH109" s="154"/>
      <c r="EI109" s="154"/>
      <c r="EJ109" s="154"/>
      <c r="EK109" s="154"/>
      <c r="EL109" s="154"/>
      <c r="EM109" s="154"/>
      <c r="EN109" s="154"/>
      <c r="EO109" s="154"/>
      <c r="EP109" s="154"/>
      <c r="EQ109" s="154"/>
      <c r="ER109" s="154"/>
      <c r="ES109" s="154"/>
      <c r="ET109" s="154"/>
      <c r="EU109" s="154"/>
      <c r="EV109" s="154"/>
      <c r="EW109" s="154"/>
      <c r="EX109" s="154"/>
      <c r="EY109" s="154"/>
      <c r="EZ109" s="154"/>
      <c r="FA109" s="154"/>
      <c r="FB109" s="154"/>
      <c r="FC109" s="154"/>
      <c r="FD109" s="154"/>
      <c r="FE109" s="154"/>
      <c r="FF109" s="154"/>
      <c r="FG109" s="154"/>
      <c r="FH109" s="154"/>
      <c r="FI109" s="154"/>
      <c r="FJ109" s="154"/>
      <c r="FK109" s="154"/>
      <c r="FL109" s="154"/>
      <c r="FM109" s="154"/>
      <c r="FN109" s="154"/>
      <c r="FO109" s="154"/>
      <c r="FP109" s="154"/>
      <c r="FQ109" s="154"/>
      <c r="FR109" s="154"/>
      <c r="FS109" s="154"/>
      <c r="FT109" s="154"/>
      <c r="FU109" s="154"/>
      <c r="FV109" s="154"/>
      <c r="FW109" s="154"/>
      <c r="FX109" s="154"/>
      <c r="FY109" s="154"/>
      <c r="FZ109" s="154"/>
      <c r="GA109" s="154"/>
      <c r="GB109" s="154"/>
      <c r="GC109" s="154"/>
      <c r="GD109" s="154"/>
      <c r="GE109" s="154"/>
      <c r="GF109" s="154"/>
      <c r="GG109" s="154"/>
      <c r="GH109" s="154"/>
      <c r="GI109" s="154"/>
      <c r="GJ109" s="154"/>
      <c r="GK109" s="154"/>
      <c r="GL109" s="154"/>
      <c r="GM109" s="154"/>
      <c r="GN109" s="154"/>
      <c r="GO109" s="154"/>
      <c r="GP109" s="154"/>
      <c r="GQ109" s="154"/>
      <c r="GR109" s="154"/>
      <c r="GS109" s="154"/>
      <c r="GT109" s="154"/>
      <c r="GU109" s="154"/>
      <c r="GV109" s="154"/>
      <c r="GW109" s="154"/>
      <c r="GX109" s="154"/>
      <c r="GY109" s="154"/>
      <c r="GZ109" s="154"/>
      <c r="HA109" s="154"/>
      <c r="HB109" s="154"/>
      <c r="HC109" s="154"/>
      <c r="HD109" s="154"/>
      <c r="HE109" s="154"/>
      <c r="HF109" s="154"/>
      <c r="HG109" s="154"/>
      <c r="HH109" s="154"/>
      <c r="HI109" s="154"/>
      <c r="HJ109" s="154"/>
      <c r="HK109" s="154"/>
      <c r="HL109" s="154"/>
      <c r="HM109" s="154"/>
      <c r="HN109" s="154"/>
      <c r="HO109" s="154"/>
      <c r="HP109" s="154"/>
      <c r="HQ109" s="154"/>
      <c r="HR109" s="154"/>
      <c r="HS109" s="154"/>
      <c r="HT109" s="154"/>
      <c r="HU109" s="154"/>
      <c r="HV109" s="154"/>
      <c r="HW109" s="154"/>
      <c r="HX109" s="154"/>
      <c r="HY109" s="154"/>
      <c r="HZ109" s="154"/>
      <c r="IA109" s="154"/>
      <c r="IB109" s="154"/>
      <c r="IC109" s="154"/>
      <c r="ID109" s="154"/>
      <c r="IE109" s="154"/>
      <c r="IF109" s="154"/>
      <c r="IG109" s="154"/>
      <c r="IH109" s="154"/>
      <c r="II109" s="154"/>
      <c r="IJ109" s="154"/>
      <c r="IK109" s="154"/>
      <c r="IL109" s="154"/>
      <c r="IM109" s="154"/>
      <c r="IN109" s="154"/>
      <c r="IO109" s="154"/>
    </row>
    <row r="110" spans="2:249" s="147" customFormat="1" ht="15">
      <c r="B110" s="152"/>
      <c r="C110" s="170" t="s">
        <v>645</v>
      </c>
      <c r="D110" s="189"/>
      <c r="E110" s="190"/>
      <c r="F110" s="193"/>
      <c r="G110" s="190"/>
      <c r="H110" s="199"/>
      <c r="I110" s="197"/>
      <c r="J110" s="197"/>
      <c r="K110" s="197"/>
      <c r="L110" s="197"/>
      <c r="M110" s="198"/>
      <c r="N110" s="202"/>
      <c r="O110" s="199" t="s">
        <v>360</v>
      </c>
      <c r="P110" s="197"/>
      <c r="Q110" s="199"/>
      <c r="R110" s="209"/>
      <c r="S110" s="185"/>
      <c r="T110" s="153"/>
      <c r="U110" s="153"/>
      <c r="V110" s="153"/>
      <c r="W110" s="153"/>
      <c r="X110" s="153"/>
      <c r="Y110" s="153"/>
      <c r="Z110" s="153"/>
      <c r="AA110" s="153"/>
      <c r="AB110" s="153"/>
      <c r="AC110" s="153"/>
      <c r="AD110" s="153"/>
      <c r="AE110" s="186"/>
      <c r="AF110" s="184"/>
      <c r="AG110" s="154"/>
      <c r="AH110" s="154"/>
      <c r="AI110" s="154"/>
      <c r="AJ110" s="154"/>
      <c r="AK110" s="208"/>
      <c r="AL110" s="199"/>
      <c r="AM110" s="199"/>
      <c r="AN110" s="199"/>
      <c r="AO110" s="199"/>
      <c r="AP110" s="199"/>
      <c r="AQ110" s="197"/>
      <c r="AR110" s="197"/>
      <c r="AS110" s="197"/>
      <c r="AT110" s="197"/>
      <c r="AU110" s="199"/>
      <c r="AV110" s="199"/>
      <c r="AW110" s="199"/>
      <c r="AX110" s="199"/>
      <c r="AY110" s="199"/>
      <c r="AZ110" s="199"/>
      <c r="BA110" s="199"/>
      <c r="BB110" s="199"/>
      <c r="BC110" s="199"/>
      <c r="BD110" s="199"/>
      <c r="BE110" s="199"/>
      <c r="BF110" s="199"/>
      <c r="BG110" s="199"/>
      <c r="BH110" s="199"/>
      <c r="BI110" s="199"/>
      <c r="BJ110" s="199"/>
      <c r="BK110" s="199"/>
      <c r="BL110" s="199"/>
      <c r="BM110" s="199"/>
      <c r="BN110" s="199"/>
      <c r="BO110" s="199"/>
      <c r="BP110" s="199"/>
      <c r="BQ110" s="199"/>
      <c r="BR110" s="199"/>
      <c r="BS110" s="199"/>
      <c r="BT110" s="199"/>
      <c r="BU110" s="199"/>
      <c r="BV110" s="199"/>
      <c r="BW110" s="199"/>
      <c r="BX110" s="199"/>
      <c r="BY110" s="199"/>
      <c r="BZ110" s="199"/>
      <c r="CA110" s="199"/>
      <c r="CB110" s="199"/>
      <c r="CC110" s="199"/>
      <c r="CD110" s="199"/>
      <c r="CE110" s="154"/>
      <c r="CF110" s="154"/>
      <c r="CG110" s="154"/>
      <c r="CH110" s="154"/>
      <c r="CI110" s="154"/>
      <c r="CJ110" s="154"/>
      <c r="CK110" s="154"/>
      <c r="CL110" s="154"/>
      <c r="CM110" s="154"/>
      <c r="CN110" s="154"/>
      <c r="CO110" s="154"/>
      <c r="CP110" s="154"/>
      <c r="CQ110" s="154"/>
      <c r="CR110" s="154"/>
      <c r="CS110" s="154"/>
      <c r="CT110" s="154"/>
      <c r="CU110" s="154"/>
      <c r="CV110" s="154"/>
      <c r="CW110" s="154"/>
      <c r="CX110" s="154"/>
      <c r="CY110" s="154"/>
      <c r="CZ110" s="154"/>
      <c r="DA110" s="154"/>
      <c r="DB110" s="154"/>
      <c r="DC110" s="154"/>
      <c r="DD110" s="154"/>
      <c r="DE110" s="154"/>
      <c r="DF110" s="154"/>
      <c r="DG110" s="154"/>
      <c r="DH110" s="154"/>
      <c r="DI110" s="154"/>
      <c r="DJ110" s="154"/>
      <c r="DK110" s="154"/>
      <c r="DL110" s="154"/>
      <c r="DM110" s="154"/>
      <c r="DN110" s="154"/>
      <c r="DO110" s="154"/>
      <c r="DP110" s="154"/>
      <c r="DQ110" s="154"/>
      <c r="DR110" s="154"/>
      <c r="DS110" s="154"/>
      <c r="DT110" s="154"/>
      <c r="DU110" s="154"/>
      <c r="DV110" s="154"/>
      <c r="DW110" s="154"/>
      <c r="DX110" s="154"/>
      <c r="DY110" s="154"/>
      <c r="DZ110" s="154"/>
      <c r="EA110" s="154"/>
      <c r="EB110" s="154"/>
      <c r="EC110" s="154"/>
      <c r="ED110" s="154"/>
      <c r="EE110" s="154"/>
      <c r="EF110" s="154"/>
      <c r="EG110" s="154"/>
      <c r="EH110" s="154"/>
      <c r="EI110" s="154"/>
      <c r="EJ110" s="154"/>
      <c r="EK110" s="154"/>
      <c r="EL110" s="154"/>
      <c r="EM110" s="154"/>
      <c r="EN110" s="154"/>
      <c r="EO110" s="154"/>
      <c r="EP110" s="154"/>
      <c r="EQ110" s="154"/>
      <c r="ER110" s="154"/>
      <c r="ES110" s="154"/>
      <c r="ET110" s="154"/>
      <c r="EU110" s="154"/>
      <c r="EV110" s="154"/>
      <c r="EW110" s="154"/>
      <c r="EX110" s="154"/>
      <c r="EY110" s="154"/>
      <c r="EZ110" s="154"/>
      <c r="FA110" s="154"/>
      <c r="FB110" s="154"/>
      <c r="FC110" s="154"/>
      <c r="FD110" s="154"/>
      <c r="FE110" s="154"/>
      <c r="FF110" s="154"/>
      <c r="FG110" s="154"/>
      <c r="FH110" s="154"/>
      <c r="FI110" s="154"/>
      <c r="FJ110" s="154"/>
      <c r="FK110" s="154"/>
      <c r="FL110" s="154"/>
      <c r="FM110" s="154"/>
      <c r="FN110" s="154"/>
      <c r="FO110" s="154"/>
      <c r="FP110" s="154"/>
      <c r="FQ110" s="154"/>
      <c r="FR110" s="154"/>
      <c r="FS110" s="154"/>
      <c r="FT110" s="154"/>
      <c r="FU110" s="154"/>
      <c r="FV110" s="154"/>
      <c r="FW110" s="154"/>
      <c r="FX110" s="154"/>
      <c r="FY110" s="154"/>
      <c r="FZ110" s="154"/>
      <c r="GA110" s="154"/>
      <c r="GB110" s="154"/>
      <c r="GC110" s="154"/>
      <c r="GD110" s="154"/>
      <c r="GE110" s="154"/>
      <c r="GF110" s="154"/>
      <c r="GG110" s="154"/>
      <c r="GH110" s="154"/>
      <c r="GI110" s="154"/>
      <c r="GJ110" s="154"/>
      <c r="GK110" s="154"/>
      <c r="GL110" s="154"/>
      <c r="GM110" s="154"/>
      <c r="GN110" s="154"/>
      <c r="GO110" s="154"/>
      <c r="GP110" s="154"/>
      <c r="GQ110" s="154"/>
      <c r="GR110" s="154"/>
      <c r="GS110" s="154"/>
      <c r="GT110" s="154"/>
      <c r="GU110" s="154"/>
      <c r="GV110" s="154"/>
      <c r="GW110" s="154"/>
      <c r="GX110" s="154"/>
      <c r="GY110" s="154"/>
      <c r="GZ110" s="154"/>
      <c r="HA110" s="154"/>
      <c r="HB110" s="154"/>
      <c r="HC110" s="154"/>
      <c r="HD110" s="154"/>
      <c r="HE110" s="154"/>
      <c r="HF110" s="154"/>
      <c r="HG110" s="154"/>
      <c r="HH110" s="154"/>
      <c r="HI110" s="154"/>
      <c r="HJ110" s="154"/>
      <c r="HK110" s="154"/>
      <c r="HL110" s="154"/>
      <c r="HM110" s="154"/>
      <c r="HN110" s="154"/>
      <c r="HO110" s="154"/>
      <c r="HP110" s="154"/>
      <c r="HQ110" s="154"/>
      <c r="HR110" s="154"/>
      <c r="HS110" s="154"/>
      <c r="HT110" s="154"/>
      <c r="HU110" s="154"/>
      <c r="HV110" s="154"/>
      <c r="HW110" s="154"/>
      <c r="HX110" s="154"/>
      <c r="HY110" s="154"/>
      <c r="HZ110" s="154"/>
      <c r="IA110" s="154"/>
      <c r="IB110" s="154"/>
      <c r="IC110" s="154"/>
      <c r="ID110" s="154"/>
      <c r="IE110" s="154"/>
      <c r="IF110" s="154"/>
      <c r="IG110" s="154"/>
      <c r="IH110" s="154"/>
      <c r="II110" s="154"/>
      <c r="IJ110" s="154"/>
      <c r="IK110" s="154"/>
      <c r="IL110" s="154"/>
      <c r="IM110" s="154"/>
      <c r="IN110" s="154"/>
      <c r="IO110" s="154"/>
    </row>
    <row r="111" spans="2:249" s="147" customFormat="1" ht="15">
      <c r="B111" s="152"/>
      <c r="C111" s="170" t="s">
        <v>581</v>
      </c>
      <c r="D111" s="191"/>
      <c r="E111" s="192"/>
      <c r="F111" s="193"/>
      <c r="G111" s="192"/>
      <c r="H111" s="197"/>
      <c r="I111" s="197"/>
      <c r="J111" s="197"/>
      <c r="K111" s="197"/>
      <c r="L111" s="197"/>
      <c r="M111" s="198"/>
      <c r="N111" s="185"/>
      <c r="O111" s="153"/>
      <c r="P111" s="153"/>
      <c r="Q111" s="153"/>
      <c r="R111" s="206"/>
      <c r="S111" s="185"/>
      <c r="T111" s="153"/>
      <c r="U111" s="153"/>
      <c r="V111" s="153"/>
      <c r="W111" s="153"/>
      <c r="X111" s="153"/>
      <c r="Y111" s="153"/>
      <c r="Z111" s="153"/>
      <c r="AA111" s="153"/>
      <c r="AB111" s="153"/>
      <c r="AC111" s="153"/>
      <c r="AD111" s="153"/>
      <c r="AE111" s="186"/>
      <c r="AF111" s="185"/>
      <c r="AG111" s="153"/>
      <c r="AH111" s="153"/>
      <c r="AI111" s="197" t="s">
        <v>360</v>
      </c>
      <c r="AJ111" s="153"/>
      <c r="AK111" s="204" t="s">
        <v>360</v>
      </c>
      <c r="AL111" s="197"/>
      <c r="AM111" s="197"/>
      <c r="AN111" s="199"/>
      <c r="AO111" s="197"/>
      <c r="AP111" s="197"/>
      <c r="AQ111" s="197"/>
      <c r="AR111" s="197"/>
      <c r="AS111" s="197"/>
      <c r="AT111" s="197"/>
      <c r="AU111" s="197"/>
      <c r="AV111" s="197"/>
      <c r="AW111" s="199"/>
      <c r="AX111" s="197"/>
      <c r="AY111" s="197"/>
      <c r="AZ111" s="197"/>
      <c r="BA111" s="197"/>
      <c r="BB111" s="197"/>
      <c r="BC111" s="197"/>
      <c r="BD111" s="197"/>
      <c r="BE111" s="197"/>
      <c r="BF111" s="199"/>
      <c r="BG111" s="197"/>
      <c r="BH111" s="197"/>
      <c r="BI111" s="197"/>
      <c r="BJ111" s="197"/>
      <c r="BK111" s="197"/>
      <c r="BL111" s="197"/>
      <c r="BM111" s="197"/>
      <c r="BN111" s="197"/>
      <c r="BO111" s="199"/>
      <c r="BP111" s="197"/>
      <c r="BQ111" s="197"/>
      <c r="BR111" s="197"/>
      <c r="BS111" s="197"/>
      <c r="BT111" s="197"/>
      <c r="BU111" s="197"/>
      <c r="BV111" s="197"/>
      <c r="BW111" s="197"/>
      <c r="BX111" s="199"/>
      <c r="BY111" s="197"/>
      <c r="BZ111" s="197"/>
      <c r="CA111" s="197"/>
      <c r="CB111" s="197"/>
      <c r="CC111" s="197"/>
      <c r="CD111" s="197"/>
      <c r="CE111" s="197"/>
      <c r="CF111" s="197"/>
      <c r="CG111" s="197"/>
      <c r="CH111" s="197"/>
      <c r="CI111" s="197"/>
      <c r="CJ111" s="197"/>
      <c r="CK111" s="197"/>
      <c r="CL111" s="197"/>
      <c r="CM111" s="197"/>
      <c r="CN111" s="197"/>
      <c r="CO111" s="197"/>
      <c r="CP111" s="197"/>
      <c r="CQ111" s="197"/>
      <c r="CR111" s="197"/>
      <c r="CS111" s="197"/>
      <c r="CT111" s="197"/>
      <c r="CU111" s="197"/>
      <c r="CV111" s="197"/>
      <c r="CW111" s="197"/>
      <c r="CX111" s="197"/>
      <c r="CY111" s="197"/>
      <c r="CZ111" s="197"/>
      <c r="DA111" s="197"/>
      <c r="DB111" s="197"/>
      <c r="DC111" s="197"/>
      <c r="DD111" s="197"/>
      <c r="DE111" s="197"/>
      <c r="DF111" s="197"/>
      <c r="DG111" s="197"/>
      <c r="DH111" s="197"/>
      <c r="DI111" s="197"/>
      <c r="DJ111" s="197"/>
      <c r="DK111" s="197"/>
      <c r="DL111" s="197"/>
      <c r="DM111" s="197"/>
      <c r="DN111" s="197"/>
      <c r="DO111" s="197"/>
      <c r="DP111" s="197"/>
      <c r="DQ111" s="197"/>
      <c r="DR111" s="197"/>
      <c r="DS111" s="197"/>
      <c r="DT111" s="197"/>
      <c r="DU111" s="197"/>
      <c r="DV111" s="197"/>
      <c r="DW111" s="197"/>
      <c r="DX111" s="197"/>
      <c r="DY111" s="197"/>
      <c r="DZ111" s="197"/>
      <c r="EA111" s="197"/>
      <c r="EB111" s="197"/>
      <c r="EC111" s="197"/>
      <c r="ED111" s="197"/>
      <c r="EE111" s="197"/>
      <c r="EF111" s="197"/>
      <c r="EG111" s="197"/>
      <c r="EH111" s="197"/>
      <c r="EI111" s="197"/>
      <c r="EJ111" s="197"/>
      <c r="EK111" s="197"/>
      <c r="EL111" s="197"/>
      <c r="EM111" s="197"/>
      <c r="EN111" s="197"/>
      <c r="EO111" s="197"/>
      <c r="EP111" s="197"/>
      <c r="EQ111" s="197"/>
      <c r="ER111" s="197"/>
      <c r="ES111" s="197"/>
      <c r="ET111" s="197"/>
      <c r="EU111" s="197"/>
      <c r="EV111" s="197"/>
      <c r="EW111" s="197"/>
      <c r="EX111" s="197"/>
      <c r="EY111" s="197"/>
      <c r="EZ111" s="197"/>
      <c r="FA111" s="197"/>
      <c r="FB111" s="197"/>
      <c r="FC111" s="197"/>
      <c r="FD111" s="197"/>
      <c r="FE111" s="197"/>
      <c r="FF111" s="197"/>
      <c r="FG111" s="197"/>
      <c r="FH111" s="197"/>
      <c r="FI111" s="197"/>
      <c r="FJ111" s="197"/>
      <c r="FK111" s="197"/>
      <c r="FL111" s="197"/>
      <c r="FM111" s="197"/>
      <c r="FN111" s="197"/>
      <c r="FO111" s="197"/>
      <c r="FP111" s="197"/>
      <c r="FQ111" s="197"/>
      <c r="FR111" s="197"/>
      <c r="FS111" s="197"/>
      <c r="FT111" s="197"/>
      <c r="FU111" s="197"/>
      <c r="FV111" s="197"/>
      <c r="FW111" s="197"/>
      <c r="FX111" s="197"/>
      <c r="FY111" s="197"/>
      <c r="FZ111" s="197"/>
      <c r="GA111" s="197"/>
      <c r="GB111" s="197"/>
      <c r="GC111" s="197"/>
      <c r="GD111" s="197"/>
      <c r="GE111" s="197"/>
      <c r="GF111" s="197"/>
      <c r="GG111" s="197"/>
      <c r="GH111" s="197"/>
      <c r="GI111" s="197"/>
      <c r="GJ111" s="197"/>
      <c r="GK111" s="197"/>
      <c r="GL111" s="197"/>
      <c r="GM111" s="197"/>
      <c r="GN111" s="197"/>
      <c r="GO111" s="197"/>
      <c r="GP111" s="197"/>
      <c r="GQ111" s="197"/>
      <c r="GR111" s="197"/>
      <c r="GS111" s="197"/>
      <c r="GT111" s="197"/>
      <c r="GU111" s="197"/>
      <c r="GV111" s="197"/>
      <c r="GW111" s="197"/>
      <c r="GX111" s="197"/>
      <c r="GY111" s="197"/>
      <c r="GZ111" s="197"/>
      <c r="HA111" s="197"/>
      <c r="HB111" s="197"/>
      <c r="HC111" s="197"/>
      <c r="HD111" s="197"/>
      <c r="HE111" s="197"/>
      <c r="HF111" s="197"/>
      <c r="HG111" s="197"/>
      <c r="HH111" s="197"/>
      <c r="HI111" s="197"/>
      <c r="HJ111" s="197"/>
      <c r="HK111" s="197"/>
      <c r="HL111" s="197"/>
      <c r="HM111" s="197"/>
      <c r="HN111" s="197"/>
      <c r="HO111" s="197"/>
      <c r="HP111" s="197"/>
      <c r="HQ111" s="197"/>
      <c r="HR111" s="197"/>
      <c r="HS111" s="197"/>
      <c r="HT111" s="197"/>
      <c r="HU111" s="197"/>
      <c r="HV111" s="197"/>
      <c r="HW111" s="197"/>
      <c r="HX111" s="197"/>
      <c r="HY111" s="197"/>
      <c r="HZ111" s="197"/>
      <c r="IA111" s="197"/>
      <c r="IB111" s="197"/>
      <c r="IC111" s="197"/>
      <c r="ID111" s="197"/>
      <c r="IE111" s="197"/>
      <c r="IF111" s="197"/>
      <c r="IG111" s="197"/>
      <c r="IH111" s="197"/>
      <c r="II111" s="197"/>
      <c r="IJ111" s="197"/>
      <c r="IK111" s="197"/>
      <c r="IL111" s="197"/>
      <c r="IM111" s="197"/>
      <c r="IN111" s="197"/>
      <c r="IO111" s="197"/>
    </row>
    <row r="112" spans="2:249" s="147" customFormat="1" ht="15">
      <c r="B112" s="152"/>
      <c r="C112" s="170" t="s">
        <v>584</v>
      </c>
      <c r="D112" s="191"/>
      <c r="E112" s="192"/>
      <c r="F112" s="193"/>
      <c r="G112" s="192"/>
      <c r="H112" s="197"/>
      <c r="I112" s="197" t="s">
        <v>360</v>
      </c>
      <c r="J112" s="197"/>
      <c r="K112" s="197"/>
      <c r="L112" s="197"/>
      <c r="M112" s="198"/>
      <c r="N112" s="185"/>
      <c r="O112" s="153"/>
      <c r="P112" s="153"/>
      <c r="Q112" s="153"/>
      <c r="R112" s="206"/>
      <c r="S112" s="185"/>
      <c r="T112" s="153"/>
      <c r="U112" s="153"/>
      <c r="V112" s="153"/>
      <c r="W112" s="153"/>
      <c r="X112" s="153"/>
      <c r="Y112" s="153"/>
      <c r="Z112" s="153"/>
      <c r="AA112" s="153"/>
      <c r="AB112" s="153"/>
      <c r="AC112" s="153"/>
      <c r="AD112" s="153"/>
      <c r="AE112" s="186"/>
      <c r="AF112" s="185"/>
      <c r="AG112" s="153"/>
      <c r="AH112" s="153"/>
      <c r="AI112" s="197"/>
      <c r="AJ112" s="153"/>
      <c r="AK112" s="204"/>
      <c r="AL112" s="197"/>
      <c r="AM112" s="197"/>
      <c r="AN112" s="199"/>
      <c r="AO112" s="197"/>
      <c r="AP112" s="197"/>
      <c r="AQ112" s="197"/>
      <c r="AR112" s="197"/>
      <c r="AS112" s="197"/>
      <c r="AT112" s="197"/>
      <c r="AU112" s="197"/>
      <c r="AV112" s="197"/>
      <c r="AW112" s="199"/>
      <c r="AX112" s="197"/>
      <c r="AY112" s="197"/>
      <c r="AZ112" s="197"/>
      <c r="BA112" s="197"/>
      <c r="BB112" s="197"/>
      <c r="BC112" s="197"/>
      <c r="BD112" s="197"/>
      <c r="BE112" s="197"/>
      <c r="BF112" s="199"/>
      <c r="BG112" s="197"/>
      <c r="BH112" s="197"/>
      <c r="BI112" s="197"/>
      <c r="BJ112" s="197"/>
      <c r="BK112" s="197"/>
      <c r="BL112" s="197"/>
      <c r="BM112" s="197"/>
      <c r="BN112" s="197"/>
      <c r="BO112" s="199"/>
      <c r="BP112" s="197"/>
      <c r="BQ112" s="197"/>
      <c r="BR112" s="197"/>
      <c r="BS112" s="197"/>
      <c r="BT112" s="197"/>
      <c r="BU112" s="197"/>
      <c r="BV112" s="197"/>
      <c r="BW112" s="197"/>
      <c r="BX112" s="199"/>
      <c r="BY112" s="197"/>
      <c r="BZ112" s="197"/>
      <c r="CA112" s="197"/>
      <c r="CB112" s="197"/>
      <c r="CC112" s="197"/>
      <c r="CD112" s="197"/>
      <c r="CE112" s="197"/>
      <c r="CF112" s="197"/>
      <c r="CG112" s="197"/>
      <c r="CH112" s="197"/>
      <c r="CI112" s="197"/>
      <c r="CJ112" s="197"/>
      <c r="CK112" s="197"/>
      <c r="CL112" s="197"/>
      <c r="CM112" s="197"/>
      <c r="CN112" s="197"/>
      <c r="CO112" s="197"/>
      <c r="CP112" s="197"/>
      <c r="CQ112" s="197"/>
      <c r="CR112" s="197"/>
      <c r="CS112" s="197"/>
      <c r="CT112" s="197"/>
      <c r="CU112" s="197"/>
      <c r="CV112" s="197"/>
      <c r="CW112" s="197"/>
      <c r="CX112" s="197"/>
      <c r="CY112" s="197"/>
      <c r="CZ112" s="197"/>
      <c r="DA112" s="197"/>
      <c r="DB112" s="197"/>
      <c r="DC112" s="197"/>
      <c r="DD112" s="197"/>
      <c r="DE112" s="197"/>
      <c r="DF112" s="197"/>
      <c r="DG112" s="197"/>
      <c r="DH112" s="197"/>
      <c r="DI112" s="197"/>
      <c r="DJ112" s="197"/>
      <c r="DK112" s="197"/>
      <c r="DL112" s="197"/>
      <c r="DM112" s="197"/>
      <c r="DN112" s="197"/>
      <c r="DO112" s="197"/>
      <c r="DP112" s="197"/>
      <c r="DQ112" s="197"/>
      <c r="DR112" s="197"/>
      <c r="DS112" s="197"/>
      <c r="DT112" s="197"/>
      <c r="DU112" s="197"/>
      <c r="DV112" s="197"/>
      <c r="DW112" s="197"/>
      <c r="DX112" s="197"/>
      <c r="DY112" s="197"/>
      <c r="DZ112" s="197"/>
      <c r="EA112" s="197"/>
      <c r="EB112" s="197"/>
      <c r="EC112" s="197"/>
      <c r="ED112" s="197"/>
      <c r="EE112" s="197"/>
      <c r="EF112" s="197"/>
      <c r="EG112" s="197"/>
      <c r="EH112" s="197"/>
      <c r="EI112" s="197"/>
      <c r="EJ112" s="197"/>
      <c r="EK112" s="197"/>
      <c r="EL112" s="197"/>
      <c r="EM112" s="197"/>
      <c r="EN112" s="197"/>
      <c r="EO112" s="197"/>
      <c r="EP112" s="197"/>
      <c r="EQ112" s="197"/>
      <c r="ER112" s="197"/>
      <c r="ES112" s="197"/>
      <c r="ET112" s="197"/>
      <c r="EU112" s="197"/>
      <c r="EV112" s="197"/>
      <c r="EW112" s="197"/>
      <c r="EX112" s="197"/>
      <c r="EY112" s="197"/>
      <c r="EZ112" s="197"/>
      <c r="FA112" s="197"/>
      <c r="FB112" s="197"/>
      <c r="FC112" s="197"/>
      <c r="FD112" s="197"/>
      <c r="FE112" s="197"/>
      <c r="FF112" s="197"/>
      <c r="FG112" s="197"/>
      <c r="FH112" s="197"/>
      <c r="FI112" s="197"/>
      <c r="FJ112" s="197"/>
      <c r="FK112" s="197"/>
      <c r="FL112" s="197"/>
      <c r="FM112" s="197"/>
      <c r="FN112" s="197"/>
      <c r="FO112" s="197"/>
      <c r="FP112" s="197"/>
      <c r="FQ112" s="197"/>
      <c r="FR112" s="197"/>
      <c r="FS112" s="197"/>
      <c r="FT112" s="197"/>
      <c r="FU112" s="197"/>
      <c r="FV112" s="197"/>
      <c r="FW112" s="197"/>
      <c r="FX112" s="197"/>
      <c r="FY112" s="197"/>
      <c r="FZ112" s="197"/>
      <c r="GA112" s="197"/>
      <c r="GB112" s="197"/>
      <c r="GC112" s="197"/>
      <c r="GD112" s="197"/>
      <c r="GE112" s="197"/>
      <c r="GF112" s="197"/>
      <c r="GG112" s="197"/>
      <c r="GH112" s="197"/>
      <c r="GI112" s="197"/>
      <c r="GJ112" s="197"/>
      <c r="GK112" s="197"/>
      <c r="GL112" s="197"/>
      <c r="GM112" s="197"/>
      <c r="GN112" s="197"/>
      <c r="GO112" s="197"/>
      <c r="GP112" s="197"/>
      <c r="GQ112" s="197"/>
      <c r="GR112" s="197"/>
      <c r="GS112" s="197"/>
      <c r="GT112" s="197"/>
      <c r="GU112" s="197"/>
      <c r="GV112" s="197"/>
      <c r="GW112" s="197"/>
      <c r="GX112" s="197"/>
      <c r="GY112" s="197"/>
      <c r="GZ112" s="197"/>
      <c r="HA112" s="197"/>
      <c r="HB112" s="197"/>
      <c r="HC112" s="197"/>
      <c r="HD112" s="197"/>
      <c r="HE112" s="197"/>
      <c r="HF112" s="197"/>
      <c r="HG112" s="197"/>
      <c r="HH112" s="197"/>
      <c r="HI112" s="197"/>
      <c r="HJ112" s="197"/>
      <c r="HK112" s="197"/>
      <c r="HL112" s="197"/>
      <c r="HM112" s="197"/>
      <c r="HN112" s="197"/>
      <c r="HO112" s="197"/>
      <c r="HP112" s="197"/>
      <c r="HQ112" s="197"/>
      <c r="HR112" s="197"/>
      <c r="HS112" s="197"/>
      <c r="HT112" s="197"/>
      <c r="HU112" s="197"/>
      <c r="HV112" s="197"/>
      <c r="HW112" s="197"/>
      <c r="HX112" s="197"/>
      <c r="HY112" s="197"/>
      <c r="HZ112" s="197"/>
      <c r="IA112" s="197"/>
      <c r="IB112" s="197"/>
      <c r="IC112" s="197"/>
      <c r="ID112" s="197"/>
      <c r="IE112" s="197"/>
      <c r="IF112" s="197"/>
      <c r="IG112" s="197"/>
      <c r="IH112" s="197"/>
      <c r="II112" s="197"/>
      <c r="IJ112" s="197"/>
      <c r="IK112" s="197"/>
      <c r="IL112" s="197"/>
      <c r="IM112" s="197"/>
      <c r="IN112" s="197"/>
      <c r="IO112" s="197"/>
    </row>
    <row r="113" spans="2:249" s="147" customFormat="1" ht="15">
      <c r="B113" s="152"/>
      <c r="C113" s="170" t="s">
        <v>643</v>
      </c>
      <c r="D113" s="189"/>
      <c r="E113" s="190"/>
      <c r="F113" s="193"/>
      <c r="G113" s="190"/>
      <c r="H113" s="199"/>
      <c r="I113" s="197"/>
      <c r="J113" s="197"/>
      <c r="K113" s="197"/>
      <c r="L113" s="197"/>
      <c r="M113" s="198"/>
      <c r="N113" s="202"/>
      <c r="O113" s="199"/>
      <c r="P113" s="197"/>
      <c r="Q113" s="199"/>
      <c r="R113" s="209"/>
      <c r="S113" s="185"/>
      <c r="T113" s="153"/>
      <c r="U113" s="153"/>
      <c r="V113" s="153"/>
      <c r="W113" s="153"/>
      <c r="X113" s="153"/>
      <c r="Y113" s="153"/>
      <c r="Z113" s="153"/>
      <c r="AA113" s="153"/>
      <c r="AB113" s="153"/>
      <c r="AC113" s="153"/>
      <c r="AD113" s="153"/>
      <c r="AE113" s="186"/>
      <c r="AF113" s="184"/>
      <c r="AG113" s="154"/>
      <c r="AH113" s="154"/>
      <c r="AI113" s="154"/>
      <c r="AJ113" s="154"/>
      <c r="AK113" s="208"/>
      <c r="AL113" s="199"/>
      <c r="AM113" s="199"/>
      <c r="AN113" s="199" t="s">
        <v>360</v>
      </c>
      <c r="AO113" s="199" t="s">
        <v>360</v>
      </c>
      <c r="AP113" s="199" t="s">
        <v>360</v>
      </c>
      <c r="AQ113" s="197"/>
      <c r="AR113" s="197"/>
      <c r="AS113" s="197"/>
      <c r="AT113" s="197"/>
      <c r="AU113" s="199"/>
      <c r="AV113" s="199" t="s">
        <v>360</v>
      </c>
      <c r="AW113" s="199" t="s">
        <v>360</v>
      </c>
      <c r="AX113" s="199" t="s">
        <v>360</v>
      </c>
      <c r="AY113" s="199"/>
      <c r="AZ113" s="199"/>
      <c r="BA113" s="199"/>
      <c r="BB113" s="199"/>
      <c r="BC113" s="199"/>
      <c r="BD113" s="199"/>
      <c r="BE113" s="199" t="s">
        <v>360</v>
      </c>
      <c r="BF113" s="199" t="s">
        <v>360</v>
      </c>
      <c r="BG113" s="199" t="s">
        <v>360</v>
      </c>
      <c r="BH113" s="199"/>
      <c r="BI113" s="199"/>
      <c r="BJ113" s="199"/>
      <c r="BK113" s="199"/>
      <c r="BL113" s="199"/>
      <c r="BM113" s="199"/>
      <c r="BN113" s="199" t="s">
        <v>360</v>
      </c>
      <c r="BO113" s="199" t="s">
        <v>360</v>
      </c>
      <c r="BP113" s="199" t="s">
        <v>360</v>
      </c>
      <c r="BQ113" s="199"/>
      <c r="BR113" s="199"/>
      <c r="BS113" s="199"/>
      <c r="BT113" s="199"/>
      <c r="BU113" s="199"/>
      <c r="BV113" s="199"/>
      <c r="BW113" s="199" t="s">
        <v>360</v>
      </c>
      <c r="BX113" s="199" t="s">
        <v>360</v>
      </c>
      <c r="BY113" s="199" t="s">
        <v>360</v>
      </c>
      <c r="BZ113" s="199"/>
      <c r="CA113" s="199"/>
      <c r="CB113" s="199"/>
      <c r="CC113" s="199"/>
      <c r="CD113" s="199"/>
      <c r="CE113" s="154"/>
      <c r="CF113" s="154"/>
      <c r="CG113" s="154"/>
      <c r="CH113" s="154"/>
      <c r="CI113" s="154"/>
      <c r="CJ113" s="154"/>
      <c r="CK113" s="154"/>
      <c r="CL113" s="154"/>
      <c r="CM113" s="154"/>
      <c r="CN113" s="154"/>
      <c r="CO113" s="154"/>
      <c r="CP113" s="154"/>
      <c r="CQ113" s="154"/>
      <c r="CR113" s="154"/>
      <c r="CS113" s="154"/>
      <c r="CT113" s="154"/>
      <c r="CU113" s="154"/>
      <c r="CV113" s="154"/>
      <c r="CW113" s="154"/>
      <c r="CX113" s="154"/>
      <c r="CY113" s="154"/>
      <c r="CZ113" s="154"/>
      <c r="DA113" s="154"/>
      <c r="DB113" s="154"/>
      <c r="DC113" s="154"/>
      <c r="DD113" s="154"/>
      <c r="DE113" s="154"/>
      <c r="DF113" s="154"/>
      <c r="DG113" s="154"/>
      <c r="DH113" s="154"/>
      <c r="DI113" s="154"/>
      <c r="DJ113" s="154"/>
      <c r="DK113" s="154"/>
      <c r="DL113" s="154"/>
      <c r="DM113" s="154"/>
      <c r="DN113" s="154"/>
      <c r="DO113" s="154"/>
      <c r="DP113" s="154"/>
      <c r="DQ113" s="154"/>
      <c r="DR113" s="154"/>
      <c r="DS113" s="154"/>
      <c r="DT113" s="154"/>
      <c r="DU113" s="154"/>
      <c r="DV113" s="154"/>
      <c r="DW113" s="154"/>
      <c r="DX113" s="154"/>
      <c r="DY113" s="154"/>
      <c r="DZ113" s="154"/>
      <c r="EA113" s="154"/>
      <c r="EB113" s="154"/>
      <c r="EC113" s="154"/>
      <c r="ED113" s="154"/>
      <c r="EE113" s="154"/>
      <c r="EF113" s="154"/>
      <c r="EG113" s="154"/>
      <c r="EH113" s="154"/>
      <c r="EI113" s="154"/>
      <c r="EJ113" s="154"/>
      <c r="EK113" s="154"/>
      <c r="EL113" s="154"/>
      <c r="EM113" s="154"/>
      <c r="EN113" s="154"/>
      <c r="EO113" s="154"/>
      <c r="EP113" s="154"/>
      <c r="EQ113" s="154"/>
      <c r="ER113" s="154"/>
      <c r="ES113" s="154"/>
      <c r="ET113" s="154"/>
      <c r="EU113" s="154"/>
      <c r="EV113" s="154"/>
      <c r="EW113" s="154"/>
      <c r="EX113" s="154"/>
      <c r="EY113" s="154"/>
      <c r="EZ113" s="154"/>
      <c r="FA113" s="154"/>
      <c r="FB113" s="154"/>
      <c r="FC113" s="154"/>
      <c r="FD113" s="154"/>
      <c r="FE113" s="154"/>
      <c r="FF113" s="154"/>
      <c r="FG113" s="154"/>
      <c r="FH113" s="154"/>
      <c r="FI113" s="154"/>
      <c r="FJ113" s="154"/>
      <c r="FK113" s="154"/>
      <c r="FL113" s="154"/>
      <c r="FM113" s="154"/>
      <c r="FN113" s="154"/>
      <c r="FO113" s="154"/>
      <c r="FP113" s="154"/>
      <c r="FQ113" s="154"/>
      <c r="FR113" s="154"/>
      <c r="FS113" s="154"/>
      <c r="FT113" s="154"/>
      <c r="FU113" s="154"/>
      <c r="FV113" s="154"/>
      <c r="FW113" s="154"/>
      <c r="FX113" s="154"/>
      <c r="FY113" s="154"/>
      <c r="FZ113" s="154"/>
      <c r="GA113" s="154"/>
      <c r="GB113" s="154"/>
      <c r="GC113" s="154"/>
      <c r="GD113" s="154"/>
      <c r="GE113" s="154"/>
      <c r="GF113" s="154"/>
      <c r="GG113" s="154"/>
      <c r="GH113" s="154"/>
      <c r="GI113" s="154"/>
      <c r="GJ113" s="154"/>
      <c r="GK113" s="154"/>
      <c r="GL113" s="154"/>
      <c r="GM113" s="154"/>
      <c r="GN113" s="154"/>
      <c r="GO113" s="154"/>
      <c r="GP113" s="154"/>
      <c r="GQ113" s="154"/>
      <c r="GR113" s="154"/>
      <c r="GS113" s="154"/>
      <c r="GT113" s="154"/>
      <c r="GU113" s="154"/>
      <c r="GV113" s="154"/>
      <c r="GW113" s="154"/>
      <c r="GX113" s="154"/>
      <c r="GY113" s="154"/>
      <c r="GZ113" s="154"/>
      <c r="HA113" s="154"/>
      <c r="HB113" s="154"/>
      <c r="HC113" s="154"/>
      <c r="HD113" s="154"/>
      <c r="HE113" s="154"/>
      <c r="HF113" s="154"/>
      <c r="HG113" s="154"/>
      <c r="HH113" s="154"/>
      <c r="HI113" s="154"/>
      <c r="HJ113" s="154"/>
      <c r="HK113" s="154"/>
      <c r="HL113" s="154"/>
      <c r="HM113" s="154"/>
      <c r="HN113" s="154"/>
      <c r="HO113" s="154"/>
      <c r="HP113" s="154"/>
      <c r="HQ113" s="154"/>
      <c r="HR113" s="154"/>
      <c r="HS113" s="154"/>
      <c r="HT113" s="154"/>
      <c r="HU113" s="154"/>
      <c r="HV113" s="154"/>
      <c r="HW113" s="154"/>
      <c r="HX113" s="154"/>
      <c r="HY113" s="154"/>
      <c r="HZ113" s="154"/>
      <c r="IA113" s="154"/>
      <c r="IB113" s="154"/>
      <c r="IC113" s="154"/>
      <c r="ID113" s="154"/>
      <c r="IE113" s="154"/>
      <c r="IF113" s="154"/>
      <c r="IG113" s="154"/>
      <c r="IH113" s="154"/>
      <c r="II113" s="154"/>
      <c r="IJ113" s="154"/>
      <c r="IK113" s="154"/>
      <c r="IL113" s="154"/>
      <c r="IM113" s="154"/>
      <c r="IN113" s="154"/>
      <c r="IO113" s="154"/>
    </row>
    <row r="114" spans="2:249" s="147" customFormat="1" ht="15">
      <c r="B114" s="150" t="s">
        <v>646</v>
      </c>
      <c r="C114" s="150" t="s">
        <v>648</v>
      </c>
      <c r="D114" s="200"/>
      <c r="E114" s="188"/>
      <c r="F114" s="187"/>
      <c r="G114" s="188"/>
      <c r="H114" s="155"/>
      <c r="I114" s="155"/>
      <c r="J114" s="155"/>
      <c r="K114" s="155"/>
      <c r="L114" s="155"/>
      <c r="M114" s="187"/>
      <c r="N114" s="188"/>
      <c r="O114" s="155"/>
      <c r="P114" s="155"/>
      <c r="Q114" s="155"/>
      <c r="R114" s="207"/>
      <c r="S114" s="188"/>
      <c r="T114" s="155"/>
      <c r="U114" s="155"/>
      <c r="V114" s="155"/>
      <c r="W114" s="155"/>
      <c r="X114" s="155"/>
      <c r="Y114" s="155"/>
      <c r="Z114" s="155"/>
      <c r="AA114" s="155"/>
      <c r="AB114" s="155"/>
      <c r="AC114" s="155"/>
      <c r="AD114" s="155"/>
      <c r="AE114" s="187"/>
      <c r="AF114" s="188"/>
      <c r="AG114" s="155"/>
      <c r="AH114" s="155"/>
      <c r="AI114" s="155"/>
      <c r="AJ114" s="155"/>
      <c r="AK114" s="207"/>
      <c r="AL114" s="155"/>
      <c r="AM114" s="155"/>
      <c r="AN114" s="155"/>
      <c r="AO114" s="155"/>
      <c r="AP114" s="155"/>
      <c r="AQ114" s="155"/>
      <c r="AR114" s="155"/>
      <c r="AS114" s="155"/>
      <c r="AT114" s="155"/>
      <c r="AU114" s="155"/>
      <c r="AV114" s="155"/>
      <c r="AW114" s="155"/>
      <c r="AX114" s="155"/>
      <c r="AY114" s="155"/>
      <c r="AZ114" s="155"/>
      <c r="BA114" s="155"/>
      <c r="BB114" s="155"/>
      <c r="BC114" s="155"/>
      <c r="BD114" s="155"/>
      <c r="BE114" s="155"/>
      <c r="BF114" s="155"/>
      <c r="BG114" s="155"/>
      <c r="BH114" s="155"/>
      <c r="BI114" s="155"/>
      <c r="BJ114" s="155"/>
      <c r="BK114" s="155"/>
      <c r="BL114" s="155"/>
      <c r="BM114" s="155"/>
      <c r="BN114" s="155"/>
      <c r="BO114" s="155"/>
      <c r="BP114" s="155"/>
      <c r="BQ114" s="155"/>
      <c r="BR114" s="155"/>
      <c r="BS114" s="155"/>
      <c r="BT114" s="155"/>
      <c r="BU114" s="155"/>
      <c r="BV114" s="155"/>
      <c r="BW114" s="155"/>
      <c r="BX114" s="155"/>
      <c r="BY114" s="155"/>
      <c r="BZ114" s="155"/>
      <c r="CA114" s="155"/>
      <c r="CB114" s="155"/>
      <c r="CC114" s="155"/>
      <c r="CD114" s="155"/>
      <c r="CE114" s="155"/>
      <c r="CF114" s="155"/>
      <c r="CG114" s="155"/>
      <c r="CH114" s="155"/>
      <c r="CI114" s="155"/>
      <c r="CJ114" s="155"/>
      <c r="CK114" s="155"/>
      <c r="CL114" s="155"/>
      <c r="CM114" s="155"/>
      <c r="CN114" s="155"/>
      <c r="CO114" s="155"/>
      <c r="CP114" s="155"/>
      <c r="CQ114" s="155"/>
      <c r="CR114" s="155"/>
      <c r="CS114" s="155"/>
      <c r="CT114" s="155"/>
      <c r="CU114" s="155"/>
      <c r="CV114" s="155"/>
      <c r="CW114" s="155"/>
      <c r="CX114" s="155"/>
      <c r="CY114" s="155"/>
      <c r="CZ114" s="155"/>
      <c r="DA114" s="155"/>
      <c r="DB114" s="155"/>
      <c r="DC114" s="155"/>
      <c r="DD114" s="155"/>
      <c r="DE114" s="155"/>
      <c r="DF114" s="155"/>
      <c r="DG114" s="155"/>
      <c r="DH114" s="155"/>
      <c r="DI114" s="155"/>
      <c r="DJ114" s="155"/>
      <c r="DK114" s="155"/>
      <c r="DL114" s="155"/>
      <c r="DM114" s="155"/>
      <c r="DN114" s="155"/>
      <c r="DO114" s="155"/>
      <c r="DP114" s="155"/>
      <c r="DQ114" s="155"/>
      <c r="DR114" s="155"/>
      <c r="DS114" s="155"/>
      <c r="DT114" s="155"/>
      <c r="DU114" s="155"/>
      <c r="DV114" s="155"/>
      <c r="DW114" s="155"/>
      <c r="DX114" s="155"/>
      <c r="DY114" s="155"/>
      <c r="DZ114" s="155"/>
      <c r="EA114" s="155"/>
      <c r="EB114" s="155"/>
      <c r="EC114" s="155"/>
      <c r="ED114" s="155"/>
      <c r="EE114" s="155"/>
      <c r="EF114" s="155"/>
      <c r="EG114" s="155"/>
      <c r="EH114" s="155"/>
      <c r="EI114" s="155"/>
      <c r="EJ114" s="155"/>
      <c r="EK114" s="155"/>
      <c r="EL114" s="155"/>
      <c r="EM114" s="155"/>
      <c r="EN114" s="155"/>
      <c r="EO114" s="155"/>
      <c r="EP114" s="155"/>
      <c r="EQ114" s="155"/>
      <c r="ER114" s="155"/>
      <c r="ES114" s="155"/>
      <c r="ET114" s="155"/>
      <c r="EU114" s="155"/>
      <c r="EV114" s="155"/>
      <c r="EW114" s="155"/>
      <c r="EX114" s="155"/>
      <c r="EY114" s="155"/>
      <c r="EZ114" s="155"/>
      <c r="FA114" s="155"/>
      <c r="FB114" s="155"/>
      <c r="FC114" s="155"/>
      <c r="FD114" s="155"/>
      <c r="FE114" s="155"/>
      <c r="FF114" s="155"/>
      <c r="FG114" s="155"/>
      <c r="FH114" s="155"/>
      <c r="FI114" s="155"/>
      <c r="FJ114" s="155"/>
      <c r="FK114" s="155"/>
      <c r="FL114" s="155"/>
      <c r="FM114" s="155"/>
      <c r="FN114" s="155"/>
      <c r="FO114" s="155"/>
      <c r="FP114" s="155"/>
      <c r="FQ114" s="155"/>
      <c r="FR114" s="155"/>
      <c r="FS114" s="155"/>
      <c r="FT114" s="155"/>
      <c r="FU114" s="155"/>
      <c r="FV114" s="155"/>
      <c r="FW114" s="155"/>
      <c r="FX114" s="155"/>
      <c r="FY114" s="155"/>
      <c r="FZ114" s="155"/>
      <c r="GA114" s="155"/>
      <c r="GB114" s="155"/>
      <c r="GC114" s="155"/>
      <c r="GD114" s="155"/>
      <c r="GE114" s="155"/>
      <c r="GF114" s="155"/>
      <c r="GG114" s="155"/>
      <c r="GH114" s="155"/>
      <c r="GI114" s="155"/>
      <c r="GJ114" s="155"/>
      <c r="GK114" s="155"/>
      <c r="GL114" s="155"/>
      <c r="GM114" s="155"/>
      <c r="GN114" s="155"/>
      <c r="GO114" s="155"/>
      <c r="GP114" s="155"/>
      <c r="GQ114" s="155"/>
      <c r="GR114" s="155"/>
      <c r="GS114" s="155"/>
      <c r="GT114" s="155"/>
      <c r="GU114" s="155"/>
      <c r="GV114" s="155"/>
      <c r="GW114" s="155"/>
      <c r="GX114" s="155"/>
      <c r="GY114" s="155"/>
      <c r="GZ114" s="155"/>
      <c r="HA114" s="155"/>
      <c r="HB114" s="155"/>
      <c r="HC114" s="155"/>
      <c r="HD114" s="155"/>
      <c r="HE114" s="155"/>
      <c r="HF114" s="155"/>
      <c r="HG114" s="155"/>
      <c r="HH114" s="155"/>
      <c r="HI114" s="155"/>
      <c r="HJ114" s="155"/>
      <c r="HK114" s="155"/>
      <c r="HL114" s="155"/>
      <c r="HM114" s="155"/>
      <c r="HN114" s="155"/>
      <c r="HO114" s="155"/>
      <c r="HP114" s="155"/>
      <c r="HQ114" s="155"/>
      <c r="HR114" s="155"/>
      <c r="HS114" s="155"/>
      <c r="HT114" s="155"/>
      <c r="HU114" s="155"/>
      <c r="HV114" s="155"/>
      <c r="HW114" s="155"/>
      <c r="HX114" s="155"/>
      <c r="HY114" s="155"/>
      <c r="HZ114" s="155"/>
      <c r="IA114" s="155"/>
      <c r="IB114" s="155"/>
      <c r="IC114" s="155"/>
      <c r="ID114" s="155"/>
      <c r="IE114" s="155"/>
      <c r="IF114" s="155"/>
      <c r="IG114" s="155"/>
      <c r="IH114" s="155"/>
      <c r="II114" s="155"/>
      <c r="IJ114" s="155"/>
      <c r="IK114" s="155"/>
      <c r="IL114" s="155"/>
      <c r="IM114" s="155"/>
      <c r="IN114" s="155"/>
      <c r="IO114" s="155"/>
    </row>
    <row r="115" spans="2:249" s="147" customFormat="1" ht="15">
      <c r="B115" s="152"/>
      <c r="C115" s="170" t="s">
        <v>360</v>
      </c>
      <c r="D115" s="189"/>
      <c r="E115" s="190"/>
      <c r="F115" s="193"/>
      <c r="G115" s="190"/>
      <c r="H115" s="199"/>
      <c r="I115" s="199"/>
      <c r="J115" s="199"/>
      <c r="K115" s="199"/>
      <c r="L115" s="199"/>
      <c r="M115" s="193"/>
      <c r="N115" s="192"/>
      <c r="O115" s="199"/>
      <c r="P115" s="201"/>
      <c r="Q115" s="199"/>
      <c r="R115" s="209"/>
      <c r="S115" s="185"/>
      <c r="T115" s="153"/>
      <c r="U115" s="153"/>
      <c r="V115" s="153"/>
      <c r="W115" s="153"/>
      <c r="X115" s="153"/>
      <c r="Y115" s="153"/>
      <c r="Z115" s="153"/>
      <c r="AA115" s="153"/>
      <c r="AB115" s="153"/>
      <c r="AC115" s="153"/>
      <c r="AD115" s="153"/>
      <c r="AE115" s="186"/>
      <c r="AF115" s="184"/>
      <c r="AG115" s="154"/>
      <c r="AH115" s="154"/>
      <c r="AI115" s="154"/>
      <c r="AJ115" s="154"/>
      <c r="AK115" s="208"/>
      <c r="AL115" s="199"/>
      <c r="AM115" s="199"/>
      <c r="AN115" s="199"/>
      <c r="AO115" s="199"/>
      <c r="AP115" s="199"/>
      <c r="AQ115" s="199"/>
      <c r="AR115" s="199"/>
      <c r="AS115" s="199"/>
      <c r="AT115" s="199"/>
      <c r="AU115" s="199"/>
      <c r="AV115" s="199"/>
      <c r="AW115" s="199"/>
      <c r="AX115" s="199"/>
      <c r="AY115" s="199"/>
      <c r="AZ115" s="199"/>
      <c r="BA115" s="199"/>
      <c r="BB115" s="199"/>
      <c r="BC115" s="199"/>
      <c r="BD115" s="199"/>
      <c r="BE115" s="199"/>
      <c r="BF115" s="199"/>
      <c r="BG115" s="199"/>
      <c r="BH115" s="199"/>
      <c r="BI115" s="199"/>
      <c r="BJ115" s="199"/>
      <c r="BK115" s="199"/>
      <c r="BL115" s="199"/>
      <c r="BM115" s="199"/>
      <c r="BN115" s="199"/>
      <c r="BO115" s="199"/>
      <c r="BP115" s="199"/>
      <c r="BQ115" s="199"/>
      <c r="BR115" s="199"/>
      <c r="BS115" s="199"/>
      <c r="BT115" s="199"/>
      <c r="BU115" s="199"/>
      <c r="BV115" s="199"/>
      <c r="BW115" s="199"/>
      <c r="BX115" s="199"/>
      <c r="BY115" s="199"/>
      <c r="BZ115" s="199"/>
      <c r="CA115" s="199"/>
      <c r="CB115" s="199"/>
      <c r="CC115" s="199"/>
      <c r="CD115" s="199"/>
      <c r="CE115" s="154"/>
      <c r="CF115" s="154"/>
      <c r="CG115" s="154"/>
      <c r="CH115" s="154"/>
      <c r="CI115" s="154"/>
      <c r="CJ115" s="154"/>
      <c r="CK115" s="154"/>
      <c r="CL115" s="154"/>
      <c r="CM115" s="154"/>
      <c r="CN115" s="154"/>
      <c r="CO115" s="154"/>
      <c r="CP115" s="154"/>
      <c r="CQ115" s="154"/>
      <c r="CR115" s="154"/>
      <c r="CS115" s="154"/>
      <c r="CT115" s="154"/>
      <c r="CU115" s="154"/>
      <c r="CV115" s="154"/>
      <c r="CW115" s="154"/>
      <c r="CX115" s="154"/>
      <c r="CY115" s="154"/>
      <c r="CZ115" s="154"/>
      <c r="DA115" s="154"/>
      <c r="DB115" s="154"/>
      <c r="DC115" s="154"/>
      <c r="DD115" s="154"/>
      <c r="DE115" s="154"/>
      <c r="DF115" s="154"/>
      <c r="DG115" s="154"/>
      <c r="DH115" s="154"/>
      <c r="DI115" s="154"/>
      <c r="DJ115" s="154"/>
      <c r="DK115" s="154"/>
      <c r="DL115" s="154"/>
      <c r="DM115" s="154"/>
      <c r="DN115" s="154"/>
      <c r="DO115" s="154"/>
      <c r="DP115" s="154"/>
      <c r="DQ115" s="154"/>
      <c r="DR115" s="154"/>
      <c r="DS115" s="154"/>
      <c r="DT115" s="154"/>
      <c r="DU115" s="154"/>
      <c r="DV115" s="154"/>
      <c r="DW115" s="154"/>
      <c r="DX115" s="154"/>
      <c r="DY115" s="154"/>
      <c r="DZ115" s="154"/>
      <c r="EA115" s="154"/>
      <c r="EB115" s="154"/>
      <c r="EC115" s="154"/>
      <c r="ED115" s="154"/>
      <c r="EE115" s="154"/>
      <c r="EF115" s="154"/>
      <c r="EG115" s="154"/>
      <c r="EH115" s="154"/>
      <c r="EI115" s="154"/>
      <c r="EJ115" s="154"/>
      <c r="EK115" s="154"/>
      <c r="EL115" s="154"/>
      <c r="EM115" s="154"/>
      <c r="EN115" s="154"/>
      <c r="EO115" s="154"/>
      <c r="EP115" s="154"/>
      <c r="EQ115" s="154"/>
      <c r="ER115" s="154"/>
      <c r="ES115" s="154"/>
      <c r="ET115" s="154"/>
      <c r="EU115" s="154"/>
      <c r="EV115" s="154"/>
      <c r="EW115" s="154"/>
      <c r="EX115" s="154"/>
      <c r="EY115" s="154"/>
      <c r="EZ115" s="154"/>
      <c r="FA115" s="154"/>
      <c r="FB115" s="154"/>
      <c r="FC115" s="154"/>
      <c r="FD115" s="154"/>
      <c r="FE115" s="154"/>
      <c r="FF115" s="154"/>
      <c r="FG115" s="154"/>
      <c r="FH115" s="154"/>
      <c r="FI115" s="154"/>
      <c r="FJ115" s="154"/>
      <c r="FK115" s="154"/>
      <c r="FL115" s="154"/>
      <c r="FM115" s="154"/>
      <c r="FN115" s="154"/>
      <c r="FO115" s="154"/>
      <c r="FP115" s="154"/>
      <c r="FQ115" s="154"/>
      <c r="FR115" s="154"/>
      <c r="FS115" s="154"/>
      <c r="FT115" s="154"/>
      <c r="FU115" s="154"/>
      <c r="FV115" s="154"/>
      <c r="FW115" s="154"/>
      <c r="FX115" s="154"/>
      <c r="FY115" s="154"/>
      <c r="FZ115" s="154"/>
      <c r="GA115" s="154"/>
      <c r="GB115" s="154"/>
      <c r="GC115" s="154"/>
      <c r="GD115" s="154"/>
      <c r="GE115" s="154"/>
      <c r="GF115" s="154"/>
      <c r="GG115" s="154"/>
      <c r="GH115" s="154"/>
      <c r="GI115" s="154"/>
      <c r="GJ115" s="154"/>
      <c r="GK115" s="154"/>
      <c r="GL115" s="154"/>
      <c r="GM115" s="154"/>
      <c r="GN115" s="154"/>
      <c r="GO115" s="154"/>
      <c r="GP115" s="154"/>
      <c r="GQ115" s="154"/>
      <c r="GR115" s="154"/>
      <c r="GS115" s="154"/>
      <c r="GT115" s="154"/>
      <c r="GU115" s="154"/>
      <c r="GV115" s="154"/>
      <c r="GW115" s="154"/>
      <c r="GX115" s="154"/>
      <c r="GY115" s="154"/>
      <c r="GZ115" s="154"/>
      <c r="HA115" s="154"/>
      <c r="HB115" s="154"/>
      <c r="HC115" s="154"/>
      <c r="HD115" s="154"/>
      <c r="HE115" s="154"/>
      <c r="HF115" s="154"/>
      <c r="HG115" s="154"/>
      <c r="HH115" s="154"/>
      <c r="HI115" s="154"/>
      <c r="HJ115" s="154"/>
      <c r="HK115" s="154"/>
      <c r="HL115" s="154"/>
      <c r="HM115" s="154"/>
      <c r="HN115" s="154"/>
      <c r="HO115" s="154"/>
      <c r="HP115" s="154"/>
      <c r="HQ115" s="154"/>
      <c r="HR115" s="154"/>
      <c r="HS115" s="154"/>
      <c r="HT115" s="154"/>
      <c r="HU115" s="154"/>
      <c r="HV115" s="154"/>
      <c r="HW115" s="154"/>
      <c r="HX115" s="154"/>
      <c r="HY115" s="154"/>
      <c r="HZ115" s="154"/>
      <c r="IA115" s="154"/>
      <c r="IB115" s="154"/>
      <c r="IC115" s="154"/>
      <c r="ID115" s="154"/>
      <c r="IE115" s="154"/>
      <c r="IF115" s="154"/>
      <c r="IG115" s="154"/>
      <c r="IH115" s="154"/>
      <c r="II115" s="154"/>
      <c r="IJ115" s="154"/>
      <c r="IK115" s="154"/>
      <c r="IL115" s="154"/>
      <c r="IM115" s="154"/>
      <c r="IN115" s="154"/>
      <c r="IO115" s="154"/>
    </row>
    <row r="116" spans="2:249" s="147" customFormat="1" ht="15">
      <c r="B116" s="152"/>
      <c r="C116" s="170" t="s">
        <v>649</v>
      </c>
      <c r="D116" s="189" t="s">
        <v>360</v>
      </c>
      <c r="E116" s="190"/>
      <c r="F116" s="193"/>
      <c r="G116" s="190"/>
      <c r="H116" s="199"/>
      <c r="I116" s="197"/>
      <c r="J116" s="197"/>
      <c r="K116" s="197"/>
      <c r="L116" s="197"/>
      <c r="M116" s="198"/>
      <c r="N116" s="202"/>
      <c r="O116" s="199"/>
      <c r="P116" s="197" t="s">
        <v>360</v>
      </c>
      <c r="Q116" s="199"/>
      <c r="R116" s="209"/>
      <c r="S116" s="192" t="s">
        <v>360</v>
      </c>
      <c r="T116" s="197" t="s">
        <v>360</v>
      </c>
      <c r="U116" s="197" t="s">
        <v>360</v>
      </c>
      <c r="V116" s="197" t="s">
        <v>360</v>
      </c>
      <c r="W116" s="197" t="s">
        <v>360</v>
      </c>
      <c r="X116" s="197" t="s">
        <v>360</v>
      </c>
      <c r="Y116" s="197" t="s">
        <v>360</v>
      </c>
      <c r="Z116" s="197" t="s">
        <v>360</v>
      </c>
      <c r="AA116" s="197" t="s">
        <v>360</v>
      </c>
      <c r="AB116" s="197" t="s">
        <v>360</v>
      </c>
      <c r="AC116" s="197" t="s">
        <v>360</v>
      </c>
      <c r="AD116" s="197" t="s">
        <v>360</v>
      </c>
      <c r="AE116" s="198" t="s">
        <v>360</v>
      </c>
      <c r="AF116" s="192" t="s">
        <v>360</v>
      </c>
      <c r="AG116" s="197" t="s">
        <v>360</v>
      </c>
      <c r="AH116" s="197" t="s">
        <v>360</v>
      </c>
      <c r="AI116" s="154"/>
      <c r="AJ116" s="197" t="s">
        <v>360</v>
      </c>
      <c r="AK116" s="208"/>
      <c r="AL116" s="199" t="s">
        <v>360</v>
      </c>
      <c r="AM116" s="199" t="s">
        <v>360</v>
      </c>
      <c r="AN116" s="199"/>
      <c r="AO116" s="199"/>
      <c r="AP116" s="199"/>
      <c r="AQ116" s="197" t="s">
        <v>360</v>
      </c>
      <c r="AR116" s="197" t="s">
        <v>360</v>
      </c>
      <c r="AS116" s="197" t="s">
        <v>360</v>
      </c>
      <c r="AT116" s="197" t="s">
        <v>360</v>
      </c>
      <c r="AU116" s="199" t="s">
        <v>360</v>
      </c>
      <c r="AV116" s="199"/>
      <c r="AW116" s="199"/>
      <c r="AX116" s="199"/>
      <c r="AY116" s="199" t="s">
        <v>360</v>
      </c>
      <c r="AZ116" s="199" t="s">
        <v>360</v>
      </c>
      <c r="BA116" s="199" t="s">
        <v>360</v>
      </c>
      <c r="BB116" s="199" t="s">
        <v>360</v>
      </c>
      <c r="BC116" s="199" t="s">
        <v>360</v>
      </c>
      <c r="BD116" s="199" t="s">
        <v>360</v>
      </c>
      <c r="BE116" s="199"/>
      <c r="BF116" s="199"/>
      <c r="BG116" s="199"/>
      <c r="BH116" s="199" t="s">
        <v>360</v>
      </c>
      <c r="BI116" s="199" t="s">
        <v>360</v>
      </c>
      <c r="BJ116" s="199" t="s">
        <v>360</v>
      </c>
      <c r="BK116" s="199" t="s">
        <v>360</v>
      </c>
      <c r="BL116" s="199" t="s">
        <v>360</v>
      </c>
      <c r="BM116" s="199" t="s">
        <v>360</v>
      </c>
      <c r="BN116" s="199"/>
      <c r="BO116" s="199"/>
      <c r="BP116" s="199"/>
      <c r="BQ116" s="199" t="s">
        <v>360</v>
      </c>
      <c r="BR116" s="199" t="s">
        <v>360</v>
      </c>
      <c r="BS116" s="199" t="s">
        <v>360</v>
      </c>
      <c r="BT116" s="199" t="s">
        <v>360</v>
      </c>
      <c r="BU116" s="199" t="s">
        <v>360</v>
      </c>
      <c r="BV116" s="199" t="s">
        <v>360</v>
      </c>
      <c r="BW116" s="199"/>
      <c r="BX116" s="199"/>
      <c r="BY116" s="199"/>
      <c r="BZ116" s="199" t="s">
        <v>360</v>
      </c>
      <c r="CA116" s="199" t="s">
        <v>360</v>
      </c>
      <c r="CB116" s="199" t="s">
        <v>360</v>
      </c>
      <c r="CC116" s="199" t="s">
        <v>360</v>
      </c>
      <c r="CD116" s="199" t="s">
        <v>360</v>
      </c>
      <c r="CE116" s="154"/>
      <c r="CF116" s="154"/>
      <c r="CG116" s="154"/>
      <c r="CH116" s="154"/>
      <c r="CI116" s="154"/>
      <c r="CJ116" s="154"/>
      <c r="CK116" s="154"/>
      <c r="CL116" s="154"/>
      <c r="CM116" s="154"/>
      <c r="CN116" s="154"/>
      <c r="CO116" s="154"/>
      <c r="CP116" s="154"/>
      <c r="CQ116" s="154"/>
      <c r="CR116" s="154"/>
      <c r="CS116" s="154"/>
      <c r="CT116" s="154"/>
      <c r="CU116" s="154"/>
      <c r="CV116" s="154"/>
      <c r="CW116" s="154"/>
      <c r="CX116" s="154"/>
      <c r="CY116" s="154"/>
      <c r="CZ116" s="154"/>
      <c r="DA116" s="154"/>
      <c r="DB116" s="154"/>
      <c r="DC116" s="154"/>
      <c r="DD116" s="154"/>
      <c r="DE116" s="154"/>
      <c r="DF116" s="154"/>
      <c r="DG116" s="154"/>
      <c r="DH116" s="154"/>
      <c r="DI116" s="154"/>
      <c r="DJ116" s="154"/>
      <c r="DK116" s="154"/>
      <c r="DL116" s="154"/>
      <c r="DM116" s="154"/>
      <c r="DN116" s="154"/>
      <c r="DO116" s="154"/>
      <c r="DP116" s="154"/>
      <c r="DQ116" s="154"/>
      <c r="DR116" s="154"/>
      <c r="DS116" s="154"/>
      <c r="DT116" s="154"/>
      <c r="DU116" s="154"/>
      <c r="DV116" s="154"/>
      <c r="DW116" s="154"/>
      <c r="DX116" s="154"/>
      <c r="DY116" s="154"/>
      <c r="DZ116" s="154"/>
      <c r="EA116" s="154"/>
      <c r="EB116" s="154"/>
      <c r="EC116" s="154"/>
      <c r="ED116" s="154"/>
      <c r="EE116" s="154"/>
      <c r="EF116" s="154"/>
      <c r="EG116" s="154"/>
      <c r="EH116" s="154"/>
      <c r="EI116" s="154"/>
      <c r="EJ116" s="154"/>
      <c r="EK116" s="154"/>
      <c r="EL116" s="154"/>
      <c r="EM116" s="154"/>
      <c r="EN116" s="154"/>
      <c r="EO116" s="154"/>
      <c r="EP116" s="154"/>
      <c r="EQ116" s="154"/>
      <c r="ER116" s="154"/>
      <c r="ES116" s="154"/>
      <c r="ET116" s="154"/>
      <c r="EU116" s="154"/>
      <c r="EV116" s="154"/>
      <c r="EW116" s="154"/>
      <c r="EX116" s="154"/>
      <c r="EY116" s="154"/>
      <c r="EZ116" s="154"/>
      <c r="FA116" s="154"/>
      <c r="FB116" s="154"/>
      <c r="FC116" s="154"/>
      <c r="FD116" s="154"/>
      <c r="FE116" s="154"/>
      <c r="FF116" s="154"/>
      <c r="FG116" s="154"/>
      <c r="FH116" s="154"/>
      <c r="FI116" s="154"/>
      <c r="FJ116" s="154"/>
      <c r="FK116" s="154"/>
      <c r="FL116" s="154"/>
      <c r="FM116" s="154"/>
      <c r="FN116" s="154"/>
      <c r="FO116" s="154"/>
      <c r="FP116" s="154"/>
      <c r="FQ116" s="154"/>
      <c r="FR116" s="154"/>
      <c r="FS116" s="154"/>
      <c r="FT116" s="154"/>
      <c r="FU116" s="154"/>
      <c r="FV116" s="154"/>
      <c r="FW116" s="154"/>
      <c r="FX116" s="154"/>
      <c r="FY116" s="154"/>
      <c r="FZ116" s="154"/>
      <c r="GA116" s="154"/>
      <c r="GB116" s="154"/>
      <c r="GC116" s="154"/>
      <c r="GD116" s="154"/>
      <c r="GE116" s="154"/>
      <c r="GF116" s="154"/>
      <c r="GG116" s="154"/>
      <c r="GH116" s="154"/>
      <c r="GI116" s="154"/>
      <c r="GJ116" s="154"/>
      <c r="GK116" s="154"/>
      <c r="GL116" s="154"/>
      <c r="GM116" s="154"/>
      <c r="GN116" s="154"/>
      <c r="GO116" s="154"/>
      <c r="GP116" s="154"/>
      <c r="GQ116" s="154"/>
      <c r="GR116" s="154"/>
      <c r="GS116" s="154"/>
      <c r="GT116" s="154"/>
      <c r="GU116" s="154"/>
      <c r="GV116" s="154"/>
      <c r="GW116" s="154"/>
      <c r="GX116" s="154"/>
      <c r="GY116" s="154"/>
      <c r="GZ116" s="154"/>
      <c r="HA116" s="154"/>
      <c r="HB116" s="154"/>
      <c r="HC116" s="154"/>
      <c r="HD116" s="154"/>
      <c r="HE116" s="154"/>
      <c r="HF116" s="154"/>
      <c r="HG116" s="154"/>
      <c r="HH116" s="154"/>
      <c r="HI116" s="154"/>
      <c r="HJ116" s="154"/>
      <c r="HK116" s="154"/>
      <c r="HL116" s="154"/>
      <c r="HM116" s="154"/>
      <c r="HN116" s="154"/>
      <c r="HO116" s="154"/>
      <c r="HP116" s="154"/>
      <c r="HQ116" s="154"/>
      <c r="HR116" s="154"/>
      <c r="HS116" s="154"/>
      <c r="HT116" s="154"/>
      <c r="HU116" s="154"/>
      <c r="HV116" s="154"/>
      <c r="HW116" s="154"/>
      <c r="HX116" s="154"/>
      <c r="HY116" s="154"/>
      <c r="HZ116" s="154"/>
      <c r="IA116" s="154"/>
      <c r="IB116" s="154"/>
      <c r="IC116" s="154"/>
      <c r="ID116" s="154"/>
      <c r="IE116" s="154"/>
      <c r="IF116" s="154"/>
      <c r="IG116" s="154"/>
      <c r="IH116" s="154"/>
      <c r="II116" s="154"/>
      <c r="IJ116" s="154"/>
      <c r="IK116" s="154"/>
      <c r="IL116" s="154"/>
      <c r="IM116" s="154"/>
      <c r="IN116" s="154"/>
      <c r="IO116" s="154"/>
    </row>
    <row r="117" spans="2:249" s="147" customFormat="1" ht="15">
      <c r="B117" s="152"/>
      <c r="C117" s="170" t="s">
        <v>650</v>
      </c>
      <c r="D117" s="189"/>
      <c r="E117" s="190"/>
      <c r="F117" s="193"/>
      <c r="G117" s="190"/>
      <c r="H117" s="199"/>
      <c r="I117" s="197"/>
      <c r="J117" s="197"/>
      <c r="K117" s="197"/>
      <c r="L117" s="197"/>
      <c r="M117" s="198"/>
      <c r="N117" s="202" t="s">
        <v>360</v>
      </c>
      <c r="O117" s="199" t="s">
        <v>360</v>
      </c>
      <c r="P117" s="197"/>
      <c r="Q117" s="199" t="s">
        <v>360</v>
      </c>
      <c r="R117" s="209" t="s">
        <v>360</v>
      </c>
      <c r="S117" s="185"/>
      <c r="T117" s="153"/>
      <c r="U117" s="153"/>
      <c r="V117" s="153"/>
      <c r="W117" s="153"/>
      <c r="X117" s="153"/>
      <c r="Y117" s="153"/>
      <c r="Z117" s="153"/>
      <c r="AA117" s="153"/>
      <c r="AB117" s="153"/>
      <c r="AC117" s="153"/>
      <c r="AD117" s="153"/>
      <c r="AE117" s="186"/>
      <c r="AF117" s="184"/>
      <c r="AG117" s="154"/>
      <c r="AH117" s="154"/>
      <c r="AI117" s="197" t="s">
        <v>360</v>
      </c>
      <c r="AJ117" s="153"/>
      <c r="AK117" s="204" t="s">
        <v>360</v>
      </c>
      <c r="AL117" s="199"/>
      <c r="AM117" s="199"/>
      <c r="AN117" s="199" t="s">
        <v>360</v>
      </c>
      <c r="AO117" s="199" t="s">
        <v>360</v>
      </c>
      <c r="AP117" s="199" t="s">
        <v>360</v>
      </c>
      <c r="AQ117" s="197"/>
      <c r="AR117" s="197"/>
      <c r="AS117" s="197"/>
      <c r="AT117" s="197"/>
      <c r="AU117" s="199"/>
      <c r="AV117" s="199" t="s">
        <v>360</v>
      </c>
      <c r="AW117" s="199" t="s">
        <v>360</v>
      </c>
      <c r="AX117" s="199" t="s">
        <v>360</v>
      </c>
      <c r="AY117" s="199"/>
      <c r="AZ117" s="199"/>
      <c r="BA117" s="199"/>
      <c r="BB117" s="199"/>
      <c r="BC117" s="199"/>
      <c r="BD117" s="199"/>
      <c r="BE117" s="199" t="s">
        <v>360</v>
      </c>
      <c r="BF117" s="199" t="s">
        <v>360</v>
      </c>
      <c r="BG117" s="199" t="s">
        <v>360</v>
      </c>
      <c r="BH117" s="199"/>
      <c r="BI117" s="199"/>
      <c r="BJ117" s="199"/>
      <c r="BK117" s="199"/>
      <c r="BL117" s="199"/>
      <c r="BM117" s="199"/>
      <c r="BN117" s="199" t="s">
        <v>360</v>
      </c>
      <c r="BO117" s="199" t="s">
        <v>360</v>
      </c>
      <c r="BP117" s="199" t="s">
        <v>360</v>
      </c>
      <c r="BQ117" s="199"/>
      <c r="BR117" s="199"/>
      <c r="BS117" s="199"/>
      <c r="BT117" s="199"/>
      <c r="BU117" s="199"/>
      <c r="BV117" s="199"/>
      <c r="BW117" s="199" t="s">
        <v>360</v>
      </c>
      <c r="BX117" s="199" t="s">
        <v>360</v>
      </c>
      <c r="BY117" s="199" t="s">
        <v>360</v>
      </c>
      <c r="BZ117" s="199"/>
      <c r="CA117" s="199"/>
      <c r="CB117" s="199"/>
      <c r="CC117" s="199"/>
      <c r="CD117" s="199"/>
      <c r="CE117" s="197"/>
      <c r="CF117" s="197"/>
      <c r="CG117" s="197"/>
      <c r="CH117" s="197"/>
      <c r="CI117" s="197"/>
      <c r="CJ117" s="197"/>
      <c r="CK117" s="197"/>
      <c r="CL117" s="197"/>
      <c r="CM117" s="197"/>
      <c r="CN117" s="197"/>
      <c r="CO117" s="197"/>
      <c r="CP117" s="197"/>
      <c r="CQ117" s="197"/>
      <c r="CR117" s="197"/>
      <c r="CS117" s="197"/>
      <c r="CT117" s="197"/>
      <c r="CU117" s="197"/>
      <c r="CV117" s="197"/>
      <c r="CW117" s="197"/>
      <c r="CX117" s="197"/>
      <c r="CY117" s="197"/>
      <c r="CZ117" s="197"/>
      <c r="DA117" s="197"/>
      <c r="DB117" s="197"/>
      <c r="DC117" s="197"/>
      <c r="DD117" s="197"/>
      <c r="DE117" s="197"/>
      <c r="DF117" s="197"/>
      <c r="DG117" s="197"/>
      <c r="DH117" s="197"/>
      <c r="DI117" s="197"/>
      <c r="DJ117" s="197"/>
      <c r="DK117" s="197"/>
      <c r="DL117" s="197"/>
      <c r="DM117" s="197"/>
      <c r="DN117" s="197"/>
      <c r="DO117" s="197"/>
      <c r="DP117" s="197"/>
      <c r="DQ117" s="197"/>
      <c r="DR117" s="197"/>
      <c r="DS117" s="197"/>
      <c r="DT117" s="197"/>
      <c r="DU117" s="197"/>
      <c r="DV117" s="197"/>
      <c r="DW117" s="197"/>
      <c r="DX117" s="197"/>
      <c r="DY117" s="197"/>
      <c r="DZ117" s="197"/>
      <c r="EA117" s="197"/>
      <c r="EB117" s="197"/>
      <c r="EC117" s="197"/>
      <c r="ED117" s="197"/>
      <c r="EE117" s="197"/>
      <c r="EF117" s="197"/>
      <c r="EG117" s="197"/>
      <c r="EH117" s="197"/>
      <c r="EI117" s="197"/>
      <c r="EJ117" s="197"/>
      <c r="EK117" s="197"/>
      <c r="EL117" s="197"/>
      <c r="EM117" s="197"/>
      <c r="EN117" s="197"/>
      <c r="EO117" s="197"/>
      <c r="EP117" s="197"/>
      <c r="EQ117" s="197"/>
      <c r="ER117" s="197"/>
      <c r="ES117" s="197"/>
      <c r="ET117" s="197"/>
      <c r="EU117" s="197"/>
      <c r="EV117" s="197"/>
      <c r="EW117" s="197"/>
      <c r="EX117" s="197"/>
      <c r="EY117" s="197"/>
      <c r="EZ117" s="197"/>
      <c r="FA117" s="197"/>
      <c r="FB117" s="197"/>
      <c r="FC117" s="197"/>
      <c r="FD117" s="197"/>
      <c r="FE117" s="197"/>
      <c r="FF117" s="197"/>
      <c r="FG117" s="197"/>
      <c r="FH117" s="197"/>
      <c r="FI117" s="197"/>
      <c r="FJ117" s="197"/>
      <c r="FK117" s="197"/>
      <c r="FL117" s="197"/>
      <c r="FM117" s="197"/>
      <c r="FN117" s="197"/>
      <c r="FO117" s="197"/>
      <c r="FP117" s="197"/>
      <c r="FQ117" s="197"/>
      <c r="FR117" s="197"/>
      <c r="FS117" s="197"/>
      <c r="FT117" s="197"/>
      <c r="FU117" s="197"/>
      <c r="FV117" s="197"/>
      <c r="FW117" s="197"/>
      <c r="FX117" s="197"/>
      <c r="FY117" s="197"/>
      <c r="FZ117" s="197"/>
      <c r="GA117" s="197"/>
      <c r="GB117" s="197"/>
      <c r="GC117" s="197"/>
      <c r="GD117" s="197"/>
      <c r="GE117" s="197"/>
      <c r="GF117" s="197"/>
      <c r="GG117" s="197"/>
      <c r="GH117" s="197"/>
      <c r="GI117" s="197"/>
      <c r="GJ117" s="197"/>
      <c r="GK117" s="197"/>
      <c r="GL117" s="197"/>
      <c r="GM117" s="197"/>
      <c r="GN117" s="197"/>
      <c r="GO117" s="197"/>
      <c r="GP117" s="197"/>
      <c r="GQ117" s="197"/>
      <c r="GR117" s="197"/>
      <c r="GS117" s="197"/>
      <c r="GT117" s="197"/>
      <c r="GU117" s="197"/>
      <c r="GV117" s="197"/>
      <c r="GW117" s="197"/>
      <c r="GX117" s="197"/>
      <c r="GY117" s="197"/>
      <c r="GZ117" s="197"/>
      <c r="HA117" s="197"/>
      <c r="HB117" s="197"/>
      <c r="HC117" s="197"/>
      <c r="HD117" s="197"/>
      <c r="HE117" s="197"/>
      <c r="HF117" s="197"/>
      <c r="HG117" s="197"/>
      <c r="HH117" s="197"/>
      <c r="HI117" s="197"/>
      <c r="HJ117" s="197"/>
      <c r="HK117" s="197"/>
      <c r="HL117" s="197"/>
      <c r="HM117" s="197"/>
      <c r="HN117" s="197"/>
      <c r="HO117" s="197"/>
      <c r="HP117" s="197"/>
      <c r="HQ117" s="197"/>
      <c r="HR117" s="197"/>
      <c r="HS117" s="197"/>
      <c r="HT117" s="197"/>
      <c r="HU117" s="197"/>
      <c r="HV117" s="197"/>
      <c r="HW117" s="197"/>
      <c r="HX117" s="197"/>
      <c r="HY117" s="197"/>
      <c r="HZ117" s="197"/>
      <c r="IA117" s="197"/>
      <c r="IB117" s="197"/>
      <c r="IC117" s="197"/>
      <c r="ID117" s="197"/>
      <c r="IE117" s="197"/>
      <c r="IF117" s="197"/>
      <c r="IG117" s="197"/>
      <c r="IH117" s="197"/>
      <c r="II117" s="197"/>
      <c r="IJ117" s="197"/>
      <c r="IK117" s="197"/>
      <c r="IL117" s="197"/>
      <c r="IM117" s="197"/>
      <c r="IN117" s="197"/>
      <c r="IO117" s="197"/>
    </row>
    <row r="118" spans="2:249" s="147" customFormat="1" ht="15">
      <c r="B118" s="150" t="s">
        <v>647</v>
      </c>
      <c r="C118" s="150" t="s">
        <v>593</v>
      </c>
      <c r="D118" s="200"/>
      <c r="E118" s="188"/>
      <c r="F118" s="187"/>
      <c r="G118" s="188"/>
      <c r="H118" s="155"/>
      <c r="I118" s="155"/>
      <c r="J118" s="155"/>
      <c r="K118" s="155"/>
      <c r="L118" s="155"/>
      <c r="M118" s="187"/>
      <c r="N118" s="188"/>
      <c r="O118" s="155"/>
      <c r="P118" s="155"/>
      <c r="Q118" s="155"/>
      <c r="R118" s="207"/>
      <c r="S118" s="188"/>
      <c r="T118" s="155"/>
      <c r="U118" s="155"/>
      <c r="V118" s="155"/>
      <c r="W118" s="155"/>
      <c r="X118" s="155"/>
      <c r="Y118" s="155"/>
      <c r="Z118" s="155"/>
      <c r="AA118" s="155"/>
      <c r="AB118" s="155"/>
      <c r="AC118" s="155"/>
      <c r="AD118" s="155"/>
      <c r="AE118" s="187"/>
      <c r="AF118" s="188"/>
      <c r="AG118" s="155"/>
      <c r="AH118" s="155"/>
      <c r="AI118" s="155"/>
      <c r="AJ118" s="155"/>
      <c r="AK118" s="207"/>
      <c r="AL118" s="155"/>
      <c r="AM118" s="155"/>
      <c r="AN118" s="155"/>
      <c r="AO118" s="155"/>
      <c r="AP118" s="155"/>
      <c r="AQ118" s="155"/>
      <c r="AR118" s="155"/>
      <c r="AS118" s="155"/>
      <c r="AT118" s="155"/>
      <c r="AU118" s="155"/>
      <c r="AV118" s="155"/>
      <c r="AW118" s="155" t="s">
        <v>360</v>
      </c>
      <c r="AX118" s="155"/>
      <c r="AY118" s="155"/>
      <c r="AZ118" s="155"/>
      <c r="BA118" s="155"/>
      <c r="BB118" s="155"/>
      <c r="BC118" s="155"/>
      <c r="BD118" s="155"/>
      <c r="BE118" s="155"/>
      <c r="BF118" s="155" t="s">
        <v>360</v>
      </c>
      <c r="BG118" s="155"/>
      <c r="BH118" s="155"/>
      <c r="BI118" s="155"/>
      <c r="BJ118" s="155"/>
      <c r="BK118" s="155"/>
      <c r="BL118" s="155"/>
      <c r="BM118" s="155"/>
      <c r="BN118" s="155"/>
      <c r="BO118" s="155" t="s">
        <v>360</v>
      </c>
      <c r="BP118" s="155"/>
      <c r="BQ118" s="155"/>
      <c r="BR118" s="155"/>
      <c r="BS118" s="155"/>
      <c r="BT118" s="155"/>
      <c r="BU118" s="155"/>
      <c r="BV118" s="155"/>
      <c r="BW118" s="155"/>
      <c r="BX118" s="155" t="s">
        <v>360</v>
      </c>
      <c r="BY118" s="155"/>
      <c r="BZ118" s="155"/>
      <c r="CA118" s="155"/>
      <c r="CB118" s="155"/>
      <c r="CC118" s="155"/>
      <c r="CD118" s="155"/>
      <c r="CE118" s="155"/>
      <c r="CF118" s="155"/>
      <c r="CG118" s="155"/>
      <c r="CH118" s="155"/>
      <c r="CI118" s="155"/>
      <c r="CJ118" s="155"/>
      <c r="CK118" s="155"/>
      <c r="CL118" s="155"/>
      <c r="CM118" s="155"/>
      <c r="CN118" s="155"/>
      <c r="CO118" s="155"/>
      <c r="CP118" s="155"/>
      <c r="CQ118" s="155"/>
      <c r="CR118" s="155"/>
      <c r="CS118" s="155"/>
      <c r="CT118" s="155"/>
      <c r="CU118" s="155"/>
      <c r="CV118" s="155"/>
      <c r="CW118" s="155"/>
      <c r="CX118" s="155"/>
      <c r="CY118" s="155"/>
      <c r="CZ118" s="155"/>
      <c r="DA118" s="155"/>
      <c r="DB118" s="155"/>
      <c r="DC118" s="155"/>
      <c r="DD118" s="155"/>
      <c r="DE118" s="155"/>
      <c r="DF118" s="155"/>
      <c r="DG118" s="155"/>
      <c r="DH118" s="155"/>
      <c r="DI118" s="155"/>
      <c r="DJ118" s="155"/>
      <c r="DK118" s="155"/>
      <c r="DL118" s="155"/>
      <c r="DM118" s="155"/>
      <c r="DN118" s="155"/>
      <c r="DO118" s="155"/>
      <c r="DP118" s="155"/>
      <c r="DQ118" s="155"/>
      <c r="DR118" s="155"/>
      <c r="DS118" s="155"/>
      <c r="DT118" s="155"/>
      <c r="DU118" s="155"/>
      <c r="DV118" s="155"/>
      <c r="DW118" s="155"/>
      <c r="DX118" s="155"/>
      <c r="DY118" s="155"/>
      <c r="DZ118" s="155"/>
      <c r="EA118" s="155"/>
      <c r="EB118" s="155"/>
      <c r="EC118" s="155"/>
      <c r="ED118" s="155"/>
      <c r="EE118" s="155"/>
      <c r="EF118" s="155"/>
      <c r="EG118" s="155"/>
      <c r="EH118" s="155"/>
      <c r="EI118" s="155"/>
      <c r="EJ118" s="155"/>
      <c r="EK118" s="155"/>
      <c r="EL118" s="155"/>
      <c r="EM118" s="155"/>
      <c r="EN118" s="155"/>
      <c r="EO118" s="155"/>
      <c r="EP118" s="155"/>
      <c r="EQ118" s="155"/>
      <c r="ER118" s="155"/>
      <c r="ES118" s="155"/>
      <c r="ET118" s="155"/>
      <c r="EU118" s="155"/>
      <c r="EV118" s="155"/>
      <c r="EW118" s="155"/>
      <c r="EX118" s="155"/>
      <c r="EY118" s="155"/>
      <c r="EZ118" s="155"/>
      <c r="FA118" s="155"/>
      <c r="FB118" s="155"/>
      <c r="FC118" s="155"/>
      <c r="FD118" s="155"/>
      <c r="FE118" s="155"/>
      <c r="FF118" s="155"/>
      <c r="FG118" s="155"/>
      <c r="FH118" s="155"/>
      <c r="FI118" s="155"/>
      <c r="FJ118" s="155"/>
      <c r="FK118" s="155"/>
      <c r="FL118" s="155"/>
      <c r="FM118" s="155"/>
      <c r="FN118" s="155"/>
      <c r="FO118" s="155"/>
      <c r="FP118" s="155"/>
      <c r="FQ118" s="155"/>
      <c r="FR118" s="155"/>
      <c r="FS118" s="155"/>
      <c r="FT118" s="155"/>
      <c r="FU118" s="155"/>
      <c r="FV118" s="155"/>
      <c r="FW118" s="155"/>
      <c r="FX118" s="155"/>
      <c r="FY118" s="155"/>
      <c r="FZ118" s="155"/>
      <c r="GA118" s="155"/>
      <c r="GB118" s="155"/>
      <c r="GC118" s="155"/>
      <c r="GD118" s="155"/>
      <c r="GE118" s="155"/>
      <c r="GF118" s="155"/>
      <c r="GG118" s="155"/>
      <c r="GH118" s="155"/>
      <c r="GI118" s="155"/>
      <c r="GJ118" s="155"/>
      <c r="GK118" s="155"/>
      <c r="GL118" s="155"/>
      <c r="GM118" s="155"/>
      <c r="GN118" s="155"/>
      <c r="GO118" s="155"/>
      <c r="GP118" s="155"/>
      <c r="GQ118" s="155"/>
      <c r="GR118" s="155"/>
      <c r="GS118" s="155"/>
      <c r="GT118" s="155"/>
      <c r="GU118" s="155"/>
      <c r="GV118" s="155"/>
      <c r="GW118" s="155"/>
      <c r="GX118" s="155"/>
      <c r="GY118" s="155"/>
      <c r="GZ118" s="155"/>
      <c r="HA118" s="155"/>
      <c r="HB118" s="155"/>
      <c r="HC118" s="155"/>
      <c r="HD118" s="155"/>
      <c r="HE118" s="155"/>
      <c r="HF118" s="155"/>
      <c r="HG118" s="155"/>
      <c r="HH118" s="155"/>
      <c r="HI118" s="155"/>
      <c r="HJ118" s="155"/>
      <c r="HK118" s="155"/>
      <c r="HL118" s="155"/>
      <c r="HM118" s="155"/>
      <c r="HN118" s="155"/>
      <c r="HO118" s="155"/>
      <c r="HP118" s="155"/>
      <c r="HQ118" s="155"/>
      <c r="HR118" s="155"/>
      <c r="HS118" s="155"/>
      <c r="HT118" s="155"/>
      <c r="HU118" s="155"/>
      <c r="HV118" s="155"/>
      <c r="HW118" s="155"/>
      <c r="HX118" s="155"/>
      <c r="HY118" s="155"/>
      <c r="HZ118" s="155"/>
      <c r="IA118" s="155"/>
      <c r="IB118" s="155"/>
      <c r="IC118" s="155"/>
      <c r="ID118" s="155"/>
      <c r="IE118" s="155"/>
      <c r="IF118" s="155"/>
      <c r="IG118" s="155"/>
      <c r="IH118" s="155"/>
      <c r="II118" s="155"/>
      <c r="IJ118" s="155"/>
      <c r="IK118" s="155"/>
      <c r="IL118" s="155"/>
      <c r="IM118" s="155"/>
      <c r="IN118" s="155"/>
      <c r="IO118" s="155"/>
    </row>
    <row r="119" spans="2:249" s="147" customFormat="1" ht="15">
      <c r="B119" s="152"/>
      <c r="C119" s="170" t="s">
        <v>589</v>
      </c>
      <c r="D119" s="189" t="s">
        <v>360</v>
      </c>
      <c r="E119" s="190" t="s">
        <v>360</v>
      </c>
      <c r="F119" s="193" t="s">
        <v>360</v>
      </c>
      <c r="G119" s="190" t="s">
        <v>360</v>
      </c>
      <c r="H119" s="199" t="s">
        <v>360</v>
      </c>
      <c r="I119" s="199" t="s">
        <v>360</v>
      </c>
      <c r="J119" s="199" t="s">
        <v>360</v>
      </c>
      <c r="K119" s="199" t="s">
        <v>360</v>
      </c>
      <c r="L119" s="199" t="s">
        <v>360</v>
      </c>
      <c r="M119" s="193" t="s">
        <v>360</v>
      </c>
      <c r="N119" s="190" t="s">
        <v>360</v>
      </c>
      <c r="O119" s="199" t="s">
        <v>360</v>
      </c>
      <c r="P119" s="199" t="s">
        <v>360</v>
      </c>
      <c r="Q119" s="199" t="s">
        <v>360</v>
      </c>
      <c r="R119" s="209" t="s">
        <v>360</v>
      </c>
      <c r="S119" s="192" t="s">
        <v>360</v>
      </c>
      <c r="T119" s="197" t="s">
        <v>360</v>
      </c>
      <c r="U119" s="197" t="s">
        <v>360</v>
      </c>
      <c r="V119" s="197" t="s">
        <v>360</v>
      </c>
      <c r="W119" s="197" t="s">
        <v>360</v>
      </c>
      <c r="X119" s="197" t="s">
        <v>360</v>
      </c>
      <c r="Y119" s="197" t="s">
        <v>360</v>
      </c>
      <c r="Z119" s="197" t="s">
        <v>360</v>
      </c>
      <c r="AA119" s="197" t="s">
        <v>360</v>
      </c>
      <c r="AB119" s="197" t="s">
        <v>360</v>
      </c>
      <c r="AC119" s="197" t="s">
        <v>360</v>
      </c>
      <c r="AD119" s="197" t="s">
        <v>360</v>
      </c>
      <c r="AE119" s="198" t="s">
        <v>360</v>
      </c>
      <c r="AF119" s="197" t="s">
        <v>360</v>
      </c>
      <c r="AG119" s="197" t="s">
        <v>360</v>
      </c>
      <c r="AH119" s="197" t="s">
        <v>360</v>
      </c>
      <c r="AI119" s="197" t="s">
        <v>360</v>
      </c>
      <c r="AJ119" s="197" t="s">
        <v>360</v>
      </c>
      <c r="AK119" s="204" t="s">
        <v>360</v>
      </c>
      <c r="AL119" s="199" t="s">
        <v>360</v>
      </c>
      <c r="AM119" s="199" t="s">
        <v>360</v>
      </c>
      <c r="AN119" s="199" t="s">
        <v>360</v>
      </c>
      <c r="AO119" s="199" t="s">
        <v>360</v>
      </c>
      <c r="AP119" s="199" t="s">
        <v>360</v>
      </c>
      <c r="AQ119" s="199" t="s">
        <v>360</v>
      </c>
      <c r="AR119" s="199" t="s">
        <v>360</v>
      </c>
      <c r="AS119" s="199" t="s">
        <v>360</v>
      </c>
      <c r="AT119" s="199" t="s">
        <v>360</v>
      </c>
      <c r="AU119" s="199" t="s">
        <v>360</v>
      </c>
      <c r="AV119" s="199" t="s">
        <v>360</v>
      </c>
      <c r="AW119" s="199" t="s">
        <v>360</v>
      </c>
      <c r="AX119" s="199" t="s">
        <v>360</v>
      </c>
      <c r="AY119" s="199" t="s">
        <v>360</v>
      </c>
      <c r="AZ119" s="199" t="s">
        <v>360</v>
      </c>
      <c r="BA119" s="199" t="s">
        <v>360</v>
      </c>
      <c r="BB119" s="199" t="s">
        <v>360</v>
      </c>
      <c r="BC119" s="199" t="s">
        <v>360</v>
      </c>
      <c r="BD119" s="199" t="s">
        <v>360</v>
      </c>
      <c r="BE119" s="199" t="s">
        <v>360</v>
      </c>
      <c r="BF119" s="199" t="s">
        <v>360</v>
      </c>
      <c r="BG119" s="199" t="s">
        <v>360</v>
      </c>
      <c r="BH119" s="199" t="s">
        <v>360</v>
      </c>
      <c r="BI119" s="199" t="s">
        <v>360</v>
      </c>
      <c r="BJ119" s="199" t="s">
        <v>360</v>
      </c>
      <c r="BK119" s="199" t="s">
        <v>360</v>
      </c>
      <c r="BL119" s="199" t="s">
        <v>360</v>
      </c>
      <c r="BM119" s="199" t="s">
        <v>360</v>
      </c>
      <c r="BN119" s="199" t="s">
        <v>360</v>
      </c>
      <c r="BO119" s="199" t="s">
        <v>360</v>
      </c>
      <c r="BP119" s="199" t="s">
        <v>360</v>
      </c>
      <c r="BQ119" s="199" t="s">
        <v>360</v>
      </c>
      <c r="BR119" s="199" t="s">
        <v>360</v>
      </c>
      <c r="BS119" s="199" t="s">
        <v>360</v>
      </c>
      <c r="BT119" s="199" t="s">
        <v>360</v>
      </c>
      <c r="BU119" s="199" t="s">
        <v>360</v>
      </c>
      <c r="BV119" s="199" t="s">
        <v>360</v>
      </c>
      <c r="BW119" s="199" t="s">
        <v>360</v>
      </c>
      <c r="BX119" s="199" t="s">
        <v>360</v>
      </c>
      <c r="BY119" s="199" t="s">
        <v>360</v>
      </c>
      <c r="BZ119" s="199" t="s">
        <v>360</v>
      </c>
      <c r="CA119" s="199" t="s">
        <v>360</v>
      </c>
      <c r="CB119" s="199" t="s">
        <v>360</v>
      </c>
      <c r="CC119" s="199" t="s">
        <v>360</v>
      </c>
      <c r="CD119" s="199" t="s">
        <v>360</v>
      </c>
      <c r="CE119" s="197"/>
      <c r="CF119" s="197"/>
      <c r="CG119" s="197"/>
      <c r="CH119" s="197"/>
      <c r="CI119" s="197"/>
      <c r="CJ119" s="197"/>
      <c r="CK119" s="197"/>
      <c r="CL119" s="197"/>
      <c r="CM119" s="197"/>
      <c r="CN119" s="197"/>
      <c r="CO119" s="197"/>
      <c r="CP119" s="197"/>
      <c r="CQ119" s="197"/>
      <c r="CR119" s="197"/>
      <c r="CS119" s="197"/>
      <c r="CT119" s="197"/>
      <c r="CU119" s="197"/>
      <c r="CV119" s="197"/>
      <c r="CW119" s="197"/>
      <c r="CX119" s="197"/>
      <c r="CY119" s="197"/>
      <c r="CZ119" s="197"/>
      <c r="DA119" s="197"/>
      <c r="DB119" s="197"/>
      <c r="DC119" s="197"/>
      <c r="DD119" s="197"/>
      <c r="DE119" s="197"/>
      <c r="DF119" s="197"/>
      <c r="DG119" s="197"/>
      <c r="DH119" s="197"/>
      <c r="DI119" s="197"/>
      <c r="DJ119" s="197"/>
      <c r="DK119" s="197"/>
      <c r="DL119" s="197"/>
      <c r="DM119" s="197"/>
      <c r="DN119" s="197"/>
      <c r="DO119" s="197"/>
      <c r="DP119" s="197"/>
      <c r="DQ119" s="197"/>
      <c r="DR119" s="197"/>
      <c r="DS119" s="197"/>
      <c r="DT119" s="197"/>
      <c r="DU119" s="197"/>
      <c r="DV119" s="197"/>
      <c r="DW119" s="197"/>
      <c r="DX119" s="197"/>
      <c r="DY119" s="197"/>
      <c r="DZ119" s="197"/>
      <c r="EA119" s="197"/>
      <c r="EB119" s="197"/>
      <c r="EC119" s="197"/>
      <c r="ED119" s="197"/>
      <c r="EE119" s="197"/>
      <c r="EF119" s="197"/>
      <c r="EG119" s="197"/>
      <c r="EH119" s="197"/>
      <c r="EI119" s="197"/>
      <c r="EJ119" s="197"/>
      <c r="EK119" s="197"/>
      <c r="EL119" s="197"/>
      <c r="EM119" s="197"/>
      <c r="EN119" s="197"/>
      <c r="EO119" s="197"/>
      <c r="EP119" s="197"/>
      <c r="EQ119" s="197"/>
      <c r="ER119" s="197"/>
      <c r="ES119" s="197"/>
      <c r="ET119" s="197"/>
      <c r="EU119" s="197"/>
      <c r="EV119" s="197"/>
      <c r="EW119" s="197"/>
      <c r="EX119" s="197"/>
      <c r="EY119" s="197"/>
      <c r="EZ119" s="197"/>
      <c r="FA119" s="197"/>
      <c r="FB119" s="197"/>
      <c r="FC119" s="197"/>
      <c r="FD119" s="197"/>
      <c r="FE119" s="197"/>
      <c r="FF119" s="197"/>
      <c r="FG119" s="197"/>
      <c r="FH119" s="197"/>
      <c r="FI119" s="197"/>
      <c r="FJ119" s="197"/>
      <c r="FK119" s="197"/>
      <c r="FL119" s="197"/>
      <c r="FM119" s="197"/>
      <c r="FN119" s="197"/>
      <c r="FO119" s="197"/>
      <c r="FP119" s="197"/>
      <c r="FQ119" s="197"/>
      <c r="FR119" s="197"/>
      <c r="FS119" s="197"/>
      <c r="FT119" s="197"/>
      <c r="FU119" s="197"/>
      <c r="FV119" s="197"/>
      <c r="FW119" s="197"/>
      <c r="FX119" s="197"/>
      <c r="FY119" s="197"/>
      <c r="FZ119" s="197"/>
      <c r="GA119" s="197"/>
      <c r="GB119" s="197"/>
      <c r="GC119" s="197"/>
      <c r="GD119" s="197"/>
      <c r="GE119" s="197"/>
      <c r="GF119" s="197"/>
      <c r="GG119" s="197"/>
      <c r="GH119" s="197"/>
      <c r="GI119" s="197"/>
      <c r="GJ119" s="197"/>
      <c r="GK119" s="197"/>
      <c r="GL119" s="197"/>
      <c r="GM119" s="197"/>
      <c r="GN119" s="197"/>
      <c r="GO119" s="197"/>
      <c r="GP119" s="197"/>
      <c r="GQ119" s="197"/>
      <c r="GR119" s="197"/>
      <c r="GS119" s="197"/>
      <c r="GT119" s="197"/>
      <c r="GU119" s="197"/>
      <c r="GV119" s="197"/>
      <c r="GW119" s="197"/>
      <c r="GX119" s="197"/>
      <c r="GY119" s="197"/>
      <c r="GZ119" s="197"/>
      <c r="HA119" s="197"/>
      <c r="HB119" s="197"/>
      <c r="HC119" s="197"/>
      <c r="HD119" s="197"/>
      <c r="HE119" s="197"/>
      <c r="HF119" s="197"/>
      <c r="HG119" s="197"/>
      <c r="HH119" s="197"/>
      <c r="HI119" s="197"/>
      <c r="HJ119" s="197"/>
      <c r="HK119" s="197"/>
      <c r="HL119" s="197"/>
      <c r="HM119" s="197"/>
      <c r="HN119" s="197"/>
      <c r="HO119" s="197"/>
      <c r="HP119" s="197"/>
      <c r="HQ119" s="197"/>
      <c r="HR119" s="197"/>
      <c r="HS119" s="197"/>
      <c r="HT119" s="197"/>
      <c r="HU119" s="197"/>
      <c r="HV119" s="197"/>
      <c r="HW119" s="197"/>
      <c r="HX119" s="197"/>
      <c r="HY119" s="197"/>
      <c r="HZ119" s="197"/>
      <c r="IA119" s="197"/>
      <c r="IB119" s="197"/>
      <c r="IC119" s="197"/>
      <c r="ID119" s="197"/>
      <c r="IE119" s="197"/>
      <c r="IF119" s="197"/>
      <c r="IG119" s="197"/>
      <c r="IH119" s="197"/>
      <c r="II119" s="197"/>
      <c r="IJ119" s="197"/>
      <c r="IK119" s="197"/>
      <c r="IL119" s="197"/>
      <c r="IM119" s="197"/>
      <c r="IN119" s="197"/>
      <c r="IO119" s="197"/>
    </row>
    <row r="120" spans="2:249" s="147" customFormat="1" ht="15.75" thickBot="1">
      <c r="B120" s="152"/>
      <c r="C120" s="170" t="s">
        <v>590</v>
      </c>
      <c r="D120" s="194" t="s">
        <v>360</v>
      </c>
      <c r="E120" s="195" t="s">
        <v>360</v>
      </c>
      <c r="F120" s="196" t="s">
        <v>360</v>
      </c>
      <c r="G120" s="195" t="s">
        <v>360</v>
      </c>
      <c r="H120" s="203" t="s">
        <v>360</v>
      </c>
      <c r="I120" s="203" t="s">
        <v>360</v>
      </c>
      <c r="J120" s="203" t="s">
        <v>360</v>
      </c>
      <c r="K120" s="203" t="s">
        <v>360</v>
      </c>
      <c r="L120" s="203" t="s">
        <v>360</v>
      </c>
      <c r="M120" s="196" t="s">
        <v>360</v>
      </c>
      <c r="N120" s="195" t="s">
        <v>360</v>
      </c>
      <c r="O120" s="203" t="s">
        <v>360</v>
      </c>
      <c r="P120" s="203" t="s">
        <v>360</v>
      </c>
      <c r="Q120" s="203" t="s">
        <v>360</v>
      </c>
      <c r="R120" s="210" t="s">
        <v>360</v>
      </c>
      <c r="S120" s="216" t="s">
        <v>360</v>
      </c>
      <c r="T120" s="217" t="s">
        <v>360</v>
      </c>
      <c r="U120" s="217" t="s">
        <v>360</v>
      </c>
      <c r="V120" s="217" t="s">
        <v>360</v>
      </c>
      <c r="W120" s="217" t="s">
        <v>360</v>
      </c>
      <c r="X120" s="217" t="s">
        <v>360</v>
      </c>
      <c r="Y120" s="217" t="s">
        <v>360</v>
      </c>
      <c r="Z120" s="217" t="s">
        <v>360</v>
      </c>
      <c r="AA120" s="217" t="s">
        <v>360</v>
      </c>
      <c r="AB120" s="217" t="s">
        <v>360</v>
      </c>
      <c r="AC120" s="217" t="s">
        <v>360</v>
      </c>
      <c r="AD120" s="217" t="s">
        <v>360</v>
      </c>
      <c r="AE120" s="218" t="s">
        <v>360</v>
      </c>
      <c r="AF120" s="217" t="s">
        <v>360</v>
      </c>
      <c r="AG120" s="217" t="s">
        <v>360</v>
      </c>
      <c r="AH120" s="217" t="s">
        <v>360</v>
      </c>
      <c r="AI120" s="217" t="s">
        <v>360</v>
      </c>
      <c r="AJ120" s="217" t="s">
        <v>360</v>
      </c>
      <c r="AK120" s="223" t="s">
        <v>360</v>
      </c>
      <c r="AL120" s="199" t="s">
        <v>360</v>
      </c>
      <c r="AM120" s="199" t="s">
        <v>360</v>
      </c>
      <c r="AN120" s="199" t="s">
        <v>360</v>
      </c>
      <c r="AO120" s="199" t="s">
        <v>360</v>
      </c>
      <c r="AP120" s="199" t="s">
        <v>360</v>
      </c>
      <c r="AQ120" s="199" t="s">
        <v>360</v>
      </c>
      <c r="AR120" s="199" t="s">
        <v>360</v>
      </c>
      <c r="AS120" s="199" t="s">
        <v>360</v>
      </c>
      <c r="AT120" s="199" t="s">
        <v>360</v>
      </c>
      <c r="AU120" s="199" t="s">
        <v>360</v>
      </c>
      <c r="AV120" s="199" t="s">
        <v>360</v>
      </c>
      <c r="AW120" s="199" t="s">
        <v>360</v>
      </c>
      <c r="AX120" s="199" t="s">
        <v>360</v>
      </c>
      <c r="AY120" s="199" t="s">
        <v>360</v>
      </c>
      <c r="AZ120" s="199" t="s">
        <v>360</v>
      </c>
      <c r="BA120" s="199" t="s">
        <v>360</v>
      </c>
      <c r="BB120" s="199" t="s">
        <v>360</v>
      </c>
      <c r="BC120" s="199" t="s">
        <v>360</v>
      </c>
      <c r="BD120" s="199" t="s">
        <v>360</v>
      </c>
      <c r="BE120" s="199" t="s">
        <v>360</v>
      </c>
      <c r="BF120" s="199" t="s">
        <v>360</v>
      </c>
      <c r="BG120" s="199" t="s">
        <v>360</v>
      </c>
      <c r="BH120" s="199" t="s">
        <v>360</v>
      </c>
      <c r="BI120" s="199" t="s">
        <v>360</v>
      </c>
      <c r="BJ120" s="199" t="s">
        <v>360</v>
      </c>
      <c r="BK120" s="199" t="s">
        <v>360</v>
      </c>
      <c r="BL120" s="199" t="s">
        <v>360</v>
      </c>
      <c r="BM120" s="199" t="s">
        <v>360</v>
      </c>
      <c r="BN120" s="199" t="s">
        <v>360</v>
      </c>
      <c r="BO120" s="199" t="s">
        <v>360</v>
      </c>
      <c r="BP120" s="199" t="s">
        <v>360</v>
      </c>
      <c r="BQ120" s="199" t="s">
        <v>360</v>
      </c>
      <c r="BR120" s="199" t="s">
        <v>360</v>
      </c>
      <c r="BS120" s="199" t="s">
        <v>360</v>
      </c>
      <c r="BT120" s="199" t="s">
        <v>360</v>
      </c>
      <c r="BU120" s="199" t="s">
        <v>360</v>
      </c>
      <c r="BV120" s="199" t="s">
        <v>360</v>
      </c>
      <c r="BW120" s="199" t="s">
        <v>360</v>
      </c>
      <c r="BX120" s="199" t="s">
        <v>360</v>
      </c>
      <c r="BY120" s="199" t="s">
        <v>360</v>
      </c>
      <c r="BZ120" s="199" t="s">
        <v>360</v>
      </c>
      <c r="CA120" s="199" t="s">
        <v>360</v>
      </c>
      <c r="CB120" s="199" t="s">
        <v>360</v>
      </c>
      <c r="CC120" s="199" t="s">
        <v>360</v>
      </c>
      <c r="CD120" s="199" t="s">
        <v>360</v>
      </c>
      <c r="CE120" s="197"/>
      <c r="CF120" s="197"/>
      <c r="CG120" s="197"/>
      <c r="CH120" s="197"/>
      <c r="CI120" s="197"/>
      <c r="CJ120" s="197"/>
      <c r="CK120" s="197"/>
      <c r="CL120" s="197"/>
      <c r="CM120" s="197"/>
      <c r="CN120" s="197"/>
      <c r="CO120" s="197"/>
      <c r="CP120" s="197"/>
      <c r="CQ120" s="197"/>
      <c r="CR120" s="197"/>
      <c r="CS120" s="197"/>
      <c r="CT120" s="197"/>
      <c r="CU120" s="197"/>
      <c r="CV120" s="197"/>
      <c r="CW120" s="197"/>
      <c r="CX120" s="197"/>
      <c r="CY120" s="197"/>
      <c r="CZ120" s="197"/>
      <c r="DA120" s="197"/>
      <c r="DB120" s="197"/>
      <c r="DC120" s="197"/>
      <c r="DD120" s="197"/>
      <c r="DE120" s="197"/>
      <c r="DF120" s="197"/>
      <c r="DG120" s="197"/>
      <c r="DH120" s="197"/>
      <c r="DI120" s="197"/>
      <c r="DJ120" s="197"/>
      <c r="DK120" s="197"/>
      <c r="DL120" s="197"/>
      <c r="DM120" s="197"/>
      <c r="DN120" s="197"/>
      <c r="DO120" s="197"/>
      <c r="DP120" s="197"/>
      <c r="DQ120" s="197"/>
      <c r="DR120" s="197"/>
      <c r="DS120" s="197"/>
      <c r="DT120" s="197"/>
      <c r="DU120" s="197"/>
      <c r="DV120" s="197"/>
      <c r="DW120" s="197"/>
      <c r="DX120" s="197"/>
      <c r="DY120" s="197"/>
      <c r="DZ120" s="197"/>
      <c r="EA120" s="197"/>
      <c r="EB120" s="197"/>
      <c r="EC120" s="197"/>
      <c r="ED120" s="197"/>
      <c r="EE120" s="197"/>
      <c r="EF120" s="197"/>
      <c r="EG120" s="197"/>
      <c r="EH120" s="197"/>
      <c r="EI120" s="197"/>
      <c r="EJ120" s="197"/>
      <c r="EK120" s="197"/>
      <c r="EL120" s="197"/>
      <c r="EM120" s="197"/>
      <c r="EN120" s="197"/>
      <c r="EO120" s="197"/>
      <c r="EP120" s="197"/>
      <c r="EQ120" s="197"/>
      <c r="ER120" s="197"/>
      <c r="ES120" s="197"/>
      <c r="ET120" s="197"/>
      <c r="EU120" s="197"/>
      <c r="EV120" s="197"/>
      <c r="EW120" s="197"/>
      <c r="EX120" s="197"/>
      <c r="EY120" s="197"/>
      <c r="EZ120" s="197"/>
      <c r="FA120" s="197"/>
      <c r="FB120" s="197"/>
      <c r="FC120" s="197"/>
      <c r="FD120" s="197"/>
      <c r="FE120" s="197"/>
      <c r="FF120" s="197"/>
      <c r="FG120" s="197"/>
      <c r="FH120" s="197"/>
      <c r="FI120" s="197"/>
      <c r="FJ120" s="197"/>
      <c r="FK120" s="197"/>
      <c r="FL120" s="197"/>
      <c r="FM120" s="197"/>
      <c r="FN120" s="197"/>
      <c r="FO120" s="197"/>
      <c r="FP120" s="197"/>
      <c r="FQ120" s="197"/>
      <c r="FR120" s="197"/>
      <c r="FS120" s="197"/>
      <c r="FT120" s="197"/>
      <c r="FU120" s="197"/>
      <c r="FV120" s="197"/>
      <c r="FW120" s="197"/>
      <c r="FX120" s="197"/>
      <c r="FY120" s="197"/>
      <c r="FZ120" s="197"/>
      <c r="GA120" s="197"/>
      <c r="GB120" s="197"/>
      <c r="GC120" s="197"/>
      <c r="GD120" s="197"/>
      <c r="GE120" s="197"/>
      <c r="GF120" s="197"/>
      <c r="GG120" s="197"/>
      <c r="GH120" s="197"/>
      <c r="GI120" s="197"/>
      <c r="GJ120" s="197"/>
      <c r="GK120" s="197"/>
      <c r="GL120" s="197"/>
      <c r="GM120" s="197"/>
      <c r="GN120" s="197"/>
      <c r="GO120" s="197"/>
      <c r="GP120" s="197"/>
      <c r="GQ120" s="197"/>
      <c r="GR120" s="197"/>
      <c r="GS120" s="197"/>
      <c r="GT120" s="197"/>
      <c r="GU120" s="197"/>
      <c r="GV120" s="197"/>
      <c r="GW120" s="197"/>
      <c r="GX120" s="197"/>
      <c r="GY120" s="197"/>
      <c r="GZ120" s="197"/>
      <c r="HA120" s="197"/>
      <c r="HB120" s="197"/>
      <c r="HC120" s="197"/>
      <c r="HD120" s="197"/>
      <c r="HE120" s="197"/>
      <c r="HF120" s="197"/>
      <c r="HG120" s="197"/>
      <c r="HH120" s="197"/>
      <c r="HI120" s="197"/>
      <c r="HJ120" s="197"/>
      <c r="HK120" s="197"/>
      <c r="HL120" s="197"/>
      <c r="HM120" s="197"/>
      <c r="HN120" s="197"/>
      <c r="HO120" s="197"/>
      <c r="HP120" s="197"/>
      <c r="HQ120" s="197"/>
      <c r="HR120" s="197"/>
      <c r="HS120" s="197"/>
      <c r="HT120" s="197"/>
      <c r="HU120" s="197"/>
      <c r="HV120" s="197"/>
      <c r="HW120" s="197"/>
      <c r="HX120" s="197"/>
      <c r="HY120" s="197"/>
      <c r="HZ120" s="197"/>
      <c r="IA120" s="197"/>
      <c r="IB120" s="197"/>
      <c r="IC120" s="197"/>
      <c r="ID120" s="197"/>
      <c r="IE120" s="197"/>
      <c r="IF120" s="197"/>
      <c r="IG120" s="197"/>
      <c r="IH120" s="197"/>
      <c r="II120" s="197"/>
      <c r="IJ120" s="197"/>
      <c r="IK120" s="197"/>
      <c r="IL120" s="197"/>
      <c r="IM120" s="197"/>
      <c r="IN120" s="197"/>
      <c r="IO120" s="197"/>
    </row>
    <row r="121" spans="2:249">
      <c r="B121" s="126"/>
      <c r="C121" s="130"/>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c r="AA121" s="131"/>
      <c r="AB121" s="131"/>
      <c r="AC121" s="131"/>
      <c r="AD121" s="131"/>
      <c r="AE121" s="131"/>
      <c r="AF121" s="131"/>
      <c r="AG121" s="131"/>
      <c r="AH121" s="131"/>
      <c r="AI121" s="131"/>
      <c r="AJ121" s="131"/>
      <c r="AK121" s="131"/>
      <c r="AL121" s="131"/>
      <c r="AM121" s="131"/>
      <c r="AN121" s="131"/>
      <c r="AO121" s="131"/>
      <c r="AP121" s="131"/>
      <c r="AQ121" s="131"/>
      <c r="AR121" s="131"/>
      <c r="AS121" s="131"/>
      <c r="AT121" s="131"/>
      <c r="AU121" s="131"/>
      <c r="AV121" s="131"/>
      <c r="AW121" s="131"/>
      <c r="AX121" s="131"/>
      <c r="AY121" s="131"/>
      <c r="AZ121" s="131"/>
      <c r="BA121" s="131"/>
      <c r="BB121" s="131"/>
      <c r="BC121" s="131"/>
      <c r="BD121" s="131"/>
      <c r="BE121" s="131"/>
      <c r="BF121" s="131"/>
      <c r="BG121" s="131"/>
      <c r="BH121" s="131"/>
      <c r="BI121" s="131"/>
      <c r="BJ121" s="131"/>
      <c r="BK121" s="131"/>
      <c r="BL121" s="131"/>
      <c r="BM121" s="131"/>
      <c r="BN121" s="131"/>
      <c r="BO121" s="131"/>
      <c r="BP121" s="131"/>
      <c r="BQ121" s="131"/>
      <c r="BR121" s="131"/>
      <c r="BS121" s="131"/>
      <c r="BT121" s="131"/>
      <c r="BU121" s="131"/>
      <c r="BV121" s="131"/>
      <c r="BW121" s="131"/>
      <c r="BX121" s="131"/>
      <c r="BY121" s="131"/>
      <c r="BZ121" s="131"/>
      <c r="CA121" s="131"/>
      <c r="CB121" s="131"/>
      <c r="CC121" s="131"/>
      <c r="CD121" s="131"/>
      <c r="CE121" s="131"/>
      <c r="CF121" s="131"/>
      <c r="CG121" s="131"/>
      <c r="CH121" s="131"/>
      <c r="CI121" s="131"/>
      <c r="CJ121" s="131"/>
      <c r="CK121" s="131"/>
      <c r="CL121" s="131"/>
      <c r="CM121" s="131"/>
      <c r="CN121" s="131"/>
      <c r="CO121" s="131"/>
      <c r="CP121" s="131"/>
      <c r="CQ121" s="131"/>
      <c r="CR121" s="131"/>
      <c r="CS121" s="131"/>
      <c r="CT121" s="131"/>
      <c r="CU121" s="131"/>
      <c r="CV121" s="131"/>
      <c r="CW121" s="131"/>
      <c r="CX121" s="131"/>
      <c r="CY121" s="131"/>
      <c r="CZ121" s="131"/>
      <c r="DA121" s="131"/>
      <c r="DB121" s="131"/>
      <c r="DC121" s="131"/>
      <c r="DD121" s="131"/>
      <c r="DE121" s="131"/>
      <c r="DF121" s="131"/>
      <c r="DG121" s="131"/>
      <c r="DH121" s="131"/>
      <c r="DI121" s="131"/>
      <c r="DJ121" s="131"/>
      <c r="DK121" s="131"/>
      <c r="DL121" s="131"/>
      <c r="DM121" s="131"/>
      <c r="DN121" s="131"/>
      <c r="DO121" s="131"/>
      <c r="DP121" s="131"/>
      <c r="DQ121" s="131"/>
      <c r="DR121" s="131"/>
      <c r="DS121" s="131"/>
      <c r="DT121" s="131"/>
      <c r="DU121" s="131"/>
      <c r="DV121" s="131"/>
      <c r="DW121" s="131"/>
      <c r="DX121" s="131"/>
      <c r="DY121" s="131"/>
      <c r="DZ121" s="131"/>
      <c r="EA121" s="131"/>
      <c r="EB121" s="131"/>
      <c r="EC121" s="131"/>
      <c r="ED121" s="131"/>
      <c r="EE121" s="131"/>
      <c r="EF121" s="131"/>
      <c r="EG121" s="131"/>
      <c r="EH121" s="131"/>
      <c r="EI121" s="131"/>
      <c r="EJ121" s="131"/>
      <c r="EK121" s="131"/>
      <c r="EL121" s="131"/>
      <c r="EM121" s="131"/>
      <c r="EN121" s="131"/>
      <c r="EO121" s="131"/>
      <c r="EP121" s="131"/>
      <c r="EQ121" s="131"/>
      <c r="ER121" s="131"/>
      <c r="ES121" s="131"/>
      <c r="ET121" s="131"/>
      <c r="EU121" s="131"/>
      <c r="EV121" s="131"/>
      <c r="EW121" s="131"/>
      <c r="EX121" s="131"/>
      <c r="EY121" s="131"/>
      <c r="EZ121" s="131"/>
      <c r="FA121" s="131"/>
      <c r="FB121" s="131"/>
      <c r="FC121" s="131"/>
      <c r="FD121" s="131"/>
      <c r="FE121" s="131"/>
      <c r="FF121" s="131"/>
      <c r="FG121" s="131"/>
      <c r="FH121" s="131"/>
      <c r="FI121" s="131"/>
      <c r="FJ121" s="131"/>
      <c r="FK121" s="131"/>
      <c r="FL121" s="131"/>
      <c r="FM121" s="131"/>
      <c r="FN121" s="131"/>
      <c r="FO121" s="131"/>
      <c r="FP121" s="131"/>
      <c r="FQ121" s="131"/>
      <c r="FR121" s="131"/>
      <c r="FS121" s="131"/>
      <c r="FT121" s="131"/>
      <c r="FU121" s="131"/>
      <c r="FV121" s="131"/>
      <c r="FW121" s="131"/>
      <c r="FX121" s="131"/>
      <c r="FY121" s="131"/>
      <c r="FZ121" s="131"/>
      <c r="GA121" s="131"/>
      <c r="GB121" s="131"/>
      <c r="GC121" s="131"/>
      <c r="GD121" s="131"/>
      <c r="GE121" s="131"/>
      <c r="GF121" s="131"/>
      <c r="GG121" s="131"/>
      <c r="GH121" s="131"/>
      <c r="GI121" s="131"/>
      <c r="GJ121" s="131"/>
      <c r="GK121" s="131"/>
      <c r="GL121" s="131"/>
      <c r="GM121" s="131"/>
      <c r="GN121" s="131"/>
      <c r="GO121" s="131"/>
      <c r="GP121" s="131"/>
      <c r="GQ121" s="131"/>
      <c r="GR121" s="131"/>
      <c r="GS121" s="131"/>
      <c r="GT121" s="131"/>
      <c r="GU121" s="131"/>
      <c r="GV121" s="131"/>
      <c r="GW121" s="131"/>
      <c r="GX121" s="131"/>
      <c r="GY121" s="131"/>
      <c r="GZ121" s="131"/>
      <c r="HA121" s="131"/>
      <c r="HB121" s="131"/>
      <c r="HC121" s="131"/>
      <c r="HD121" s="131"/>
      <c r="HE121" s="131"/>
      <c r="HF121" s="131"/>
      <c r="HG121" s="131"/>
      <c r="HH121" s="131"/>
      <c r="HI121" s="131"/>
      <c r="HJ121" s="131"/>
      <c r="HK121" s="131"/>
      <c r="HL121" s="131"/>
      <c r="HM121" s="131"/>
      <c r="HN121" s="131"/>
      <c r="HO121" s="131"/>
      <c r="HP121" s="131"/>
      <c r="HQ121" s="131"/>
      <c r="HR121" s="131"/>
      <c r="HS121" s="131"/>
      <c r="HT121" s="131"/>
      <c r="HU121" s="131"/>
      <c r="HV121" s="131"/>
      <c r="HW121" s="131"/>
      <c r="HX121" s="131"/>
      <c r="HY121" s="131"/>
      <c r="HZ121" s="131"/>
      <c r="IA121" s="131"/>
      <c r="IB121" s="131"/>
      <c r="IC121" s="131"/>
      <c r="ID121" s="131"/>
      <c r="IE121" s="131"/>
      <c r="IF121" s="131"/>
      <c r="IG121" s="131"/>
      <c r="IH121" s="131"/>
      <c r="II121" s="131"/>
      <c r="IJ121" s="131"/>
      <c r="IK121" s="131"/>
      <c r="IL121" s="131"/>
      <c r="IM121" s="131"/>
      <c r="IN121" s="131"/>
      <c r="IO121" s="131"/>
    </row>
    <row r="122" spans="2:249" ht="30" customHeight="1">
      <c r="B122" s="251" t="s">
        <v>500</v>
      </c>
      <c r="C122" s="252"/>
      <c r="D122" s="131"/>
      <c r="E122" s="131"/>
      <c r="F122" s="131"/>
      <c r="G122" s="131"/>
      <c r="H122" s="131"/>
      <c r="I122" s="131"/>
      <c r="J122" s="131"/>
      <c r="K122" s="131"/>
      <c r="L122" s="131"/>
      <c r="M122" s="131"/>
      <c r="N122" s="131"/>
      <c r="O122" s="131"/>
      <c r="P122" s="131"/>
      <c r="Q122" s="131"/>
      <c r="R122" s="131"/>
      <c r="S122" s="131"/>
      <c r="T122" s="131"/>
      <c r="U122" s="131"/>
      <c r="V122" s="131"/>
      <c r="W122" s="131"/>
      <c r="X122" s="131"/>
      <c r="Y122" s="131"/>
      <c r="Z122" s="131"/>
      <c r="AA122" s="131"/>
      <c r="AB122" s="131"/>
      <c r="AC122" s="131"/>
      <c r="AD122" s="131"/>
      <c r="AE122" s="131"/>
      <c r="AF122" s="131"/>
      <c r="AG122" s="131"/>
      <c r="AH122" s="131"/>
      <c r="AI122" s="131"/>
      <c r="AJ122" s="131"/>
      <c r="AK122" s="131"/>
      <c r="AL122" s="131"/>
      <c r="AM122" s="131"/>
      <c r="AN122" s="131"/>
      <c r="AO122" s="131"/>
      <c r="AP122" s="131"/>
      <c r="AQ122" s="131"/>
      <c r="AR122" s="131"/>
      <c r="AS122" s="131"/>
      <c r="AT122" s="131"/>
      <c r="AU122" s="131"/>
      <c r="AV122" s="131"/>
      <c r="AW122" s="131"/>
      <c r="AX122" s="131"/>
      <c r="AY122" s="131"/>
      <c r="AZ122" s="131"/>
      <c r="BA122" s="131"/>
      <c r="BB122" s="131"/>
      <c r="BC122" s="131"/>
      <c r="BD122" s="131"/>
      <c r="BE122" s="131"/>
      <c r="BF122" s="131"/>
      <c r="BG122" s="131"/>
      <c r="BH122" s="131"/>
      <c r="BI122" s="131"/>
      <c r="BJ122" s="131"/>
      <c r="BK122" s="131"/>
      <c r="BL122" s="131"/>
      <c r="BM122" s="131"/>
      <c r="BN122" s="131"/>
      <c r="BO122" s="131"/>
      <c r="BP122" s="131"/>
      <c r="BQ122" s="131"/>
      <c r="BR122" s="131"/>
      <c r="BS122" s="131"/>
      <c r="BT122" s="131"/>
      <c r="BU122" s="131"/>
      <c r="BV122" s="131"/>
      <c r="BW122" s="131"/>
      <c r="BX122" s="131"/>
      <c r="BY122" s="131"/>
      <c r="BZ122" s="131"/>
      <c r="CA122" s="131"/>
      <c r="CB122" s="131"/>
      <c r="CC122" s="131"/>
      <c r="CD122" s="131"/>
      <c r="CE122" s="131"/>
      <c r="CF122" s="131"/>
      <c r="CG122" s="131"/>
      <c r="CH122" s="131"/>
      <c r="CI122" s="131"/>
      <c r="CJ122" s="131"/>
      <c r="CK122" s="131"/>
      <c r="CL122" s="131"/>
      <c r="CM122" s="131"/>
      <c r="CN122" s="131"/>
      <c r="CO122" s="131"/>
      <c r="CP122" s="131"/>
      <c r="CQ122" s="131"/>
      <c r="CR122" s="131"/>
      <c r="CS122" s="131"/>
      <c r="CT122" s="131"/>
      <c r="CU122" s="131"/>
      <c r="CV122" s="131"/>
      <c r="CW122" s="131"/>
      <c r="CX122" s="131"/>
      <c r="CY122" s="131"/>
      <c r="CZ122" s="131"/>
      <c r="DA122" s="131"/>
      <c r="DB122" s="131"/>
      <c r="DC122" s="131"/>
      <c r="DD122" s="131"/>
      <c r="DE122" s="131"/>
      <c r="DF122" s="131"/>
      <c r="DG122" s="131"/>
      <c r="DH122" s="131"/>
      <c r="DI122" s="131"/>
      <c r="DJ122" s="131"/>
      <c r="DK122" s="131"/>
      <c r="DL122" s="131"/>
      <c r="DM122" s="131"/>
      <c r="DN122" s="131"/>
      <c r="DO122" s="131"/>
      <c r="DP122" s="131"/>
      <c r="DQ122" s="131"/>
      <c r="DR122" s="131"/>
      <c r="DS122" s="131"/>
      <c r="DT122" s="131"/>
      <c r="DU122" s="131"/>
      <c r="DV122" s="131"/>
      <c r="DW122" s="131"/>
      <c r="DX122" s="131"/>
      <c r="DY122" s="131"/>
      <c r="DZ122" s="131"/>
      <c r="EA122" s="131"/>
      <c r="EB122" s="131"/>
      <c r="EC122" s="131"/>
      <c r="ED122" s="131"/>
      <c r="EE122" s="131"/>
      <c r="EF122" s="131"/>
      <c r="EG122" s="131"/>
      <c r="EH122" s="131"/>
      <c r="EI122" s="131"/>
      <c r="EJ122" s="131"/>
      <c r="EK122" s="131"/>
      <c r="EL122" s="131"/>
      <c r="EM122" s="131"/>
      <c r="EN122" s="131"/>
      <c r="EO122" s="131"/>
      <c r="EP122" s="131"/>
      <c r="EQ122" s="131"/>
      <c r="ER122" s="131"/>
      <c r="ES122" s="131"/>
      <c r="ET122" s="131"/>
      <c r="EU122" s="131"/>
      <c r="EV122" s="131"/>
      <c r="EW122" s="131"/>
      <c r="EX122" s="131"/>
      <c r="EY122" s="131"/>
      <c r="EZ122" s="131"/>
      <c r="FA122" s="131"/>
      <c r="FB122" s="131"/>
      <c r="FC122" s="131"/>
      <c r="FD122" s="131"/>
      <c r="FE122" s="131"/>
      <c r="FF122" s="131"/>
      <c r="FG122" s="131"/>
      <c r="FH122" s="131"/>
      <c r="FI122" s="131"/>
      <c r="FJ122" s="131"/>
      <c r="FK122" s="131"/>
      <c r="FL122" s="131"/>
      <c r="FM122" s="131"/>
      <c r="FN122" s="131"/>
      <c r="FO122" s="131"/>
      <c r="FP122" s="131"/>
      <c r="FQ122" s="131"/>
      <c r="FR122" s="131"/>
      <c r="FS122" s="131"/>
      <c r="FT122" s="131"/>
      <c r="FU122" s="131"/>
      <c r="FV122" s="131"/>
      <c r="FW122" s="131"/>
      <c r="FX122" s="131"/>
      <c r="FY122" s="131"/>
      <c r="FZ122" s="131"/>
      <c r="GA122" s="131"/>
      <c r="GB122" s="131"/>
      <c r="GC122" s="131"/>
      <c r="GD122" s="131"/>
      <c r="GE122" s="131"/>
      <c r="GF122" s="131"/>
      <c r="GG122" s="131"/>
      <c r="GH122" s="131"/>
      <c r="GI122" s="131"/>
      <c r="GJ122" s="131"/>
      <c r="GK122" s="131"/>
      <c r="GL122" s="131"/>
      <c r="GM122" s="131"/>
      <c r="GN122" s="131"/>
      <c r="GO122" s="131"/>
      <c r="GP122" s="131"/>
      <c r="GQ122" s="131"/>
      <c r="GR122" s="131"/>
      <c r="GS122" s="131"/>
      <c r="GT122" s="131"/>
      <c r="GU122" s="131"/>
      <c r="GV122" s="131"/>
      <c r="GW122" s="131"/>
      <c r="GX122" s="131"/>
      <c r="GY122" s="131"/>
      <c r="GZ122" s="131"/>
      <c r="HA122" s="131"/>
      <c r="HB122" s="131"/>
      <c r="HC122" s="131"/>
      <c r="HD122" s="131"/>
      <c r="HE122" s="131"/>
      <c r="HF122" s="131"/>
      <c r="HG122" s="131"/>
      <c r="HH122" s="131"/>
      <c r="HI122" s="131"/>
      <c r="HJ122" s="131"/>
      <c r="HK122" s="131"/>
      <c r="HL122" s="131"/>
      <c r="HM122" s="131"/>
      <c r="HN122" s="131"/>
      <c r="HO122" s="131"/>
      <c r="HP122" s="131"/>
      <c r="HQ122" s="131"/>
      <c r="HR122" s="131"/>
      <c r="HS122" s="131"/>
      <c r="HT122" s="131"/>
      <c r="HU122" s="131"/>
      <c r="HV122" s="131"/>
      <c r="HW122" s="131"/>
      <c r="HX122" s="131"/>
      <c r="HY122" s="131"/>
      <c r="HZ122" s="131"/>
      <c r="IA122" s="131"/>
      <c r="IB122" s="131"/>
      <c r="IC122" s="131"/>
      <c r="ID122" s="131"/>
      <c r="IE122" s="131"/>
      <c r="IF122" s="131"/>
      <c r="IG122" s="131"/>
      <c r="IH122" s="131"/>
      <c r="II122" s="131"/>
      <c r="IJ122" s="131"/>
      <c r="IK122" s="131"/>
      <c r="IL122" s="131"/>
      <c r="IM122" s="131"/>
      <c r="IN122" s="131"/>
      <c r="IO122" s="131"/>
    </row>
    <row r="123" spans="2:249">
      <c r="B123" s="249" t="s">
        <v>467</v>
      </c>
      <c r="C123" s="250"/>
      <c r="D123" s="132"/>
      <c r="E123" s="132"/>
      <c r="F123" s="132"/>
      <c r="G123" s="132"/>
      <c r="H123" s="132"/>
      <c r="I123" s="132"/>
      <c r="J123" s="132"/>
      <c r="K123" s="132"/>
      <c r="L123" s="132"/>
      <c r="M123" s="132"/>
      <c r="N123" s="132"/>
      <c r="O123" s="132"/>
      <c r="P123" s="132"/>
      <c r="Q123" s="132"/>
      <c r="R123" s="132"/>
      <c r="S123" s="132"/>
      <c r="T123" s="132"/>
      <c r="U123" s="132"/>
      <c r="V123" s="132"/>
      <c r="W123" s="132"/>
      <c r="X123" s="132"/>
      <c r="Y123" s="132"/>
      <c r="Z123" s="132"/>
      <c r="AA123" s="132"/>
      <c r="AB123" s="132"/>
      <c r="AC123" s="132"/>
      <c r="AD123" s="132"/>
      <c r="AE123" s="132"/>
      <c r="AF123" s="132"/>
      <c r="AG123" s="132"/>
      <c r="AH123" s="132"/>
      <c r="AI123" s="132"/>
      <c r="AJ123" s="132"/>
      <c r="AK123" s="132"/>
      <c r="AL123" s="132"/>
      <c r="AM123" s="132"/>
      <c r="AN123" s="132"/>
      <c r="AO123" s="132"/>
      <c r="AP123" s="132"/>
      <c r="AQ123" s="132"/>
      <c r="AR123" s="132"/>
      <c r="AS123" s="132"/>
      <c r="AT123" s="132"/>
      <c r="AU123" s="132"/>
      <c r="AV123" s="132"/>
      <c r="AW123" s="132"/>
      <c r="AX123" s="132"/>
      <c r="AY123" s="132"/>
      <c r="AZ123" s="132"/>
      <c r="BA123" s="132"/>
      <c r="BB123" s="132"/>
      <c r="BC123" s="132"/>
      <c r="BD123" s="132"/>
      <c r="BE123" s="132"/>
      <c r="BF123" s="132"/>
      <c r="BG123" s="132"/>
      <c r="BH123" s="132"/>
      <c r="BI123" s="132"/>
      <c r="BJ123" s="132"/>
      <c r="BK123" s="132"/>
      <c r="BL123" s="132"/>
      <c r="BM123" s="132"/>
      <c r="BN123" s="132"/>
      <c r="BO123" s="132"/>
      <c r="BP123" s="132"/>
      <c r="BQ123" s="132"/>
      <c r="BR123" s="132"/>
      <c r="BS123" s="132"/>
      <c r="BT123" s="132"/>
      <c r="BU123" s="132"/>
      <c r="BV123" s="132"/>
      <c r="BW123" s="132"/>
      <c r="BX123" s="132"/>
      <c r="BY123" s="132"/>
      <c r="BZ123" s="132"/>
      <c r="CA123" s="132"/>
      <c r="CB123" s="132"/>
      <c r="CC123" s="132"/>
      <c r="CD123" s="132"/>
      <c r="CE123" s="132"/>
      <c r="CF123" s="132"/>
      <c r="CG123" s="132"/>
      <c r="CH123" s="132"/>
      <c r="CI123" s="132"/>
      <c r="CJ123" s="132"/>
      <c r="CK123" s="132"/>
      <c r="CL123" s="132"/>
      <c r="CM123" s="132"/>
      <c r="CN123" s="132"/>
      <c r="CO123" s="132"/>
      <c r="CP123" s="132"/>
      <c r="CQ123" s="132"/>
      <c r="CR123" s="132"/>
      <c r="CS123" s="132"/>
      <c r="CT123" s="132"/>
      <c r="CU123" s="132"/>
      <c r="CV123" s="132"/>
      <c r="CW123" s="132"/>
      <c r="CX123" s="132"/>
      <c r="CY123" s="132"/>
      <c r="CZ123" s="132"/>
      <c r="DA123" s="132"/>
      <c r="DB123" s="132"/>
      <c r="DC123" s="132"/>
      <c r="DD123" s="132"/>
      <c r="DE123" s="132"/>
      <c r="DF123" s="132"/>
      <c r="DG123" s="132"/>
      <c r="DH123" s="132"/>
      <c r="DI123" s="132"/>
      <c r="DJ123" s="132"/>
      <c r="DK123" s="132"/>
      <c r="DL123" s="132"/>
      <c r="DM123" s="132"/>
      <c r="DN123" s="132"/>
      <c r="DO123" s="132"/>
      <c r="DP123" s="132"/>
      <c r="DQ123" s="132"/>
      <c r="DR123" s="132"/>
      <c r="DS123" s="132"/>
      <c r="DT123" s="132"/>
      <c r="DU123" s="132"/>
      <c r="DV123" s="132"/>
      <c r="DW123" s="132"/>
      <c r="DX123" s="132"/>
      <c r="DY123" s="132"/>
      <c r="DZ123" s="132"/>
      <c r="EA123" s="132"/>
      <c r="EB123" s="132"/>
      <c r="EC123" s="132"/>
      <c r="ED123" s="132"/>
      <c r="EE123" s="132"/>
      <c r="EF123" s="132"/>
      <c r="EG123" s="132"/>
      <c r="EH123" s="132"/>
      <c r="EI123" s="132"/>
      <c r="EJ123" s="132"/>
      <c r="EK123" s="132"/>
      <c r="EL123" s="132"/>
      <c r="EM123" s="132"/>
      <c r="EN123" s="132"/>
      <c r="EO123" s="132"/>
      <c r="EP123" s="132"/>
      <c r="EQ123" s="132"/>
      <c r="ER123" s="132"/>
      <c r="ES123" s="132"/>
      <c r="ET123" s="132"/>
      <c r="EU123" s="132"/>
      <c r="EV123" s="132"/>
      <c r="EW123" s="132"/>
      <c r="EX123" s="132"/>
      <c r="EY123" s="132"/>
      <c r="EZ123" s="132"/>
      <c r="FA123" s="132"/>
      <c r="FB123" s="132"/>
      <c r="FC123" s="132"/>
      <c r="FD123" s="132"/>
      <c r="FE123" s="132"/>
      <c r="FF123" s="132"/>
      <c r="FG123" s="132"/>
      <c r="FH123" s="132"/>
      <c r="FI123" s="132"/>
      <c r="FJ123" s="132"/>
      <c r="FK123" s="132"/>
      <c r="FL123" s="132"/>
      <c r="FM123" s="132"/>
      <c r="FN123" s="132"/>
      <c r="FO123" s="132"/>
      <c r="FP123" s="132"/>
      <c r="FQ123" s="132"/>
      <c r="FR123" s="132"/>
      <c r="FS123" s="132"/>
      <c r="FT123" s="132"/>
      <c r="FU123" s="132"/>
      <c r="FV123" s="132"/>
      <c r="FW123" s="132"/>
      <c r="FX123" s="132"/>
      <c r="FY123" s="132"/>
      <c r="FZ123" s="132"/>
      <c r="GA123" s="132"/>
      <c r="GB123" s="132"/>
      <c r="GC123" s="132"/>
      <c r="GD123" s="132"/>
      <c r="GE123" s="132"/>
      <c r="GF123" s="132"/>
      <c r="GG123" s="132"/>
      <c r="GH123" s="132"/>
      <c r="GI123" s="132"/>
      <c r="GJ123" s="132"/>
      <c r="GK123" s="132"/>
      <c r="GL123" s="132"/>
      <c r="GM123" s="132"/>
      <c r="GN123" s="132"/>
      <c r="GO123" s="132"/>
      <c r="GP123" s="132"/>
      <c r="GQ123" s="132"/>
      <c r="GR123" s="132"/>
      <c r="GS123" s="132"/>
      <c r="GT123" s="132"/>
      <c r="GU123" s="132"/>
      <c r="GV123" s="132"/>
      <c r="GW123" s="132"/>
      <c r="GX123" s="132"/>
      <c r="GY123" s="132"/>
      <c r="GZ123" s="132"/>
      <c r="HA123" s="132"/>
      <c r="HB123" s="132"/>
      <c r="HC123" s="132"/>
      <c r="HD123" s="132"/>
      <c r="HE123" s="132"/>
      <c r="HF123" s="132"/>
      <c r="HG123" s="132"/>
      <c r="HH123" s="132"/>
      <c r="HI123" s="132"/>
      <c r="HJ123" s="132"/>
      <c r="HK123" s="132"/>
      <c r="HL123" s="132"/>
      <c r="HM123" s="132"/>
      <c r="HN123" s="132"/>
      <c r="HO123" s="132"/>
      <c r="HP123" s="132"/>
      <c r="HQ123" s="132"/>
      <c r="HR123" s="132"/>
      <c r="HS123" s="132"/>
      <c r="HT123" s="132"/>
      <c r="HU123" s="132"/>
      <c r="HV123" s="132"/>
      <c r="HW123" s="132"/>
      <c r="HX123" s="132"/>
      <c r="HY123" s="132"/>
      <c r="HZ123" s="132"/>
      <c r="IA123" s="132"/>
      <c r="IB123" s="132"/>
      <c r="IC123" s="132"/>
      <c r="ID123" s="132"/>
      <c r="IE123" s="132"/>
      <c r="IF123" s="132"/>
      <c r="IG123" s="132"/>
      <c r="IH123" s="132"/>
      <c r="II123" s="132"/>
      <c r="IJ123" s="132"/>
      <c r="IK123" s="132"/>
      <c r="IL123" s="132"/>
      <c r="IM123" s="132"/>
      <c r="IN123" s="132"/>
      <c r="IO123" s="132"/>
    </row>
    <row r="124" spans="2:249">
      <c r="B124" s="249" t="s">
        <v>499</v>
      </c>
      <c r="C124" s="250"/>
      <c r="D124" s="132"/>
      <c r="E124" s="132"/>
      <c r="F124" s="132"/>
      <c r="G124" s="132"/>
      <c r="H124" s="132"/>
      <c r="I124" s="132"/>
      <c r="J124" s="132"/>
      <c r="K124" s="132"/>
      <c r="L124" s="132"/>
      <c r="M124" s="132"/>
      <c r="N124" s="132"/>
      <c r="O124" s="132"/>
      <c r="P124" s="132"/>
      <c r="Q124" s="132"/>
      <c r="R124" s="132"/>
      <c r="S124" s="132"/>
      <c r="T124" s="132"/>
      <c r="U124" s="132"/>
      <c r="V124" s="132"/>
      <c r="W124" s="132"/>
      <c r="X124" s="132"/>
      <c r="Y124" s="132"/>
      <c r="Z124" s="132"/>
      <c r="AA124" s="132"/>
      <c r="AB124" s="132"/>
      <c r="AC124" s="132"/>
      <c r="AD124" s="132"/>
      <c r="AE124" s="132"/>
      <c r="AF124" s="132"/>
      <c r="AG124" s="132"/>
      <c r="AH124" s="132"/>
      <c r="AI124" s="132"/>
      <c r="AJ124" s="132"/>
      <c r="AK124" s="132"/>
      <c r="AL124" s="132"/>
      <c r="AM124" s="132"/>
      <c r="AN124" s="132"/>
      <c r="AO124" s="132"/>
      <c r="AP124" s="132"/>
      <c r="AQ124" s="132"/>
      <c r="AR124" s="132"/>
      <c r="AS124" s="132"/>
      <c r="AT124" s="132"/>
      <c r="AU124" s="132"/>
      <c r="AV124" s="132"/>
      <c r="AW124" s="132"/>
      <c r="AX124" s="132"/>
      <c r="AY124" s="132"/>
      <c r="AZ124" s="132"/>
      <c r="BA124" s="132"/>
      <c r="BB124" s="132"/>
      <c r="BC124" s="132"/>
      <c r="BD124" s="132"/>
      <c r="BE124" s="132"/>
      <c r="BF124" s="132"/>
      <c r="BG124" s="132"/>
      <c r="BH124" s="132"/>
      <c r="BI124" s="132"/>
      <c r="BJ124" s="132"/>
      <c r="BK124" s="132"/>
      <c r="BL124" s="132"/>
      <c r="BM124" s="132"/>
      <c r="BN124" s="132"/>
      <c r="BO124" s="132"/>
      <c r="BP124" s="132"/>
      <c r="BQ124" s="132"/>
      <c r="BR124" s="132"/>
      <c r="BS124" s="132"/>
      <c r="BT124" s="132"/>
      <c r="BU124" s="132"/>
      <c r="BV124" s="132"/>
      <c r="BW124" s="132"/>
      <c r="BX124" s="132"/>
      <c r="BY124" s="132"/>
      <c r="BZ124" s="132"/>
      <c r="CA124" s="132"/>
      <c r="CB124" s="132"/>
      <c r="CC124" s="132"/>
      <c r="CD124" s="132"/>
      <c r="CE124" s="132"/>
      <c r="CF124" s="132"/>
      <c r="CG124" s="132"/>
      <c r="CH124" s="132"/>
      <c r="CI124" s="132"/>
      <c r="CJ124" s="132"/>
      <c r="CK124" s="132"/>
      <c r="CL124" s="132"/>
      <c r="CM124" s="132"/>
      <c r="CN124" s="132"/>
      <c r="CO124" s="132"/>
      <c r="CP124" s="132"/>
      <c r="CQ124" s="132"/>
      <c r="CR124" s="132"/>
      <c r="CS124" s="132"/>
      <c r="CT124" s="132"/>
      <c r="CU124" s="132"/>
      <c r="CV124" s="132"/>
      <c r="CW124" s="132"/>
      <c r="CX124" s="132"/>
      <c r="CY124" s="132"/>
      <c r="CZ124" s="132"/>
      <c r="DA124" s="132"/>
      <c r="DB124" s="132"/>
      <c r="DC124" s="132"/>
      <c r="DD124" s="132"/>
      <c r="DE124" s="132"/>
      <c r="DF124" s="132"/>
      <c r="DG124" s="132"/>
      <c r="DH124" s="132"/>
      <c r="DI124" s="132"/>
      <c r="DJ124" s="132"/>
      <c r="DK124" s="132"/>
      <c r="DL124" s="132"/>
      <c r="DM124" s="132"/>
      <c r="DN124" s="132"/>
      <c r="DO124" s="132"/>
      <c r="DP124" s="132"/>
      <c r="DQ124" s="132"/>
      <c r="DR124" s="132"/>
      <c r="DS124" s="132"/>
      <c r="DT124" s="132"/>
      <c r="DU124" s="132"/>
      <c r="DV124" s="132"/>
      <c r="DW124" s="132"/>
      <c r="DX124" s="132"/>
      <c r="DY124" s="132"/>
      <c r="DZ124" s="132"/>
      <c r="EA124" s="132"/>
      <c r="EB124" s="132"/>
      <c r="EC124" s="132"/>
      <c r="ED124" s="132"/>
      <c r="EE124" s="132"/>
      <c r="EF124" s="132"/>
      <c r="EG124" s="132"/>
      <c r="EH124" s="132"/>
      <c r="EI124" s="132"/>
      <c r="EJ124" s="132"/>
      <c r="EK124" s="132"/>
      <c r="EL124" s="132"/>
      <c r="EM124" s="132"/>
      <c r="EN124" s="132"/>
      <c r="EO124" s="132"/>
      <c r="EP124" s="132"/>
      <c r="EQ124" s="132"/>
      <c r="ER124" s="132"/>
      <c r="ES124" s="132"/>
      <c r="ET124" s="132"/>
      <c r="EU124" s="132"/>
      <c r="EV124" s="132"/>
      <c r="EW124" s="132"/>
      <c r="EX124" s="132"/>
      <c r="EY124" s="132"/>
      <c r="EZ124" s="132"/>
      <c r="FA124" s="132"/>
      <c r="FB124" s="132"/>
      <c r="FC124" s="132"/>
      <c r="FD124" s="132"/>
      <c r="FE124" s="132"/>
      <c r="FF124" s="132"/>
      <c r="FG124" s="132"/>
      <c r="FH124" s="132"/>
      <c r="FI124" s="132"/>
      <c r="FJ124" s="132"/>
      <c r="FK124" s="132"/>
      <c r="FL124" s="132"/>
      <c r="FM124" s="132"/>
      <c r="FN124" s="132"/>
      <c r="FO124" s="132"/>
      <c r="FP124" s="132"/>
      <c r="FQ124" s="132"/>
      <c r="FR124" s="132"/>
      <c r="FS124" s="132"/>
      <c r="FT124" s="132"/>
      <c r="FU124" s="132"/>
      <c r="FV124" s="132"/>
      <c r="FW124" s="132"/>
      <c r="FX124" s="132"/>
      <c r="FY124" s="132"/>
      <c r="FZ124" s="132"/>
      <c r="GA124" s="132"/>
      <c r="GB124" s="132"/>
      <c r="GC124" s="132"/>
      <c r="GD124" s="132"/>
      <c r="GE124" s="132"/>
      <c r="GF124" s="132"/>
      <c r="GG124" s="132"/>
      <c r="GH124" s="132"/>
      <c r="GI124" s="132"/>
      <c r="GJ124" s="132"/>
      <c r="GK124" s="132"/>
      <c r="GL124" s="132"/>
      <c r="GM124" s="132"/>
      <c r="GN124" s="132"/>
      <c r="GO124" s="132"/>
      <c r="GP124" s="132"/>
      <c r="GQ124" s="132"/>
      <c r="GR124" s="132"/>
      <c r="GS124" s="132"/>
      <c r="GT124" s="132"/>
      <c r="GU124" s="132"/>
      <c r="GV124" s="132"/>
      <c r="GW124" s="132"/>
      <c r="GX124" s="132"/>
      <c r="GY124" s="132"/>
      <c r="GZ124" s="132"/>
      <c r="HA124" s="132"/>
      <c r="HB124" s="132"/>
      <c r="HC124" s="132"/>
      <c r="HD124" s="132"/>
      <c r="HE124" s="132"/>
      <c r="HF124" s="132"/>
      <c r="HG124" s="132"/>
      <c r="HH124" s="132"/>
      <c r="HI124" s="132"/>
      <c r="HJ124" s="132"/>
      <c r="HK124" s="132"/>
      <c r="HL124" s="132"/>
      <c r="HM124" s="132"/>
      <c r="HN124" s="132"/>
      <c r="HO124" s="132"/>
      <c r="HP124" s="132"/>
      <c r="HQ124" s="132"/>
      <c r="HR124" s="132"/>
      <c r="HS124" s="132"/>
      <c r="HT124" s="132"/>
      <c r="HU124" s="132"/>
      <c r="HV124" s="132"/>
      <c r="HW124" s="132"/>
      <c r="HX124" s="132"/>
      <c r="HY124" s="132"/>
      <c r="HZ124" s="132"/>
      <c r="IA124" s="132"/>
      <c r="IB124" s="132"/>
      <c r="IC124" s="132"/>
      <c r="ID124" s="132"/>
      <c r="IE124" s="132"/>
      <c r="IF124" s="132"/>
      <c r="IG124" s="132"/>
      <c r="IH124" s="132"/>
      <c r="II124" s="132"/>
      <c r="IJ124" s="132"/>
      <c r="IK124" s="132"/>
      <c r="IL124" s="132"/>
      <c r="IM124" s="132"/>
      <c r="IN124" s="132"/>
      <c r="IO124" s="132"/>
    </row>
    <row r="125" spans="2:249">
      <c r="B125" s="126"/>
      <c r="C125" s="133"/>
      <c r="D125" s="131"/>
      <c r="E125" s="131"/>
      <c r="F125" s="131"/>
      <c r="G125" s="131"/>
      <c r="H125" s="131"/>
      <c r="I125" s="131"/>
      <c r="J125" s="131"/>
      <c r="K125" s="131"/>
      <c r="L125" s="131"/>
      <c r="M125" s="131"/>
      <c r="N125" s="131"/>
      <c r="O125" s="131"/>
      <c r="P125" s="131"/>
      <c r="Q125" s="131"/>
      <c r="R125" s="131"/>
      <c r="S125" s="131"/>
      <c r="T125" s="131"/>
      <c r="U125" s="131"/>
      <c r="V125" s="131"/>
      <c r="W125" s="131"/>
      <c r="X125" s="131"/>
      <c r="Y125" s="131"/>
      <c r="Z125" s="131"/>
      <c r="AA125" s="131"/>
      <c r="AB125" s="131"/>
      <c r="AC125" s="131"/>
      <c r="AD125" s="131"/>
      <c r="AE125" s="131"/>
      <c r="AF125" s="131"/>
      <c r="AG125" s="131"/>
      <c r="AH125" s="131"/>
      <c r="AI125" s="131"/>
      <c r="AJ125" s="131"/>
      <c r="AK125" s="131"/>
      <c r="AL125" s="131"/>
      <c r="AM125" s="131"/>
      <c r="AN125" s="131"/>
      <c r="AO125" s="131"/>
      <c r="AP125" s="131"/>
      <c r="AQ125" s="131"/>
      <c r="AR125" s="131"/>
      <c r="AS125" s="131"/>
      <c r="AT125" s="131"/>
      <c r="AU125" s="131"/>
      <c r="AV125" s="131"/>
      <c r="AW125" s="131"/>
      <c r="AX125" s="131"/>
      <c r="AY125" s="131"/>
      <c r="AZ125" s="131"/>
      <c r="BA125" s="131"/>
      <c r="BB125" s="131"/>
      <c r="BC125" s="131"/>
      <c r="BD125" s="131"/>
      <c r="BE125" s="131"/>
      <c r="BF125" s="131"/>
      <c r="BG125" s="131"/>
      <c r="BH125" s="131"/>
      <c r="BI125" s="131"/>
      <c r="BJ125" s="131"/>
      <c r="BK125" s="131"/>
      <c r="BL125" s="131"/>
      <c r="BM125" s="131"/>
      <c r="BN125" s="131"/>
      <c r="BO125" s="131"/>
      <c r="BP125" s="131"/>
      <c r="BQ125" s="131"/>
      <c r="BR125" s="131"/>
      <c r="BS125" s="131"/>
      <c r="BT125" s="131"/>
      <c r="BU125" s="131"/>
      <c r="BV125" s="131"/>
      <c r="BW125" s="131"/>
      <c r="BX125" s="131"/>
      <c r="BY125" s="131"/>
      <c r="BZ125" s="131"/>
      <c r="CA125" s="131"/>
      <c r="CB125" s="131"/>
      <c r="CC125" s="131"/>
      <c r="CD125" s="131"/>
      <c r="CE125" s="131"/>
      <c r="CF125" s="131"/>
      <c r="CG125" s="131"/>
      <c r="CH125" s="131"/>
      <c r="CI125" s="131"/>
      <c r="CJ125" s="131"/>
      <c r="CK125" s="131"/>
      <c r="CL125" s="131"/>
      <c r="CM125" s="131"/>
      <c r="CN125" s="131"/>
      <c r="CO125" s="131"/>
      <c r="CP125" s="131"/>
      <c r="CQ125" s="131"/>
      <c r="CR125" s="131"/>
      <c r="CS125" s="131"/>
      <c r="CT125" s="131"/>
      <c r="CU125" s="131"/>
      <c r="CV125" s="131"/>
      <c r="CW125" s="131"/>
      <c r="CX125" s="131"/>
      <c r="CY125" s="131"/>
      <c r="CZ125" s="131"/>
      <c r="DA125" s="131"/>
      <c r="DB125" s="131"/>
      <c r="DC125" s="131"/>
      <c r="DD125" s="131"/>
      <c r="DE125" s="131"/>
      <c r="DF125" s="131"/>
      <c r="DG125" s="131"/>
      <c r="DH125" s="131"/>
      <c r="DI125" s="131"/>
      <c r="DJ125" s="131"/>
      <c r="DK125" s="131"/>
      <c r="DL125" s="131"/>
      <c r="DM125" s="131"/>
      <c r="DN125" s="131"/>
      <c r="DO125" s="131"/>
      <c r="DP125" s="131"/>
      <c r="DQ125" s="131"/>
      <c r="DR125" s="131"/>
      <c r="DS125" s="131"/>
      <c r="DT125" s="131"/>
      <c r="DU125" s="131"/>
      <c r="DV125" s="131"/>
      <c r="DW125" s="131"/>
      <c r="DX125" s="131"/>
      <c r="DY125" s="131"/>
      <c r="DZ125" s="131"/>
      <c r="EA125" s="131"/>
      <c r="EB125" s="131"/>
      <c r="EC125" s="131"/>
      <c r="ED125" s="131"/>
      <c r="EE125" s="131"/>
      <c r="EF125" s="131"/>
      <c r="EG125" s="131"/>
      <c r="EH125" s="131"/>
      <c r="EI125" s="131"/>
      <c r="EJ125" s="131"/>
      <c r="EK125" s="131"/>
      <c r="EL125" s="131"/>
      <c r="EM125" s="131"/>
      <c r="EN125" s="131"/>
      <c r="EO125" s="131"/>
      <c r="EP125" s="131"/>
      <c r="EQ125" s="131"/>
      <c r="ER125" s="131"/>
      <c r="ES125" s="131"/>
      <c r="ET125" s="131"/>
      <c r="EU125" s="131"/>
      <c r="EV125" s="131"/>
      <c r="EW125" s="131"/>
      <c r="EX125" s="131"/>
      <c r="EY125" s="131"/>
      <c r="EZ125" s="131"/>
      <c r="FA125" s="131"/>
      <c r="FB125" s="131"/>
      <c r="FC125" s="131"/>
      <c r="FD125" s="131"/>
      <c r="FE125" s="131"/>
      <c r="FF125" s="131"/>
      <c r="FG125" s="131"/>
      <c r="FH125" s="131"/>
      <c r="FI125" s="131"/>
      <c r="FJ125" s="131"/>
      <c r="FK125" s="131"/>
      <c r="FL125" s="131"/>
      <c r="FM125" s="131"/>
      <c r="FN125" s="131"/>
      <c r="FO125" s="131"/>
      <c r="FP125" s="131"/>
      <c r="FQ125" s="131"/>
      <c r="FR125" s="131"/>
      <c r="FS125" s="131"/>
      <c r="FT125" s="131"/>
      <c r="FU125" s="131"/>
      <c r="FV125" s="131"/>
      <c r="FW125" s="131"/>
      <c r="FX125" s="131"/>
      <c r="FY125" s="131"/>
      <c r="FZ125" s="131"/>
      <c r="GA125" s="131"/>
      <c r="GB125" s="131"/>
      <c r="GC125" s="131"/>
      <c r="GD125" s="131"/>
      <c r="GE125" s="131"/>
      <c r="GF125" s="131"/>
      <c r="GG125" s="131"/>
      <c r="GH125" s="131"/>
      <c r="GI125" s="131"/>
      <c r="GJ125" s="131"/>
      <c r="GK125" s="131"/>
      <c r="GL125" s="131"/>
      <c r="GM125" s="131"/>
      <c r="GN125" s="131"/>
      <c r="GO125" s="131"/>
      <c r="GP125" s="131"/>
      <c r="GQ125" s="131"/>
      <c r="GR125" s="131"/>
      <c r="GS125" s="131"/>
      <c r="GT125" s="131"/>
      <c r="GU125" s="131"/>
      <c r="GV125" s="131"/>
      <c r="GW125" s="131"/>
      <c r="GX125" s="131"/>
      <c r="GY125" s="131"/>
      <c r="GZ125" s="131"/>
      <c r="HA125" s="131"/>
      <c r="HB125" s="131"/>
      <c r="HC125" s="131"/>
      <c r="HD125" s="131"/>
      <c r="HE125" s="131"/>
      <c r="HF125" s="131"/>
      <c r="HG125" s="131"/>
      <c r="HH125" s="131"/>
      <c r="HI125" s="131"/>
      <c r="HJ125" s="131"/>
      <c r="HK125" s="131"/>
      <c r="HL125" s="131"/>
      <c r="HM125" s="131"/>
      <c r="HN125" s="131"/>
      <c r="HO125" s="131"/>
      <c r="HP125" s="131"/>
      <c r="HQ125" s="131"/>
      <c r="HR125" s="131"/>
      <c r="HS125" s="131"/>
      <c r="HT125" s="131"/>
      <c r="HU125" s="131"/>
      <c r="HV125" s="131"/>
      <c r="HW125" s="131"/>
      <c r="HX125" s="131"/>
      <c r="HY125" s="131"/>
      <c r="HZ125" s="131"/>
      <c r="IA125" s="131"/>
      <c r="IB125" s="131"/>
      <c r="IC125" s="131"/>
      <c r="ID125" s="131"/>
      <c r="IE125" s="131"/>
      <c r="IF125" s="131"/>
      <c r="IG125" s="131"/>
      <c r="IH125" s="131"/>
      <c r="II125" s="131"/>
      <c r="IJ125" s="131"/>
      <c r="IK125" s="131"/>
      <c r="IL125" s="131"/>
      <c r="IM125" s="131"/>
      <c r="IN125" s="131"/>
      <c r="IO125" s="131"/>
    </row>
    <row r="126" spans="2:249" ht="45" customHeight="1">
      <c r="B126" s="134" t="s">
        <v>481</v>
      </c>
      <c r="C126" s="134" t="s">
        <v>465</v>
      </c>
      <c r="D126" s="122"/>
      <c r="E126" s="122"/>
      <c r="F126" s="122"/>
      <c r="G126" s="122"/>
      <c r="H126" s="122"/>
      <c r="I126" s="122"/>
      <c r="J126" s="122"/>
      <c r="K126" s="122"/>
      <c r="L126" s="122"/>
      <c r="M126" s="122"/>
      <c r="N126" s="122"/>
      <c r="O126" s="122"/>
      <c r="P126" s="122"/>
      <c r="Q126" s="122"/>
      <c r="R126" s="122"/>
      <c r="S126" s="122"/>
      <c r="T126" s="122"/>
      <c r="U126" s="122"/>
      <c r="V126" s="122"/>
      <c r="W126" s="122"/>
      <c r="X126" s="122"/>
      <c r="Y126" s="122"/>
      <c r="Z126" s="122"/>
      <c r="AA126" s="122"/>
      <c r="AB126" s="122"/>
      <c r="AC126" s="122"/>
      <c r="AD126" s="122"/>
      <c r="AE126" s="122"/>
      <c r="AF126" s="122"/>
      <c r="AG126" s="122"/>
      <c r="AH126" s="122"/>
      <c r="AI126" s="122"/>
      <c r="AJ126" s="122"/>
      <c r="AK126" s="122"/>
      <c r="AL126" s="122"/>
      <c r="AM126" s="122"/>
      <c r="AN126" s="122"/>
      <c r="AO126" s="122"/>
      <c r="AP126" s="122"/>
      <c r="AQ126" s="122"/>
      <c r="AR126" s="122"/>
      <c r="AS126" s="122"/>
      <c r="AT126" s="122"/>
      <c r="AU126" s="122"/>
      <c r="AV126" s="122"/>
      <c r="AW126" s="122"/>
      <c r="AX126" s="122"/>
      <c r="AY126" s="122"/>
      <c r="AZ126" s="122"/>
      <c r="BA126" s="122"/>
      <c r="BB126" s="122"/>
      <c r="BC126" s="122"/>
      <c r="BD126" s="122"/>
      <c r="BE126" s="122"/>
      <c r="BF126" s="122"/>
      <c r="BG126" s="122"/>
      <c r="BH126" s="122"/>
      <c r="BI126" s="122"/>
      <c r="BJ126" s="122"/>
      <c r="BK126" s="122"/>
      <c r="BL126" s="122"/>
      <c r="BM126" s="122"/>
      <c r="BN126" s="122"/>
      <c r="BO126" s="122"/>
      <c r="BP126" s="122"/>
      <c r="BQ126" s="122"/>
      <c r="BR126" s="122"/>
      <c r="BS126" s="122"/>
      <c r="BT126" s="122"/>
      <c r="BU126" s="122"/>
      <c r="BV126" s="122"/>
      <c r="BW126" s="122"/>
      <c r="BX126" s="122"/>
      <c r="BY126" s="122"/>
      <c r="BZ126" s="122"/>
      <c r="CA126" s="122"/>
      <c r="CB126" s="122"/>
      <c r="CC126" s="122"/>
      <c r="CD126" s="122"/>
      <c r="CE126" s="122"/>
      <c r="CF126" s="122"/>
      <c r="CG126" s="122"/>
      <c r="CH126" s="122"/>
      <c r="CI126" s="122"/>
      <c r="CJ126" s="122"/>
      <c r="CK126" s="122"/>
      <c r="CL126" s="122"/>
      <c r="CM126" s="122"/>
      <c r="CN126" s="122"/>
      <c r="CO126" s="122"/>
      <c r="CP126" s="122"/>
      <c r="CQ126" s="122"/>
      <c r="CR126" s="122"/>
      <c r="CS126" s="122"/>
      <c r="CT126" s="122"/>
      <c r="CU126" s="122"/>
      <c r="CV126" s="122"/>
      <c r="CW126" s="122"/>
      <c r="CX126" s="122"/>
      <c r="CY126" s="122"/>
      <c r="CZ126" s="122"/>
      <c r="DA126" s="122"/>
      <c r="DB126" s="122"/>
      <c r="DC126" s="122"/>
      <c r="DD126" s="122"/>
      <c r="DE126" s="122"/>
      <c r="DF126" s="122"/>
      <c r="DG126" s="122"/>
      <c r="DH126" s="122"/>
      <c r="DI126" s="122"/>
      <c r="DJ126" s="122"/>
      <c r="DK126" s="122"/>
      <c r="DL126" s="122"/>
      <c r="DM126" s="122"/>
      <c r="DN126" s="122"/>
      <c r="DO126" s="122"/>
      <c r="DP126" s="122"/>
      <c r="DQ126" s="122"/>
      <c r="DR126" s="122"/>
      <c r="DS126" s="122"/>
      <c r="DT126" s="122"/>
      <c r="DU126" s="122"/>
      <c r="DV126" s="122"/>
      <c r="DW126" s="122"/>
      <c r="DX126" s="122"/>
      <c r="DY126" s="122"/>
      <c r="DZ126" s="122"/>
      <c r="EA126" s="122"/>
      <c r="EB126" s="122"/>
      <c r="EC126" s="122"/>
      <c r="ED126" s="122"/>
      <c r="EE126" s="122"/>
      <c r="EF126" s="122"/>
      <c r="EG126" s="122"/>
      <c r="EH126" s="122"/>
      <c r="EI126" s="122"/>
      <c r="EJ126" s="122"/>
      <c r="EK126" s="122"/>
      <c r="EL126" s="122"/>
      <c r="EM126" s="122"/>
      <c r="EN126" s="122"/>
      <c r="EO126" s="122"/>
      <c r="EP126" s="122"/>
      <c r="EQ126" s="122"/>
      <c r="ER126" s="122"/>
      <c r="ES126" s="122"/>
      <c r="ET126" s="122"/>
      <c r="EU126" s="122"/>
      <c r="EV126" s="122"/>
      <c r="EW126" s="122"/>
      <c r="EX126" s="122"/>
      <c r="EY126" s="122"/>
      <c r="EZ126" s="122"/>
      <c r="FA126" s="122"/>
      <c r="FB126" s="122"/>
      <c r="FC126" s="122"/>
      <c r="FD126" s="122"/>
      <c r="FE126" s="122"/>
      <c r="FF126" s="122"/>
      <c r="FG126" s="122"/>
      <c r="FH126" s="122"/>
      <c r="FI126" s="122"/>
      <c r="FJ126" s="122"/>
      <c r="FK126" s="122"/>
      <c r="FL126" s="122"/>
      <c r="FM126" s="122"/>
      <c r="FN126" s="122"/>
      <c r="FO126" s="122"/>
      <c r="FP126" s="122"/>
      <c r="FQ126" s="122"/>
      <c r="FR126" s="122"/>
      <c r="FS126" s="122"/>
      <c r="FT126" s="122"/>
      <c r="FU126" s="122"/>
      <c r="FV126" s="122"/>
      <c r="FW126" s="122"/>
      <c r="FX126" s="122"/>
      <c r="FY126" s="122"/>
      <c r="FZ126" s="122"/>
      <c r="GA126" s="122"/>
      <c r="GB126" s="122"/>
      <c r="GC126" s="122"/>
      <c r="GD126" s="122"/>
      <c r="GE126" s="122"/>
      <c r="GF126" s="122"/>
      <c r="GG126" s="122"/>
      <c r="GH126" s="122"/>
      <c r="GI126" s="122"/>
      <c r="GJ126" s="122"/>
      <c r="GK126" s="122"/>
      <c r="GL126" s="122"/>
      <c r="GM126" s="122"/>
      <c r="GN126" s="122"/>
      <c r="GO126" s="122"/>
      <c r="GP126" s="122"/>
      <c r="GQ126" s="122"/>
      <c r="GR126" s="122"/>
      <c r="GS126" s="122"/>
      <c r="GT126" s="122"/>
      <c r="GU126" s="122"/>
      <c r="GV126" s="122"/>
      <c r="GW126" s="122"/>
      <c r="GX126" s="122"/>
      <c r="GY126" s="122"/>
      <c r="GZ126" s="122"/>
      <c r="HA126" s="122"/>
      <c r="HB126" s="122"/>
      <c r="HC126" s="122"/>
      <c r="HD126" s="122"/>
      <c r="HE126" s="122"/>
      <c r="HF126" s="122"/>
      <c r="HG126" s="122"/>
      <c r="HH126" s="122"/>
      <c r="HI126" s="122"/>
      <c r="HJ126" s="122"/>
      <c r="HK126" s="122"/>
      <c r="HL126" s="122"/>
      <c r="HM126" s="122"/>
      <c r="HN126" s="122"/>
      <c r="HO126" s="122"/>
      <c r="HP126" s="122"/>
      <c r="HQ126" s="122"/>
      <c r="HR126" s="122"/>
      <c r="HS126" s="122"/>
      <c r="HT126" s="122"/>
      <c r="HU126" s="122"/>
      <c r="HV126" s="122"/>
      <c r="HW126" s="122"/>
      <c r="HX126" s="122"/>
      <c r="HY126" s="122"/>
      <c r="HZ126" s="122"/>
      <c r="IA126" s="122"/>
      <c r="IB126" s="122"/>
      <c r="IC126" s="122"/>
      <c r="ID126" s="122"/>
      <c r="IE126" s="122"/>
      <c r="IF126" s="122"/>
      <c r="IG126" s="122"/>
      <c r="IH126" s="122"/>
      <c r="II126" s="122"/>
      <c r="IJ126" s="122"/>
      <c r="IK126" s="122"/>
      <c r="IL126" s="122"/>
      <c r="IM126" s="122"/>
      <c r="IN126" s="122"/>
      <c r="IO126" s="122"/>
    </row>
    <row r="127" spans="2:249">
      <c r="B127" s="243" t="str">
        <f>B11</f>
        <v>Customer  circumstances</v>
      </c>
      <c r="C127" s="253"/>
      <c r="D127" s="122"/>
      <c r="E127" s="122"/>
      <c r="F127" s="122"/>
      <c r="G127" s="122"/>
      <c r="H127" s="122"/>
      <c r="I127" s="122"/>
      <c r="J127" s="122"/>
      <c r="K127" s="122"/>
      <c r="L127" s="122"/>
      <c r="M127" s="122"/>
      <c r="N127" s="122"/>
      <c r="O127" s="122"/>
      <c r="P127" s="122"/>
      <c r="Q127" s="122"/>
      <c r="R127" s="122"/>
      <c r="S127" s="122"/>
      <c r="T127" s="122"/>
      <c r="U127" s="122"/>
      <c r="V127" s="122"/>
      <c r="W127" s="122"/>
      <c r="X127" s="122"/>
      <c r="Y127" s="122"/>
      <c r="Z127" s="122"/>
      <c r="AA127" s="122"/>
      <c r="AB127" s="122"/>
      <c r="AC127" s="122"/>
      <c r="AD127" s="122"/>
      <c r="AE127" s="122"/>
      <c r="AF127" s="122"/>
      <c r="AG127" s="122"/>
      <c r="AH127" s="122"/>
      <c r="AI127" s="122"/>
      <c r="AJ127" s="122"/>
      <c r="AK127" s="122"/>
      <c r="AL127" s="122"/>
      <c r="AM127" s="122"/>
      <c r="AN127" s="122"/>
      <c r="AO127" s="122"/>
      <c r="AP127" s="122"/>
      <c r="AQ127" s="122"/>
      <c r="AR127" s="122"/>
      <c r="AS127" s="122"/>
      <c r="AT127" s="122"/>
      <c r="AU127" s="122"/>
      <c r="AV127" s="122"/>
      <c r="AW127" s="122"/>
      <c r="AX127" s="122"/>
      <c r="AY127" s="122"/>
      <c r="AZ127" s="122"/>
      <c r="BA127" s="122"/>
      <c r="BB127" s="122"/>
      <c r="BC127" s="122"/>
      <c r="BD127" s="122"/>
      <c r="BE127" s="122"/>
      <c r="BF127" s="122"/>
      <c r="BG127" s="122"/>
      <c r="BH127" s="122"/>
      <c r="BI127" s="122"/>
      <c r="BJ127" s="122"/>
      <c r="BK127" s="122"/>
      <c r="BL127" s="122"/>
      <c r="BM127" s="122"/>
      <c r="BN127" s="122"/>
      <c r="BO127" s="122"/>
      <c r="BP127" s="122"/>
      <c r="BQ127" s="122"/>
      <c r="BR127" s="122"/>
      <c r="BS127" s="122"/>
      <c r="BT127" s="122"/>
      <c r="BU127" s="122"/>
      <c r="BV127" s="122"/>
      <c r="BW127" s="122"/>
      <c r="BX127" s="122"/>
      <c r="BY127" s="122"/>
      <c r="BZ127" s="122"/>
      <c r="CA127" s="122"/>
      <c r="CB127" s="122"/>
      <c r="CC127" s="122"/>
      <c r="CD127" s="122"/>
      <c r="CE127" s="122"/>
      <c r="CF127" s="122"/>
      <c r="CG127" s="122"/>
      <c r="CH127" s="122"/>
      <c r="CI127" s="122"/>
      <c r="CJ127" s="122"/>
      <c r="CK127" s="122"/>
      <c r="CL127" s="122"/>
      <c r="CM127" s="122"/>
      <c r="CN127" s="122"/>
      <c r="CO127" s="122"/>
      <c r="CP127" s="122"/>
      <c r="CQ127" s="122"/>
      <c r="CR127" s="122"/>
      <c r="CS127" s="122"/>
      <c r="CT127" s="122"/>
      <c r="CU127" s="122"/>
      <c r="CV127" s="122"/>
      <c r="CW127" s="122"/>
      <c r="CX127" s="122"/>
      <c r="CY127" s="122"/>
      <c r="CZ127" s="122"/>
      <c r="DA127" s="122"/>
      <c r="DB127" s="122"/>
      <c r="DC127" s="122"/>
      <c r="DD127" s="122"/>
      <c r="DE127" s="122"/>
      <c r="DF127" s="122"/>
      <c r="DG127" s="122"/>
      <c r="DH127" s="122"/>
      <c r="DI127" s="122"/>
      <c r="DJ127" s="122"/>
      <c r="DK127" s="122"/>
      <c r="DL127" s="122"/>
      <c r="DM127" s="122"/>
      <c r="DN127" s="122"/>
      <c r="DO127" s="122"/>
      <c r="DP127" s="122"/>
      <c r="DQ127" s="122"/>
      <c r="DR127" s="122"/>
      <c r="DS127" s="122"/>
      <c r="DT127" s="122"/>
      <c r="DU127" s="122"/>
      <c r="DV127" s="122"/>
      <c r="DW127" s="122"/>
      <c r="DX127" s="122"/>
      <c r="DY127" s="122"/>
      <c r="DZ127" s="122"/>
      <c r="EA127" s="122"/>
      <c r="EB127" s="122"/>
      <c r="EC127" s="122"/>
      <c r="ED127" s="122"/>
      <c r="EE127" s="122"/>
      <c r="EF127" s="122"/>
      <c r="EG127" s="122"/>
      <c r="EH127" s="122"/>
      <c r="EI127" s="122"/>
      <c r="EJ127" s="122"/>
      <c r="EK127" s="122"/>
      <c r="EL127" s="122"/>
      <c r="EM127" s="122"/>
      <c r="EN127" s="122"/>
      <c r="EO127" s="122"/>
      <c r="EP127" s="122"/>
      <c r="EQ127" s="122"/>
      <c r="ER127" s="122"/>
      <c r="ES127" s="122"/>
      <c r="ET127" s="122"/>
      <c r="EU127" s="122"/>
      <c r="EV127" s="122"/>
      <c r="EW127" s="122"/>
      <c r="EX127" s="122"/>
      <c r="EY127" s="122"/>
      <c r="EZ127" s="122"/>
      <c r="FA127" s="122"/>
      <c r="FB127" s="122"/>
      <c r="FC127" s="122"/>
      <c r="FD127" s="122"/>
      <c r="FE127" s="122"/>
      <c r="FF127" s="122"/>
      <c r="FG127" s="122"/>
      <c r="FH127" s="122"/>
      <c r="FI127" s="122"/>
      <c r="FJ127" s="122"/>
      <c r="FK127" s="122"/>
      <c r="FL127" s="122"/>
      <c r="FM127" s="122"/>
      <c r="FN127" s="122"/>
      <c r="FO127" s="122"/>
      <c r="FP127" s="122"/>
      <c r="FQ127" s="122"/>
      <c r="FR127" s="122"/>
      <c r="FS127" s="122"/>
      <c r="FT127" s="122"/>
      <c r="FU127" s="122"/>
      <c r="FV127" s="122"/>
      <c r="FW127" s="122"/>
      <c r="FX127" s="122"/>
      <c r="FY127" s="122"/>
      <c r="FZ127" s="122"/>
      <c r="GA127" s="122"/>
      <c r="GB127" s="122"/>
      <c r="GC127" s="122"/>
      <c r="GD127" s="122"/>
      <c r="GE127" s="122"/>
      <c r="GF127" s="122"/>
      <c r="GG127" s="122"/>
      <c r="GH127" s="122"/>
      <c r="GI127" s="122"/>
      <c r="GJ127" s="122"/>
      <c r="GK127" s="122"/>
      <c r="GL127" s="122"/>
      <c r="GM127" s="122"/>
      <c r="GN127" s="122"/>
      <c r="GO127" s="122"/>
      <c r="GP127" s="122"/>
      <c r="GQ127" s="122"/>
      <c r="GR127" s="122"/>
      <c r="GS127" s="122"/>
      <c r="GT127" s="122"/>
      <c r="GU127" s="122"/>
      <c r="GV127" s="122"/>
      <c r="GW127" s="122"/>
      <c r="GX127" s="122"/>
      <c r="GY127" s="122"/>
      <c r="GZ127" s="122"/>
      <c r="HA127" s="122"/>
      <c r="HB127" s="122"/>
      <c r="HC127" s="122"/>
      <c r="HD127" s="122"/>
      <c r="HE127" s="122"/>
      <c r="HF127" s="122"/>
      <c r="HG127" s="122"/>
      <c r="HH127" s="122"/>
      <c r="HI127" s="122"/>
      <c r="HJ127" s="122"/>
      <c r="HK127" s="122"/>
      <c r="HL127" s="122"/>
      <c r="HM127" s="122"/>
      <c r="HN127" s="122"/>
      <c r="HO127" s="122"/>
      <c r="HP127" s="122"/>
      <c r="HQ127" s="122"/>
      <c r="HR127" s="122"/>
      <c r="HS127" s="122"/>
      <c r="HT127" s="122"/>
      <c r="HU127" s="122"/>
      <c r="HV127" s="122"/>
      <c r="HW127" s="122"/>
      <c r="HX127" s="122"/>
      <c r="HY127" s="122"/>
      <c r="HZ127" s="122"/>
      <c r="IA127" s="122"/>
      <c r="IB127" s="122"/>
      <c r="IC127" s="122"/>
      <c r="ID127" s="122"/>
      <c r="IE127" s="122"/>
      <c r="IF127" s="122"/>
      <c r="IG127" s="122"/>
      <c r="IH127" s="122"/>
      <c r="II127" s="122"/>
      <c r="IJ127" s="122"/>
      <c r="IK127" s="122"/>
      <c r="IL127" s="122"/>
      <c r="IM127" s="122"/>
      <c r="IN127" s="122"/>
      <c r="IO127" s="122"/>
    </row>
    <row r="128" spans="2:249">
      <c r="B128" s="135" t="s">
        <v>451</v>
      </c>
      <c r="C128" s="135"/>
      <c r="D128" s="125"/>
      <c r="E128" s="125"/>
      <c r="F128" s="125"/>
      <c r="G128" s="125"/>
      <c r="H128" s="125"/>
      <c r="I128" s="125"/>
      <c r="J128" s="125"/>
      <c r="K128" s="125"/>
      <c r="L128" s="125"/>
      <c r="M128" s="125"/>
      <c r="N128" s="125"/>
      <c r="O128" s="125"/>
      <c r="P128" s="125"/>
      <c r="Q128" s="125"/>
      <c r="R128" s="125"/>
      <c r="S128" s="125"/>
      <c r="T128" s="125"/>
      <c r="U128" s="125"/>
      <c r="V128" s="125"/>
      <c r="W128" s="125"/>
      <c r="X128" s="125"/>
      <c r="Y128" s="125"/>
      <c r="Z128" s="125"/>
      <c r="AA128" s="125"/>
      <c r="AB128" s="125"/>
      <c r="AC128" s="125"/>
      <c r="AD128" s="125"/>
      <c r="AE128" s="125"/>
      <c r="AF128" s="125"/>
      <c r="AG128" s="125"/>
      <c r="AH128" s="125"/>
      <c r="AI128" s="125"/>
      <c r="AJ128" s="125"/>
      <c r="AK128" s="125"/>
      <c r="AL128" s="125"/>
      <c r="AM128" s="125"/>
      <c r="AN128" s="125"/>
      <c r="AO128" s="125"/>
      <c r="AP128" s="125"/>
      <c r="AQ128" s="125"/>
      <c r="AR128" s="125"/>
      <c r="AS128" s="125"/>
      <c r="AT128" s="125"/>
      <c r="AU128" s="125"/>
      <c r="AV128" s="125"/>
      <c r="AW128" s="125"/>
      <c r="AX128" s="125"/>
      <c r="AY128" s="125"/>
      <c r="AZ128" s="125"/>
      <c r="BA128" s="125"/>
      <c r="BB128" s="125"/>
      <c r="BC128" s="125"/>
      <c r="BD128" s="125"/>
      <c r="BE128" s="125"/>
      <c r="BF128" s="125"/>
      <c r="BG128" s="125"/>
      <c r="BH128" s="125"/>
      <c r="BI128" s="125"/>
      <c r="BJ128" s="125"/>
      <c r="BK128" s="125"/>
      <c r="BL128" s="125"/>
      <c r="BM128" s="125"/>
      <c r="BN128" s="125"/>
      <c r="BO128" s="125"/>
      <c r="BP128" s="125"/>
      <c r="BQ128" s="125"/>
      <c r="BR128" s="125"/>
      <c r="BS128" s="125"/>
      <c r="BT128" s="125"/>
      <c r="BU128" s="125"/>
      <c r="BV128" s="125"/>
      <c r="BW128" s="125"/>
      <c r="BX128" s="125"/>
      <c r="BY128" s="125"/>
      <c r="BZ128" s="125"/>
      <c r="CA128" s="125"/>
      <c r="CB128" s="125"/>
      <c r="CC128" s="125"/>
      <c r="CD128" s="125"/>
      <c r="CE128" s="125"/>
      <c r="CF128" s="125"/>
      <c r="CG128" s="125"/>
      <c r="CH128" s="125"/>
      <c r="CI128" s="125"/>
      <c r="CJ128" s="125"/>
      <c r="CK128" s="125"/>
      <c r="CL128" s="125"/>
      <c r="CM128" s="125"/>
      <c r="CN128" s="125"/>
      <c r="CO128" s="125"/>
      <c r="CP128" s="125"/>
      <c r="CQ128" s="125"/>
      <c r="CR128" s="125"/>
      <c r="CS128" s="125"/>
      <c r="CT128" s="125"/>
      <c r="CU128" s="125"/>
      <c r="CV128" s="125"/>
      <c r="CW128" s="125"/>
      <c r="CX128" s="125"/>
      <c r="CY128" s="125"/>
      <c r="CZ128" s="125"/>
      <c r="DA128" s="125"/>
      <c r="DB128" s="125"/>
      <c r="DC128" s="125"/>
      <c r="DD128" s="125"/>
      <c r="DE128" s="125"/>
      <c r="DF128" s="125"/>
      <c r="DG128" s="125"/>
      <c r="DH128" s="125"/>
      <c r="DI128" s="125"/>
      <c r="DJ128" s="125"/>
      <c r="DK128" s="125"/>
      <c r="DL128" s="125"/>
      <c r="DM128" s="125"/>
      <c r="DN128" s="125"/>
      <c r="DO128" s="125"/>
      <c r="DP128" s="125"/>
      <c r="DQ128" s="125"/>
      <c r="DR128" s="125"/>
      <c r="DS128" s="125"/>
      <c r="DT128" s="125"/>
      <c r="DU128" s="125"/>
      <c r="DV128" s="125"/>
      <c r="DW128" s="125"/>
      <c r="DX128" s="125"/>
      <c r="DY128" s="125"/>
      <c r="DZ128" s="125"/>
      <c r="EA128" s="125"/>
      <c r="EB128" s="125"/>
      <c r="EC128" s="125"/>
      <c r="ED128" s="125"/>
      <c r="EE128" s="125"/>
      <c r="EF128" s="125"/>
      <c r="EG128" s="125"/>
      <c r="EH128" s="125"/>
      <c r="EI128" s="125"/>
      <c r="EJ128" s="125"/>
      <c r="EK128" s="125"/>
      <c r="EL128" s="125"/>
      <c r="EM128" s="125"/>
      <c r="EN128" s="125"/>
      <c r="EO128" s="125"/>
      <c r="EP128" s="125"/>
      <c r="EQ128" s="125"/>
      <c r="ER128" s="125"/>
      <c r="ES128" s="125"/>
      <c r="ET128" s="125"/>
      <c r="EU128" s="125"/>
      <c r="EV128" s="125"/>
      <c r="EW128" s="125"/>
      <c r="EX128" s="125"/>
      <c r="EY128" s="125"/>
      <c r="EZ128" s="125"/>
      <c r="FA128" s="125"/>
      <c r="FB128" s="125"/>
      <c r="FC128" s="125"/>
      <c r="FD128" s="125"/>
      <c r="FE128" s="125"/>
      <c r="FF128" s="125"/>
      <c r="FG128" s="125"/>
      <c r="FH128" s="125"/>
      <c r="FI128" s="125"/>
      <c r="FJ128" s="125"/>
      <c r="FK128" s="125"/>
      <c r="FL128" s="125"/>
      <c r="FM128" s="125"/>
      <c r="FN128" s="125"/>
      <c r="FO128" s="125"/>
      <c r="FP128" s="125"/>
      <c r="FQ128" s="125"/>
      <c r="FR128" s="125"/>
      <c r="FS128" s="125"/>
      <c r="FT128" s="125"/>
      <c r="FU128" s="125"/>
      <c r="FV128" s="125"/>
      <c r="FW128" s="125"/>
      <c r="FX128" s="125"/>
      <c r="FY128" s="125"/>
      <c r="FZ128" s="125"/>
      <c r="GA128" s="125"/>
      <c r="GB128" s="125"/>
      <c r="GC128" s="125"/>
      <c r="GD128" s="125"/>
      <c r="GE128" s="125"/>
      <c r="GF128" s="125"/>
      <c r="GG128" s="125"/>
      <c r="GH128" s="125"/>
      <c r="GI128" s="125"/>
      <c r="GJ128" s="125"/>
      <c r="GK128" s="125"/>
      <c r="GL128" s="125"/>
      <c r="GM128" s="125"/>
      <c r="GN128" s="125"/>
      <c r="GO128" s="125"/>
      <c r="GP128" s="125"/>
      <c r="GQ128" s="125"/>
      <c r="GR128" s="125"/>
      <c r="GS128" s="125"/>
      <c r="GT128" s="125"/>
      <c r="GU128" s="125"/>
      <c r="GV128" s="125"/>
      <c r="GW128" s="125"/>
      <c r="GX128" s="125"/>
      <c r="GY128" s="125"/>
      <c r="GZ128" s="125"/>
      <c r="HA128" s="125"/>
      <c r="HB128" s="125"/>
      <c r="HC128" s="125"/>
      <c r="HD128" s="125"/>
      <c r="HE128" s="125"/>
      <c r="HF128" s="125"/>
      <c r="HG128" s="125"/>
      <c r="HH128" s="125"/>
      <c r="HI128" s="125"/>
      <c r="HJ128" s="125"/>
      <c r="HK128" s="125"/>
      <c r="HL128" s="125"/>
      <c r="HM128" s="125"/>
      <c r="HN128" s="125"/>
      <c r="HO128" s="125"/>
      <c r="HP128" s="125"/>
      <c r="HQ128" s="125"/>
      <c r="HR128" s="125"/>
      <c r="HS128" s="125"/>
      <c r="HT128" s="125"/>
      <c r="HU128" s="125"/>
      <c r="HV128" s="125"/>
      <c r="HW128" s="125"/>
      <c r="HX128" s="125"/>
      <c r="HY128" s="125"/>
      <c r="HZ128" s="125"/>
      <c r="IA128" s="125"/>
      <c r="IB128" s="125"/>
      <c r="IC128" s="125"/>
      <c r="ID128" s="125"/>
      <c r="IE128" s="125"/>
      <c r="IF128" s="125"/>
      <c r="IG128" s="125"/>
      <c r="IH128" s="125"/>
      <c r="II128" s="125"/>
      <c r="IJ128" s="125"/>
      <c r="IK128" s="125"/>
      <c r="IL128" s="125"/>
      <c r="IM128" s="125"/>
      <c r="IN128" s="125"/>
      <c r="IO128" s="125"/>
    </row>
    <row r="129" spans="2:249">
      <c r="B129" s="136"/>
      <c r="C129" s="137" t="str">
        <f>C12</f>
        <v>Residential Qualification</v>
      </c>
      <c r="D129" s="107" t="str">
        <f t="shared" ref="D129:AL129" si="0">IF(D13="Y",$C$13,IF(D14="Y",$C$14,IF(D15="Y",$C$15,IF(D16="Y",$C$16,IF(D17="Y",$C$17,"ERROR")))))</f>
        <v>AU citizen</v>
      </c>
      <c r="E129" s="107" t="str">
        <f t="shared" si="0"/>
        <v>AU citizen</v>
      </c>
      <c r="F129" s="107" t="str">
        <f t="shared" si="0"/>
        <v>AU citizen</v>
      </c>
      <c r="G129" s="107" t="str">
        <f t="shared" si="0"/>
        <v>AU citizen</v>
      </c>
      <c r="H129" s="107" t="str">
        <f t="shared" si="0"/>
        <v>AU citizen</v>
      </c>
      <c r="I129" s="107" t="str">
        <f t="shared" si="0"/>
        <v>AU citizen</v>
      </c>
      <c r="J129" s="107" t="str">
        <f t="shared" si="0"/>
        <v>AU citizen</v>
      </c>
      <c r="K129" s="107" t="str">
        <f t="shared" si="0"/>
        <v>AU citizen</v>
      </c>
      <c r="L129" s="107" t="str">
        <f t="shared" si="0"/>
        <v>AU citizen</v>
      </c>
      <c r="M129" s="107" t="str">
        <f t="shared" si="0"/>
        <v>AU citizen</v>
      </c>
      <c r="N129" s="107" t="str">
        <f t="shared" si="0"/>
        <v>AU citizen</v>
      </c>
      <c r="O129" s="107" t="str">
        <f t="shared" si="0"/>
        <v>AU citizen</v>
      </c>
      <c r="P129" s="107" t="str">
        <f t="shared" si="0"/>
        <v>AU citizen</v>
      </c>
      <c r="Q129" s="107" t="str">
        <f t="shared" si="0"/>
        <v>AU citizen</v>
      </c>
      <c r="R129" s="107" t="str">
        <f t="shared" si="0"/>
        <v>AU citizen</v>
      </c>
      <c r="S129" s="107" t="str">
        <f t="shared" si="0"/>
        <v>AU citizen</v>
      </c>
      <c r="T129" s="107" t="str">
        <f t="shared" si="0"/>
        <v>AU citizen</v>
      </c>
      <c r="U129" s="107" t="str">
        <f t="shared" si="0"/>
        <v>AU citizen</v>
      </c>
      <c r="V129" s="107" t="str">
        <f t="shared" si="0"/>
        <v>AU citizen</v>
      </c>
      <c r="W129" s="107" t="str">
        <f t="shared" si="0"/>
        <v>AU citizen</v>
      </c>
      <c r="X129" s="107" t="str">
        <f t="shared" si="0"/>
        <v>AU citizen</v>
      </c>
      <c r="Y129" s="107" t="str">
        <f t="shared" si="0"/>
        <v>AU citizen</v>
      </c>
      <c r="Z129" s="107" t="str">
        <f t="shared" si="0"/>
        <v>AU citizen</v>
      </c>
      <c r="AA129" s="107" t="str">
        <f t="shared" si="0"/>
        <v>AU citizen</v>
      </c>
      <c r="AB129" s="107" t="str">
        <f t="shared" si="0"/>
        <v>AU citizen</v>
      </c>
      <c r="AC129" s="107" t="str">
        <f t="shared" si="0"/>
        <v>AU citizen</v>
      </c>
      <c r="AD129" s="107" t="str">
        <f t="shared" si="0"/>
        <v>AU citizen</v>
      </c>
      <c r="AE129" s="107" t="str">
        <f t="shared" si="0"/>
        <v>AU citizen</v>
      </c>
      <c r="AF129" s="107" t="str">
        <f t="shared" si="0"/>
        <v>AU citizen</v>
      </c>
      <c r="AG129" s="107" t="str">
        <f t="shared" si="0"/>
        <v>AU citizen</v>
      </c>
      <c r="AH129" s="107" t="str">
        <f t="shared" si="0"/>
        <v>Spouse/Partner Visa Class</v>
      </c>
      <c r="AI129" s="107" t="str">
        <f t="shared" si="0"/>
        <v>Temporary Visa Class</v>
      </c>
      <c r="AJ129" s="107" t="str">
        <f t="shared" si="0"/>
        <v>Spouse/Partner Visa Class</v>
      </c>
      <c r="AK129" s="107" t="str">
        <f t="shared" si="0"/>
        <v>Temporary Visa Class</v>
      </c>
      <c r="AL129" s="107" t="str">
        <f t="shared" si="0"/>
        <v>AU citizen</v>
      </c>
      <c r="AM129" s="107" t="str">
        <f t="shared" ref="AM129:CD129" si="1">IF(AM13="Y",$C$13,IF(AM14="Y",$C$14,IF(AM15="Y",$C$15,IF(AM16="Y",$C$16,IF(AM17="Y",$C$17,"ERROR")))))</f>
        <v>AU citizen</v>
      </c>
      <c r="AN129" s="107" t="str">
        <f t="shared" si="1"/>
        <v>AU citizen</v>
      </c>
      <c r="AO129" s="107" t="str">
        <f t="shared" si="1"/>
        <v>AU citizen</v>
      </c>
      <c r="AP129" s="107" t="str">
        <f t="shared" si="1"/>
        <v>AU citizen</v>
      </c>
      <c r="AQ129" s="107" t="str">
        <f t="shared" si="1"/>
        <v>AU citizen</v>
      </c>
      <c r="AR129" s="107" t="str">
        <f t="shared" si="1"/>
        <v>AU citizen</v>
      </c>
      <c r="AS129" s="107" t="str">
        <f t="shared" si="1"/>
        <v>AU citizen</v>
      </c>
      <c r="AT129" s="107" t="str">
        <f t="shared" si="1"/>
        <v>AU citizen</v>
      </c>
      <c r="AU129" s="107" t="str">
        <f t="shared" si="1"/>
        <v>Permanent Resident Visa Class</v>
      </c>
      <c r="AV129" s="107" t="str">
        <f t="shared" si="1"/>
        <v>Permanent Resident Visa Class</v>
      </c>
      <c r="AW129" s="107" t="str">
        <f t="shared" si="1"/>
        <v>Permanent Resident Visa Class</v>
      </c>
      <c r="AX129" s="107" t="str">
        <f t="shared" si="1"/>
        <v>Permanent Resident Visa Class</v>
      </c>
      <c r="AY129" s="107" t="str">
        <f t="shared" si="1"/>
        <v>Permanent Resident Visa Class</v>
      </c>
      <c r="AZ129" s="107" t="str">
        <f t="shared" si="1"/>
        <v>Permanent Resident Visa Class</v>
      </c>
      <c r="BA129" s="107" t="str">
        <f t="shared" si="1"/>
        <v>Permanent Resident Visa Class</v>
      </c>
      <c r="BB129" s="107" t="str">
        <f t="shared" si="1"/>
        <v>Permanent Resident Visa Class</v>
      </c>
      <c r="BC129" s="107" t="str">
        <f t="shared" si="1"/>
        <v>Permanent Resident Visa Class</v>
      </c>
      <c r="BD129" s="107" t="str">
        <f t="shared" si="1"/>
        <v>Spouse/Partner Visa Class</v>
      </c>
      <c r="BE129" s="107" t="str">
        <f t="shared" si="1"/>
        <v>Spouse/Partner Visa Class</v>
      </c>
      <c r="BF129" s="107" t="str">
        <f t="shared" si="1"/>
        <v>Spouse/Partner Visa Class</v>
      </c>
      <c r="BG129" s="107" t="str">
        <f t="shared" si="1"/>
        <v>Spouse/Partner Visa Class</v>
      </c>
      <c r="BH129" s="107" t="str">
        <f t="shared" si="1"/>
        <v>Spouse/Partner Visa Class</v>
      </c>
      <c r="BI129" s="107" t="str">
        <f t="shared" si="1"/>
        <v>Spouse/Partner Visa Class</v>
      </c>
      <c r="BJ129" s="107" t="str">
        <f t="shared" si="1"/>
        <v>Spouse/Partner Visa Class</v>
      </c>
      <c r="BK129" s="107" t="str">
        <f t="shared" si="1"/>
        <v>Spouse/Partner Visa Class</v>
      </c>
      <c r="BL129" s="107" t="str">
        <f t="shared" si="1"/>
        <v>Spouse/Partner Visa Class</v>
      </c>
      <c r="BM129" s="107" t="str">
        <f t="shared" si="1"/>
        <v>Temporary Visa Class</v>
      </c>
      <c r="BN129" s="107" t="str">
        <f t="shared" si="1"/>
        <v>Temporary Visa Class</v>
      </c>
      <c r="BO129" s="107" t="str">
        <f t="shared" si="1"/>
        <v>Temporary Visa Class</v>
      </c>
      <c r="BP129" s="107" t="str">
        <f t="shared" si="1"/>
        <v>Temporary Visa Class</v>
      </c>
      <c r="BQ129" s="107" t="str">
        <f t="shared" si="1"/>
        <v>Temporary Visa Class</v>
      </c>
      <c r="BR129" s="107" t="str">
        <f t="shared" si="1"/>
        <v>Temporary Visa Class</v>
      </c>
      <c r="BS129" s="107" t="str">
        <f t="shared" si="1"/>
        <v>Temporary Visa Class</v>
      </c>
      <c r="BT129" s="107" t="str">
        <f t="shared" si="1"/>
        <v>Temporary Visa Class</v>
      </c>
      <c r="BU129" s="107" t="str">
        <f t="shared" si="1"/>
        <v>Temporary Visa Class</v>
      </c>
      <c r="BV129" s="107" t="str">
        <f t="shared" si="1"/>
        <v>Special Category Visa Class</v>
      </c>
      <c r="BW129" s="107" t="str">
        <f t="shared" si="1"/>
        <v>Special Category Visa Class</v>
      </c>
      <c r="BX129" s="107" t="str">
        <f t="shared" si="1"/>
        <v>Special Category Visa Class</v>
      </c>
      <c r="BY129" s="107" t="str">
        <f t="shared" si="1"/>
        <v>Special Category Visa Class</v>
      </c>
      <c r="BZ129" s="107" t="str">
        <f t="shared" si="1"/>
        <v>Special Category Visa Class</v>
      </c>
      <c r="CA129" s="107" t="str">
        <f t="shared" si="1"/>
        <v>Special Category Visa Class</v>
      </c>
      <c r="CB129" s="107" t="str">
        <f t="shared" si="1"/>
        <v>Special Category Visa Class</v>
      </c>
      <c r="CC129" s="107" t="str">
        <f t="shared" si="1"/>
        <v>Special Category Visa Class</v>
      </c>
      <c r="CD129" s="107" t="str">
        <f t="shared" si="1"/>
        <v>Special Category Visa Class</v>
      </c>
      <c r="CE129" s="107"/>
      <c r="CF129" s="107"/>
      <c r="CG129" s="107"/>
      <c r="CH129" s="107"/>
      <c r="CI129" s="107"/>
      <c r="CJ129" s="107"/>
      <c r="CK129" s="107"/>
      <c r="CL129" s="107"/>
      <c r="CM129" s="107"/>
      <c r="CN129" s="107"/>
      <c r="CO129" s="107"/>
      <c r="CP129" s="107"/>
      <c r="CQ129" s="107"/>
      <c r="CR129" s="107"/>
      <c r="CS129" s="107"/>
      <c r="CT129" s="107"/>
      <c r="CU129" s="107"/>
      <c r="CV129" s="107"/>
      <c r="CW129" s="107"/>
      <c r="CX129" s="107"/>
      <c r="CY129" s="107"/>
      <c r="CZ129" s="107"/>
      <c r="DA129" s="107"/>
      <c r="DB129" s="107"/>
      <c r="DC129" s="107"/>
      <c r="DD129" s="107"/>
      <c r="DE129" s="107"/>
      <c r="DF129" s="107"/>
      <c r="DG129" s="107"/>
      <c r="DH129" s="107"/>
      <c r="DI129" s="107"/>
      <c r="DJ129" s="107"/>
      <c r="DK129" s="107"/>
      <c r="DL129" s="107"/>
      <c r="DM129" s="107"/>
      <c r="DN129" s="107"/>
      <c r="DO129" s="107"/>
      <c r="DP129" s="107"/>
      <c r="DQ129" s="107"/>
      <c r="DR129" s="107"/>
      <c r="DS129" s="107"/>
      <c r="DT129" s="107"/>
      <c r="DU129" s="107"/>
      <c r="DV129" s="107"/>
      <c r="DW129" s="107"/>
      <c r="DX129" s="107"/>
      <c r="DY129" s="107"/>
      <c r="DZ129" s="107"/>
      <c r="EA129" s="107"/>
      <c r="EB129" s="107"/>
      <c r="EC129" s="107"/>
      <c r="ED129" s="107"/>
      <c r="EE129" s="107"/>
      <c r="EF129" s="107"/>
      <c r="EG129" s="107"/>
      <c r="EH129" s="107"/>
      <c r="EI129" s="107"/>
      <c r="EJ129" s="107"/>
      <c r="EK129" s="107"/>
      <c r="EL129" s="107"/>
      <c r="EM129" s="107"/>
      <c r="EN129" s="107"/>
      <c r="EO129" s="107"/>
      <c r="EP129" s="107"/>
      <c r="EQ129" s="107"/>
      <c r="ER129" s="107"/>
      <c r="ES129" s="107"/>
      <c r="ET129" s="107"/>
      <c r="EU129" s="107"/>
      <c r="EV129" s="107"/>
      <c r="EW129" s="107"/>
      <c r="EX129" s="107"/>
      <c r="EY129" s="107"/>
      <c r="EZ129" s="107"/>
      <c r="FA129" s="107"/>
      <c r="FB129" s="107"/>
      <c r="FC129" s="107"/>
      <c r="FD129" s="107"/>
      <c r="FE129" s="107"/>
      <c r="FF129" s="107"/>
      <c r="FG129" s="107"/>
      <c r="FH129" s="107"/>
      <c r="FI129" s="107"/>
      <c r="FJ129" s="107"/>
      <c r="FK129" s="107"/>
      <c r="FL129" s="107"/>
      <c r="FM129" s="107"/>
      <c r="FN129" s="107"/>
      <c r="FO129" s="107"/>
      <c r="FP129" s="107"/>
      <c r="FQ129" s="107"/>
      <c r="FR129" s="107"/>
      <c r="FS129" s="107"/>
      <c r="FT129" s="107"/>
      <c r="FU129" s="107"/>
      <c r="FV129" s="107"/>
      <c r="FW129" s="107"/>
      <c r="FX129" s="107"/>
      <c r="FY129" s="107"/>
      <c r="FZ129" s="107"/>
      <c r="GA129" s="107"/>
      <c r="GB129" s="107"/>
      <c r="GC129" s="107"/>
      <c r="GD129" s="107"/>
      <c r="GE129" s="107"/>
      <c r="GF129" s="107"/>
      <c r="GG129" s="107"/>
      <c r="GH129" s="107"/>
      <c r="GI129" s="107"/>
      <c r="GJ129" s="107"/>
      <c r="GK129" s="107"/>
      <c r="GL129" s="107"/>
      <c r="GM129" s="107"/>
      <c r="GN129" s="107"/>
      <c r="GO129" s="107"/>
      <c r="GP129" s="107"/>
      <c r="GQ129" s="107"/>
      <c r="GR129" s="107"/>
      <c r="GS129" s="107"/>
      <c r="GT129" s="107"/>
      <c r="GU129" s="107"/>
      <c r="GV129" s="107"/>
      <c r="GW129" s="107"/>
      <c r="GX129" s="107"/>
      <c r="GY129" s="107"/>
      <c r="GZ129" s="107"/>
      <c r="HA129" s="107"/>
      <c r="HB129" s="107"/>
      <c r="HC129" s="107"/>
      <c r="HD129" s="107"/>
      <c r="HE129" s="107"/>
      <c r="HF129" s="107"/>
      <c r="HG129" s="107"/>
      <c r="HH129" s="107"/>
      <c r="HI129" s="107"/>
      <c r="HJ129" s="107"/>
      <c r="HK129" s="107"/>
      <c r="HL129" s="107"/>
      <c r="HM129" s="107"/>
      <c r="HN129" s="107"/>
      <c r="HO129" s="107"/>
      <c r="HP129" s="107"/>
      <c r="HQ129" s="107"/>
      <c r="HR129" s="107"/>
      <c r="HS129" s="107"/>
      <c r="HT129" s="107"/>
      <c r="HU129" s="107"/>
      <c r="HV129" s="107"/>
      <c r="HW129" s="107"/>
      <c r="HX129" s="107"/>
      <c r="HY129" s="107"/>
      <c r="HZ129" s="107"/>
      <c r="IA129" s="107"/>
      <c r="IB129" s="107"/>
      <c r="IC129" s="107"/>
      <c r="ID129" s="107"/>
      <c r="IE129" s="107"/>
      <c r="IF129" s="107"/>
      <c r="IG129" s="107"/>
      <c r="IH129" s="107"/>
      <c r="II129" s="107"/>
      <c r="IJ129" s="107"/>
      <c r="IK129" s="107"/>
      <c r="IL129" s="107"/>
      <c r="IM129" s="107"/>
      <c r="IN129" s="107"/>
      <c r="IO129" s="107"/>
    </row>
    <row r="130" spans="2:249">
      <c r="B130" s="135" t="s">
        <v>452</v>
      </c>
      <c r="C130" s="135"/>
      <c r="D130" s="129"/>
      <c r="E130" s="129"/>
      <c r="F130" s="129"/>
      <c r="G130" s="129"/>
      <c r="H130" s="129"/>
      <c r="I130" s="129"/>
      <c r="J130" s="129"/>
      <c r="K130" s="129"/>
      <c r="L130" s="129"/>
      <c r="M130" s="129"/>
      <c r="N130" s="129"/>
      <c r="O130" s="129"/>
      <c r="P130" s="129"/>
      <c r="Q130" s="129"/>
      <c r="R130" s="129"/>
      <c r="S130" s="129"/>
      <c r="T130" s="129"/>
      <c r="U130" s="129"/>
      <c r="V130" s="129"/>
      <c r="W130" s="129"/>
      <c r="X130" s="129"/>
      <c r="Y130" s="129"/>
      <c r="Z130" s="129"/>
      <c r="AA130" s="129"/>
      <c r="AB130" s="129"/>
      <c r="AC130" s="129"/>
      <c r="AD130" s="129"/>
      <c r="AE130" s="129"/>
      <c r="AF130" s="129"/>
      <c r="AG130" s="129"/>
      <c r="AH130" s="129"/>
      <c r="AI130" s="129"/>
      <c r="AJ130" s="129"/>
      <c r="AK130" s="129"/>
      <c r="AL130" s="129"/>
      <c r="AM130" s="129"/>
      <c r="AN130" s="129"/>
      <c r="AO130" s="129"/>
      <c r="AP130" s="129"/>
      <c r="AQ130" s="129"/>
      <c r="AR130" s="129"/>
      <c r="AS130" s="129"/>
      <c r="AT130" s="129"/>
      <c r="AU130" s="129"/>
      <c r="AV130" s="129"/>
      <c r="AW130" s="129"/>
      <c r="AX130" s="129"/>
      <c r="AY130" s="129"/>
      <c r="AZ130" s="129"/>
      <c r="BA130" s="129"/>
      <c r="BB130" s="129"/>
      <c r="BC130" s="129"/>
      <c r="BD130" s="129"/>
      <c r="BE130" s="129"/>
      <c r="BF130" s="129"/>
      <c r="BG130" s="129"/>
      <c r="BH130" s="129"/>
      <c r="BI130" s="129"/>
      <c r="BJ130" s="129"/>
      <c r="BK130" s="129"/>
      <c r="BL130" s="129"/>
      <c r="BM130" s="129"/>
      <c r="BN130" s="129"/>
      <c r="BO130" s="129"/>
      <c r="BP130" s="129"/>
      <c r="BQ130" s="129"/>
      <c r="BR130" s="129"/>
      <c r="BS130" s="129"/>
      <c r="BT130" s="129"/>
      <c r="BU130" s="129"/>
      <c r="BV130" s="129"/>
      <c r="BW130" s="129"/>
      <c r="BX130" s="129"/>
      <c r="BY130" s="129"/>
      <c r="BZ130" s="129"/>
      <c r="CA130" s="129"/>
      <c r="CB130" s="129"/>
      <c r="CC130" s="129"/>
      <c r="CD130" s="129"/>
      <c r="CE130" s="129"/>
      <c r="CF130" s="129"/>
      <c r="CG130" s="129"/>
      <c r="CH130" s="129"/>
      <c r="CI130" s="129"/>
      <c r="CJ130" s="129"/>
      <c r="CK130" s="129"/>
      <c r="CL130" s="129"/>
      <c r="CM130" s="129"/>
      <c r="CN130" s="129"/>
      <c r="CO130" s="129"/>
      <c r="CP130" s="129"/>
      <c r="CQ130" s="129"/>
      <c r="CR130" s="129"/>
      <c r="CS130" s="129"/>
      <c r="CT130" s="129"/>
      <c r="CU130" s="129"/>
      <c r="CV130" s="129"/>
      <c r="CW130" s="129"/>
      <c r="CX130" s="129"/>
      <c r="CY130" s="129"/>
      <c r="CZ130" s="129"/>
      <c r="DA130" s="129"/>
      <c r="DB130" s="129"/>
      <c r="DC130" s="129"/>
      <c r="DD130" s="129"/>
      <c r="DE130" s="129"/>
      <c r="DF130" s="129"/>
      <c r="DG130" s="129"/>
      <c r="DH130" s="129"/>
      <c r="DI130" s="129"/>
      <c r="DJ130" s="129"/>
      <c r="DK130" s="129"/>
      <c r="DL130" s="129"/>
      <c r="DM130" s="129"/>
      <c r="DN130" s="129"/>
      <c r="DO130" s="129"/>
      <c r="DP130" s="129"/>
      <c r="DQ130" s="129"/>
      <c r="DR130" s="129"/>
      <c r="DS130" s="129"/>
      <c r="DT130" s="129"/>
      <c r="DU130" s="129"/>
      <c r="DV130" s="129"/>
      <c r="DW130" s="129"/>
      <c r="DX130" s="129"/>
      <c r="DY130" s="129"/>
      <c r="DZ130" s="129"/>
      <c r="EA130" s="129"/>
      <c r="EB130" s="129"/>
      <c r="EC130" s="129"/>
      <c r="ED130" s="129"/>
      <c r="EE130" s="129"/>
      <c r="EF130" s="129"/>
      <c r="EG130" s="129"/>
      <c r="EH130" s="129"/>
      <c r="EI130" s="129"/>
      <c r="EJ130" s="129"/>
      <c r="EK130" s="129"/>
      <c r="EL130" s="129"/>
      <c r="EM130" s="129"/>
      <c r="EN130" s="129"/>
      <c r="EO130" s="129"/>
      <c r="EP130" s="129"/>
      <c r="EQ130" s="129"/>
      <c r="ER130" s="129"/>
      <c r="ES130" s="129"/>
      <c r="ET130" s="129"/>
      <c r="EU130" s="129"/>
      <c r="EV130" s="129"/>
      <c r="EW130" s="129"/>
      <c r="EX130" s="129"/>
      <c r="EY130" s="129"/>
      <c r="EZ130" s="129"/>
      <c r="FA130" s="129"/>
      <c r="FB130" s="129"/>
      <c r="FC130" s="129"/>
      <c r="FD130" s="129"/>
      <c r="FE130" s="129"/>
      <c r="FF130" s="129"/>
      <c r="FG130" s="129"/>
      <c r="FH130" s="129"/>
      <c r="FI130" s="129"/>
      <c r="FJ130" s="129"/>
      <c r="FK130" s="129"/>
      <c r="FL130" s="129"/>
      <c r="FM130" s="129"/>
      <c r="FN130" s="129"/>
      <c r="FO130" s="129"/>
      <c r="FP130" s="129"/>
      <c r="FQ130" s="129"/>
      <c r="FR130" s="129"/>
      <c r="FS130" s="129"/>
      <c r="FT130" s="129"/>
      <c r="FU130" s="129"/>
      <c r="FV130" s="129"/>
      <c r="FW130" s="129"/>
      <c r="FX130" s="129"/>
      <c r="FY130" s="129"/>
      <c r="FZ130" s="129"/>
      <c r="GA130" s="129"/>
      <c r="GB130" s="129"/>
      <c r="GC130" s="129"/>
      <c r="GD130" s="129"/>
      <c r="GE130" s="129"/>
      <c r="GF130" s="129"/>
      <c r="GG130" s="129"/>
      <c r="GH130" s="129"/>
      <c r="GI130" s="129"/>
      <c r="GJ130" s="129"/>
      <c r="GK130" s="129"/>
      <c r="GL130" s="129"/>
      <c r="GM130" s="129"/>
      <c r="GN130" s="129"/>
      <c r="GO130" s="129"/>
      <c r="GP130" s="129"/>
      <c r="GQ130" s="129"/>
      <c r="GR130" s="129"/>
      <c r="GS130" s="129"/>
      <c r="GT130" s="129"/>
      <c r="GU130" s="129"/>
      <c r="GV130" s="129"/>
      <c r="GW130" s="129"/>
      <c r="GX130" s="129"/>
      <c r="GY130" s="129"/>
      <c r="GZ130" s="129"/>
      <c r="HA130" s="129"/>
      <c r="HB130" s="129"/>
      <c r="HC130" s="129"/>
      <c r="HD130" s="129"/>
      <c r="HE130" s="129"/>
      <c r="HF130" s="129"/>
      <c r="HG130" s="129"/>
      <c r="HH130" s="129"/>
      <c r="HI130" s="129"/>
      <c r="HJ130" s="129"/>
      <c r="HK130" s="129"/>
      <c r="HL130" s="129"/>
      <c r="HM130" s="129"/>
      <c r="HN130" s="129"/>
      <c r="HO130" s="129"/>
      <c r="HP130" s="129"/>
      <c r="HQ130" s="129"/>
      <c r="HR130" s="129"/>
      <c r="HS130" s="129"/>
      <c r="HT130" s="129"/>
      <c r="HU130" s="129"/>
      <c r="HV130" s="129"/>
      <c r="HW130" s="129"/>
      <c r="HX130" s="129"/>
      <c r="HY130" s="129"/>
      <c r="HZ130" s="129"/>
      <c r="IA130" s="129"/>
      <c r="IB130" s="129"/>
      <c r="IC130" s="129"/>
      <c r="ID130" s="129"/>
      <c r="IE130" s="129"/>
      <c r="IF130" s="129"/>
      <c r="IG130" s="129"/>
      <c r="IH130" s="129"/>
      <c r="II130" s="129"/>
      <c r="IJ130" s="129"/>
      <c r="IK130" s="129"/>
      <c r="IL130" s="129"/>
      <c r="IM130" s="129"/>
      <c r="IN130" s="129"/>
      <c r="IO130" s="129"/>
    </row>
    <row r="131" spans="2:249">
      <c r="B131" s="136"/>
      <c r="C131" s="137" t="str">
        <f>C18</f>
        <v xml:space="preserve">Direct Credit details  </v>
      </c>
      <c r="D131" s="107" t="str">
        <f t="shared" ref="D131:AK131" si="2">IF(D19="Y",$C$19,IF(D20="Y",$C$20,IF(D21="Y",$C$21,$D$19)))</f>
        <v>Coded</v>
      </c>
      <c r="E131" s="107" t="str">
        <f t="shared" si="2"/>
        <v>Coded Exemption - FNG</v>
      </c>
      <c r="F131" s="107" t="str">
        <f t="shared" si="2"/>
        <v>Not Coded</v>
      </c>
      <c r="G131" s="107" t="str">
        <f t="shared" si="2"/>
        <v>Coded</v>
      </c>
      <c r="H131" s="107" t="str">
        <f t="shared" si="2"/>
        <v>Coded</v>
      </c>
      <c r="I131" s="107" t="str">
        <f t="shared" si="2"/>
        <v>Coded</v>
      </c>
      <c r="J131" s="107" t="str">
        <f t="shared" si="2"/>
        <v>Coded</v>
      </c>
      <c r="K131" s="107" t="str">
        <f t="shared" si="2"/>
        <v>Coded</v>
      </c>
      <c r="L131" s="107" t="str">
        <f t="shared" si="2"/>
        <v>Coded</v>
      </c>
      <c r="M131" s="107" t="str">
        <f t="shared" si="2"/>
        <v>Coded</v>
      </c>
      <c r="N131" s="107" t="str">
        <f t="shared" si="2"/>
        <v>Coded</v>
      </c>
      <c r="O131" s="107" t="str">
        <f t="shared" si="2"/>
        <v>Coded</v>
      </c>
      <c r="P131" s="107" t="str">
        <f t="shared" si="2"/>
        <v>Coded</v>
      </c>
      <c r="Q131" s="107" t="str">
        <f t="shared" si="2"/>
        <v>Coded</v>
      </c>
      <c r="R131" s="107" t="str">
        <f t="shared" si="2"/>
        <v>Coded</v>
      </c>
      <c r="S131" s="107" t="str">
        <f t="shared" si="2"/>
        <v>Coded</v>
      </c>
      <c r="T131" s="107" t="str">
        <f t="shared" si="2"/>
        <v>Coded</v>
      </c>
      <c r="U131" s="107" t="str">
        <f t="shared" si="2"/>
        <v>Coded</v>
      </c>
      <c r="V131" s="107" t="str">
        <f t="shared" si="2"/>
        <v>Coded</v>
      </c>
      <c r="W131" s="107" t="str">
        <f t="shared" si="2"/>
        <v>Coded</v>
      </c>
      <c r="X131" s="107" t="str">
        <f t="shared" si="2"/>
        <v>Coded</v>
      </c>
      <c r="Y131" s="107" t="str">
        <f t="shared" si="2"/>
        <v>Coded</v>
      </c>
      <c r="Z131" s="107" t="str">
        <f t="shared" si="2"/>
        <v>Coded</v>
      </c>
      <c r="AA131" s="107" t="str">
        <f t="shared" si="2"/>
        <v>Coded</v>
      </c>
      <c r="AB131" s="107" t="str">
        <f t="shared" si="2"/>
        <v>Coded</v>
      </c>
      <c r="AC131" s="107" t="str">
        <f t="shared" si="2"/>
        <v>Coded</v>
      </c>
      <c r="AD131" s="107" t="str">
        <f t="shared" si="2"/>
        <v>Coded</v>
      </c>
      <c r="AE131" s="107" t="str">
        <f t="shared" si="2"/>
        <v>Coded</v>
      </c>
      <c r="AF131" s="107" t="str">
        <f t="shared" si="2"/>
        <v>Coded</v>
      </c>
      <c r="AG131" s="107" t="str">
        <f t="shared" si="2"/>
        <v>Coded</v>
      </c>
      <c r="AH131" s="107" t="str">
        <f t="shared" si="2"/>
        <v>Coded</v>
      </c>
      <c r="AI131" s="107" t="str">
        <f t="shared" si="2"/>
        <v>Coded</v>
      </c>
      <c r="AJ131" s="107" t="str">
        <f t="shared" si="2"/>
        <v>Coded</v>
      </c>
      <c r="AK131" s="107" t="str">
        <f t="shared" si="2"/>
        <v>Coded</v>
      </c>
      <c r="AL131" s="107" t="str">
        <f t="shared" ref="AL131:CD131" si="3">IF(AL19="Y",$C$19,IF(AL20="Y",$C$20,IF(AL21="Y",$C$21,$D$19)))</f>
        <v>Coded</v>
      </c>
      <c r="AM131" s="107" t="str">
        <f t="shared" si="3"/>
        <v>Coded Exemption - FNG</v>
      </c>
      <c r="AN131" s="107" t="str">
        <f t="shared" si="3"/>
        <v>Not Coded</v>
      </c>
      <c r="AO131" s="107" t="str">
        <f t="shared" si="3"/>
        <v>Coded</v>
      </c>
      <c r="AP131" s="107" t="str">
        <f t="shared" si="3"/>
        <v>Coded</v>
      </c>
      <c r="AQ131" s="107" t="str">
        <f t="shared" si="3"/>
        <v>Coded</v>
      </c>
      <c r="AR131" s="107" t="str">
        <f t="shared" si="3"/>
        <v>Coded</v>
      </c>
      <c r="AS131" s="107" t="str">
        <f t="shared" si="3"/>
        <v>Coded</v>
      </c>
      <c r="AT131" s="107" t="str">
        <f t="shared" si="3"/>
        <v>Coded</v>
      </c>
      <c r="AU131" s="107" t="str">
        <f t="shared" si="3"/>
        <v>Coded Exemption - FNG</v>
      </c>
      <c r="AV131" s="107" t="str">
        <f t="shared" si="3"/>
        <v>Not Coded</v>
      </c>
      <c r="AW131" s="107" t="str">
        <f t="shared" si="3"/>
        <v>Coded</v>
      </c>
      <c r="AX131" s="107" t="str">
        <f t="shared" si="3"/>
        <v>Coded</v>
      </c>
      <c r="AY131" s="107" t="str">
        <f t="shared" si="3"/>
        <v>Coded</v>
      </c>
      <c r="AZ131" s="107" t="str">
        <f t="shared" si="3"/>
        <v>Coded</v>
      </c>
      <c r="BA131" s="107" t="str">
        <f t="shared" si="3"/>
        <v>Coded</v>
      </c>
      <c r="BB131" s="107" t="str">
        <f t="shared" si="3"/>
        <v>Coded</v>
      </c>
      <c r="BC131" s="107" t="str">
        <f t="shared" si="3"/>
        <v>Coded</v>
      </c>
      <c r="BD131" s="107" t="str">
        <f t="shared" si="3"/>
        <v>Coded Exemption - FNG</v>
      </c>
      <c r="BE131" s="107" t="str">
        <f t="shared" si="3"/>
        <v>Not Coded</v>
      </c>
      <c r="BF131" s="107" t="str">
        <f t="shared" si="3"/>
        <v>Coded</v>
      </c>
      <c r="BG131" s="107" t="str">
        <f t="shared" si="3"/>
        <v>Coded</v>
      </c>
      <c r="BH131" s="107" t="str">
        <f t="shared" si="3"/>
        <v>Coded</v>
      </c>
      <c r="BI131" s="107" t="str">
        <f t="shared" si="3"/>
        <v>Coded</v>
      </c>
      <c r="BJ131" s="107" t="str">
        <f t="shared" si="3"/>
        <v>Coded</v>
      </c>
      <c r="BK131" s="107" t="str">
        <f t="shared" si="3"/>
        <v>Coded</v>
      </c>
      <c r="BL131" s="107" t="str">
        <f t="shared" si="3"/>
        <v>Coded</v>
      </c>
      <c r="BM131" s="107" t="str">
        <f t="shared" si="3"/>
        <v>Coded Exemption - FNG</v>
      </c>
      <c r="BN131" s="107" t="str">
        <f t="shared" si="3"/>
        <v>Not Coded</v>
      </c>
      <c r="BO131" s="107" t="str">
        <f t="shared" si="3"/>
        <v>Coded</v>
      </c>
      <c r="BP131" s="107" t="str">
        <f t="shared" si="3"/>
        <v>Coded</v>
      </c>
      <c r="BQ131" s="107" t="str">
        <f t="shared" si="3"/>
        <v>Coded</v>
      </c>
      <c r="BR131" s="107" t="str">
        <f t="shared" si="3"/>
        <v>Coded</v>
      </c>
      <c r="BS131" s="107" t="str">
        <f t="shared" si="3"/>
        <v>Coded</v>
      </c>
      <c r="BT131" s="107" t="str">
        <f t="shared" si="3"/>
        <v>Coded</v>
      </c>
      <c r="BU131" s="107" t="str">
        <f t="shared" si="3"/>
        <v>Coded</v>
      </c>
      <c r="BV131" s="107" t="str">
        <f t="shared" si="3"/>
        <v>Coded Exemption - FNG</v>
      </c>
      <c r="BW131" s="107" t="str">
        <f t="shared" si="3"/>
        <v>Not Coded</v>
      </c>
      <c r="BX131" s="107" t="str">
        <f t="shared" si="3"/>
        <v>Coded</v>
      </c>
      <c r="BY131" s="107" t="str">
        <f t="shared" si="3"/>
        <v>Coded</v>
      </c>
      <c r="BZ131" s="107" t="str">
        <f t="shared" si="3"/>
        <v>Coded</v>
      </c>
      <c r="CA131" s="107" t="str">
        <f t="shared" si="3"/>
        <v>Coded</v>
      </c>
      <c r="CB131" s="107" t="str">
        <f t="shared" si="3"/>
        <v>Coded</v>
      </c>
      <c r="CC131" s="107" t="str">
        <f t="shared" si="3"/>
        <v>Coded</v>
      </c>
      <c r="CD131" s="107" t="str">
        <f t="shared" si="3"/>
        <v>Coded</v>
      </c>
      <c r="CE131" s="107"/>
      <c r="CF131" s="107"/>
      <c r="CG131" s="107"/>
      <c r="CH131" s="107"/>
      <c r="CI131" s="107"/>
      <c r="CJ131" s="107"/>
      <c r="CK131" s="107"/>
      <c r="CL131" s="107"/>
      <c r="CM131" s="107"/>
      <c r="CN131" s="107"/>
      <c r="CO131" s="107"/>
      <c r="CP131" s="107"/>
      <c r="CQ131" s="107"/>
      <c r="CR131" s="107"/>
      <c r="CS131" s="107"/>
      <c r="CT131" s="107"/>
      <c r="CU131" s="107"/>
      <c r="CV131" s="107"/>
      <c r="CW131" s="107"/>
      <c r="CX131" s="107"/>
      <c r="CY131" s="107"/>
      <c r="CZ131" s="107"/>
      <c r="DA131" s="107"/>
      <c r="DB131" s="107"/>
      <c r="DC131" s="107"/>
      <c r="DD131" s="107"/>
      <c r="DE131" s="107"/>
      <c r="DF131" s="107"/>
      <c r="DG131" s="107"/>
      <c r="DH131" s="107"/>
      <c r="DI131" s="107"/>
      <c r="DJ131" s="107"/>
      <c r="DK131" s="107"/>
      <c r="DL131" s="107"/>
      <c r="DM131" s="107"/>
      <c r="DN131" s="107"/>
      <c r="DO131" s="107"/>
      <c r="DP131" s="107"/>
      <c r="DQ131" s="107"/>
      <c r="DR131" s="107"/>
      <c r="DS131" s="107"/>
      <c r="DT131" s="107"/>
      <c r="DU131" s="107"/>
      <c r="DV131" s="107"/>
      <c r="DW131" s="107"/>
      <c r="DX131" s="107"/>
      <c r="DY131" s="107"/>
      <c r="DZ131" s="107"/>
      <c r="EA131" s="107"/>
      <c r="EB131" s="107"/>
      <c r="EC131" s="107"/>
      <c r="ED131" s="107"/>
      <c r="EE131" s="107"/>
      <c r="EF131" s="107"/>
      <c r="EG131" s="107"/>
      <c r="EH131" s="107"/>
      <c r="EI131" s="107"/>
      <c r="EJ131" s="107"/>
      <c r="EK131" s="107"/>
      <c r="EL131" s="107"/>
      <c r="EM131" s="107"/>
      <c r="EN131" s="107"/>
      <c r="EO131" s="107"/>
      <c r="EP131" s="107"/>
      <c r="EQ131" s="107"/>
      <c r="ER131" s="107"/>
      <c r="ES131" s="107"/>
      <c r="ET131" s="107"/>
      <c r="EU131" s="107"/>
      <c r="EV131" s="107"/>
      <c r="EW131" s="107"/>
      <c r="EX131" s="107"/>
      <c r="EY131" s="107"/>
      <c r="EZ131" s="107"/>
      <c r="FA131" s="107"/>
      <c r="FB131" s="107"/>
      <c r="FC131" s="107"/>
      <c r="FD131" s="107"/>
      <c r="FE131" s="107"/>
      <c r="FF131" s="107"/>
      <c r="FG131" s="107"/>
      <c r="FH131" s="107"/>
      <c r="FI131" s="107"/>
      <c r="FJ131" s="107"/>
      <c r="FK131" s="107"/>
      <c r="FL131" s="107"/>
      <c r="FM131" s="107"/>
      <c r="FN131" s="107"/>
      <c r="FO131" s="107"/>
      <c r="FP131" s="107"/>
      <c r="FQ131" s="107"/>
      <c r="FR131" s="107"/>
      <c r="FS131" s="107"/>
      <c r="FT131" s="107"/>
      <c r="FU131" s="107"/>
      <c r="FV131" s="107"/>
      <c r="FW131" s="107"/>
      <c r="FX131" s="107"/>
      <c r="FY131" s="107"/>
      <c r="FZ131" s="107"/>
      <c r="GA131" s="107"/>
      <c r="GB131" s="107"/>
      <c r="GC131" s="107"/>
      <c r="GD131" s="107"/>
      <c r="GE131" s="107"/>
      <c r="GF131" s="107"/>
      <c r="GG131" s="107"/>
      <c r="GH131" s="107"/>
      <c r="GI131" s="107"/>
      <c r="GJ131" s="107"/>
      <c r="GK131" s="107"/>
      <c r="GL131" s="107"/>
      <c r="GM131" s="107"/>
      <c r="GN131" s="107"/>
      <c r="GO131" s="107"/>
      <c r="GP131" s="107"/>
      <c r="GQ131" s="107"/>
      <c r="GR131" s="107"/>
      <c r="GS131" s="107"/>
      <c r="GT131" s="107"/>
      <c r="GU131" s="107"/>
      <c r="GV131" s="107"/>
      <c r="GW131" s="107"/>
      <c r="GX131" s="107"/>
      <c r="GY131" s="107"/>
      <c r="GZ131" s="107"/>
      <c r="HA131" s="107"/>
      <c r="HB131" s="107"/>
      <c r="HC131" s="107"/>
      <c r="HD131" s="107"/>
      <c r="HE131" s="107"/>
      <c r="HF131" s="107"/>
      <c r="HG131" s="107"/>
      <c r="HH131" s="107"/>
      <c r="HI131" s="107"/>
      <c r="HJ131" s="107"/>
      <c r="HK131" s="107"/>
      <c r="HL131" s="107"/>
      <c r="HM131" s="107"/>
      <c r="HN131" s="107"/>
      <c r="HO131" s="107"/>
      <c r="HP131" s="107"/>
      <c r="HQ131" s="107"/>
      <c r="HR131" s="107"/>
      <c r="HS131" s="107"/>
      <c r="HT131" s="107"/>
      <c r="HU131" s="107"/>
      <c r="HV131" s="107"/>
      <c r="HW131" s="107"/>
      <c r="HX131" s="107"/>
      <c r="HY131" s="107"/>
      <c r="HZ131" s="107"/>
      <c r="IA131" s="107"/>
      <c r="IB131" s="107"/>
      <c r="IC131" s="107"/>
      <c r="ID131" s="107"/>
      <c r="IE131" s="107"/>
      <c r="IF131" s="107"/>
      <c r="IG131" s="107"/>
      <c r="IH131" s="107"/>
      <c r="II131" s="107"/>
      <c r="IJ131" s="107"/>
      <c r="IK131" s="107"/>
      <c r="IL131" s="107"/>
      <c r="IM131" s="107"/>
      <c r="IN131" s="107"/>
      <c r="IO131" s="107"/>
    </row>
    <row r="132" spans="2:249">
      <c r="B132" s="135" t="s">
        <v>453</v>
      </c>
      <c r="C132" s="135"/>
      <c r="D132" s="138"/>
      <c r="E132" s="138"/>
      <c r="F132" s="138"/>
      <c r="G132" s="138"/>
      <c r="H132" s="138"/>
      <c r="I132" s="138"/>
      <c r="J132" s="138"/>
      <c r="K132" s="138"/>
      <c r="L132" s="138"/>
      <c r="M132" s="138"/>
      <c r="N132" s="138"/>
      <c r="O132" s="138"/>
      <c r="P132" s="138"/>
      <c r="Q132" s="138"/>
      <c r="R132" s="138"/>
      <c r="S132" s="138"/>
      <c r="T132" s="138"/>
      <c r="U132" s="138"/>
      <c r="V132" s="138"/>
      <c r="W132" s="138"/>
      <c r="X132" s="138"/>
      <c r="Y132" s="138"/>
      <c r="Z132" s="138"/>
      <c r="AA132" s="138"/>
      <c r="AB132" s="138"/>
      <c r="AC132" s="138"/>
      <c r="AD132" s="138"/>
      <c r="AE132" s="138"/>
      <c r="AF132" s="138"/>
      <c r="AG132" s="138"/>
      <c r="AH132" s="138"/>
      <c r="AI132" s="138"/>
      <c r="AJ132" s="138"/>
      <c r="AK132" s="138"/>
      <c r="AL132" s="138"/>
      <c r="AM132" s="138"/>
      <c r="AN132" s="138"/>
      <c r="AO132" s="138"/>
      <c r="AP132" s="138"/>
      <c r="AQ132" s="138"/>
      <c r="AR132" s="138"/>
      <c r="AS132" s="138"/>
      <c r="AT132" s="138"/>
      <c r="AU132" s="138"/>
      <c r="AV132" s="138"/>
      <c r="AW132" s="138"/>
      <c r="AX132" s="138"/>
      <c r="AY132" s="138"/>
      <c r="AZ132" s="138"/>
      <c r="BA132" s="138"/>
      <c r="BB132" s="138"/>
      <c r="BC132" s="138"/>
      <c r="BD132" s="138"/>
      <c r="BE132" s="138"/>
      <c r="BF132" s="138"/>
      <c r="BG132" s="138"/>
      <c r="BH132" s="138"/>
      <c r="BI132" s="138"/>
      <c r="BJ132" s="138"/>
      <c r="BK132" s="138"/>
      <c r="BL132" s="138"/>
      <c r="BM132" s="138"/>
      <c r="BN132" s="138"/>
      <c r="BO132" s="138"/>
      <c r="BP132" s="138"/>
      <c r="BQ132" s="138"/>
      <c r="BR132" s="138"/>
      <c r="BS132" s="138"/>
      <c r="BT132" s="138"/>
      <c r="BU132" s="138"/>
      <c r="BV132" s="138"/>
      <c r="BW132" s="138"/>
      <c r="BX132" s="138"/>
      <c r="BY132" s="138"/>
      <c r="BZ132" s="138"/>
      <c r="CA132" s="138"/>
      <c r="CB132" s="138"/>
      <c r="CC132" s="138"/>
      <c r="CD132" s="138"/>
      <c r="CE132" s="138"/>
      <c r="CF132" s="138"/>
      <c r="CG132" s="138"/>
      <c r="CH132" s="138"/>
      <c r="CI132" s="138"/>
      <c r="CJ132" s="138"/>
      <c r="CK132" s="138"/>
      <c r="CL132" s="138"/>
      <c r="CM132" s="138"/>
      <c r="CN132" s="138"/>
      <c r="CO132" s="138"/>
      <c r="CP132" s="138"/>
      <c r="CQ132" s="138"/>
      <c r="CR132" s="138"/>
      <c r="CS132" s="138"/>
      <c r="CT132" s="138"/>
      <c r="CU132" s="138"/>
      <c r="CV132" s="138"/>
      <c r="CW132" s="138"/>
      <c r="CX132" s="138"/>
      <c r="CY132" s="138"/>
      <c r="CZ132" s="138"/>
      <c r="DA132" s="138"/>
      <c r="DB132" s="138"/>
      <c r="DC132" s="138"/>
      <c r="DD132" s="138"/>
      <c r="DE132" s="138"/>
      <c r="DF132" s="138"/>
      <c r="DG132" s="138"/>
      <c r="DH132" s="138"/>
      <c r="DI132" s="138"/>
      <c r="DJ132" s="138"/>
      <c r="DK132" s="138"/>
      <c r="DL132" s="138"/>
      <c r="DM132" s="138"/>
      <c r="DN132" s="138"/>
      <c r="DO132" s="138"/>
      <c r="DP132" s="138"/>
      <c r="DQ132" s="138"/>
      <c r="DR132" s="138"/>
      <c r="DS132" s="138"/>
      <c r="DT132" s="138"/>
      <c r="DU132" s="138"/>
      <c r="DV132" s="138"/>
      <c r="DW132" s="138"/>
      <c r="DX132" s="138"/>
      <c r="DY132" s="138"/>
      <c r="DZ132" s="138"/>
      <c r="EA132" s="138"/>
      <c r="EB132" s="138"/>
      <c r="EC132" s="138"/>
      <c r="ED132" s="138"/>
      <c r="EE132" s="138"/>
      <c r="EF132" s="138"/>
      <c r="EG132" s="138"/>
      <c r="EH132" s="138"/>
      <c r="EI132" s="138"/>
      <c r="EJ132" s="138"/>
      <c r="EK132" s="138"/>
      <c r="EL132" s="138"/>
      <c r="EM132" s="138"/>
      <c r="EN132" s="138"/>
      <c r="EO132" s="138"/>
      <c r="EP132" s="138"/>
      <c r="EQ132" s="138"/>
      <c r="ER132" s="138"/>
      <c r="ES132" s="138"/>
      <c r="ET132" s="138"/>
      <c r="EU132" s="138"/>
      <c r="EV132" s="138"/>
      <c r="EW132" s="138"/>
      <c r="EX132" s="138"/>
      <c r="EY132" s="138"/>
      <c r="EZ132" s="138"/>
      <c r="FA132" s="138"/>
      <c r="FB132" s="138"/>
      <c r="FC132" s="138"/>
      <c r="FD132" s="138"/>
      <c r="FE132" s="138"/>
      <c r="FF132" s="138"/>
      <c r="FG132" s="138"/>
      <c r="FH132" s="138"/>
      <c r="FI132" s="138"/>
      <c r="FJ132" s="138"/>
      <c r="FK132" s="138"/>
      <c r="FL132" s="138"/>
      <c r="FM132" s="138"/>
      <c r="FN132" s="138"/>
      <c r="FO132" s="138"/>
      <c r="FP132" s="138"/>
      <c r="FQ132" s="138"/>
      <c r="FR132" s="138"/>
      <c r="FS132" s="138"/>
      <c r="FT132" s="138"/>
      <c r="FU132" s="138"/>
      <c r="FV132" s="138"/>
      <c r="FW132" s="138"/>
      <c r="FX132" s="138"/>
      <c r="FY132" s="138"/>
      <c r="FZ132" s="138"/>
      <c r="GA132" s="138"/>
      <c r="GB132" s="138"/>
      <c r="GC132" s="138"/>
      <c r="GD132" s="138"/>
      <c r="GE132" s="138"/>
      <c r="GF132" s="138"/>
      <c r="GG132" s="138"/>
      <c r="GH132" s="138"/>
      <c r="GI132" s="138"/>
      <c r="GJ132" s="138"/>
      <c r="GK132" s="138"/>
      <c r="GL132" s="138"/>
      <c r="GM132" s="138"/>
      <c r="GN132" s="138"/>
      <c r="GO132" s="138"/>
      <c r="GP132" s="138"/>
      <c r="GQ132" s="138"/>
      <c r="GR132" s="138"/>
      <c r="GS132" s="138"/>
      <c r="GT132" s="138"/>
      <c r="GU132" s="138"/>
      <c r="GV132" s="138"/>
      <c r="GW132" s="138"/>
      <c r="GX132" s="138"/>
      <c r="GY132" s="138"/>
      <c r="GZ132" s="138"/>
      <c r="HA132" s="138"/>
      <c r="HB132" s="138"/>
      <c r="HC132" s="138"/>
      <c r="HD132" s="138"/>
      <c r="HE132" s="138"/>
      <c r="HF132" s="138"/>
      <c r="HG132" s="138"/>
      <c r="HH132" s="138"/>
      <c r="HI132" s="138"/>
      <c r="HJ132" s="138"/>
      <c r="HK132" s="138"/>
      <c r="HL132" s="138"/>
      <c r="HM132" s="138"/>
      <c r="HN132" s="138"/>
      <c r="HO132" s="138"/>
      <c r="HP132" s="138"/>
      <c r="HQ132" s="138"/>
      <c r="HR132" s="138"/>
      <c r="HS132" s="138"/>
      <c r="HT132" s="138"/>
      <c r="HU132" s="138"/>
      <c r="HV132" s="138"/>
      <c r="HW132" s="138"/>
      <c r="HX132" s="138"/>
      <c r="HY132" s="138"/>
      <c r="HZ132" s="138"/>
      <c r="IA132" s="138"/>
      <c r="IB132" s="138"/>
      <c r="IC132" s="138"/>
      <c r="ID132" s="138"/>
      <c r="IE132" s="138"/>
      <c r="IF132" s="138"/>
      <c r="IG132" s="138"/>
      <c r="IH132" s="138"/>
      <c r="II132" s="138"/>
      <c r="IJ132" s="138"/>
      <c r="IK132" s="138"/>
      <c r="IL132" s="138"/>
      <c r="IM132" s="138"/>
      <c r="IN132" s="138"/>
      <c r="IO132" s="138"/>
    </row>
    <row r="133" spans="2:249">
      <c r="B133" s="110"/>
      <c r="C133" s="137" t="str">
        <f>C22</f>
        <v>TFN details</v>
      </c>
      <c r="D133" s="107" t="str">
        <f t="shared" ref="D133:AK133" si="4">IF(D23="Y",$C$23,IF(D24="Y",$C$24,$D$23))</f>
        <v>Coded</v>
      </c>
      <c r="E133" s="107" t="str">
        <f t="shared" si="4"/>
        <v>Coded</v>
      </c>
      <c r="F133" s="107" t="str">
        <f t="shared" si="4"/>
        <v>Coded</v>
      </c>
      <c r="G133" s="107" t="str">
        <f t="shared" si="4"/>
        <v>Coded</v>
      </c>
      <c r="H133" s="107" t="str">
        <f t="shared" si="4"/>
        <v>Coded</v>
      </c>
      <c r="I133" s="107" t="str">
        <f t="shared" si="4"/>
        <v>Coded</v>
      </c>
      <c r="J133" s="107" t="str">
        <f t="shared" si="4"/>
        <v>Not Coded</v>
      </c>
      <c r="K133" s="107" t="str">
        <f t="shared" si="4"/>
        <v>Not Coded</v>
      </c>
      <c r="L133" s="107" t="str">
        <f t="shared" si="4"/>
        <v>Not Coded</v>
      </c>
      <c r="M133" s="107" t="str">
        <f t="shared" si="4"/>
        <v>Not Coded</v>
      </c>
      <c r="N133" s="107" t="str">
        <f t="shared" si="4"/>
        <v>Coded</v>
      </c>
      <c r="O133" s="107" t="str">
        <f t="shared" si="4"/>
        <v>Coded</v>
      </c>
      <c r="P133" s="107" t="str">
        <f t="shared" si="4"/>
        <v>Coded</v>
      </c>
      <c r="Q133" s="107" t="str">
        <f t="shared" si="4"/>
        <v>Coded</v>
      </c>
      <c r="R133" s="107" t="str">
        <f t="shared" si="4"/>
        <v>Coded</v>
      </c>
      <c r="S133" s="107" t="str">
        <f t="shared" si="4"/>
        <v>Coded</v>
      </c>
      <c r="T133" s="107" t="str">
        <f t="shared" si="4"/>
        <v>Coded</v>
      </c>
      <c r="U133" s="107" t="str">
        <f t="shared" si="4"/>
        <v>Coded</v>
      </c>
      <c r="V133" s="107" t="str">
        <f t="shared" si="4"/>
        <v>Coded</v>
      </c>
      <c r="W133" s="107" t="str">
        <f t="shared" si="4"/>
        <v>Coded</v>
      </c>
      <c r="X133" s="107" t="str">
        <f t="shared" si="4"/>
        <v>Coded</v>
      </c>
      <c r="Y133" s="107" t="str">
        <f t="shared" si="4"/>
        <v>Coded</v>
      </c>
      <c r="Z133" s="107" t="str">
        <f t="shared" si="4"/>
        <v>Coded</v>
      </c>
      <c r="AA133" s="107" t="str">
        <f t="shared" si="4"/>
        <v>Coded</v>
      </c>
      <c r="AB133" s="107" t="str">
        <f t="shared" si="4"/>
        <v>Coded</v>
      </c>
      <c r="AC133" s="107" t="str">
        <f t="shared" si="4"/>
        <v>Coded</v>
      </c>
      <c r="AD133" s="107" t="str">
        <f t="shared" si="4"/>
        <v>Coded</v>
      </c>
      <c r="AE133" s="107" t="str">
        <f t="shared" si="4"/>
        <v>Coded</v>
      </c>
      <c r="AF133" s="107" t="str">
        <f t="shared" si="4"/>
        <v>Coded</v>
      </c>
      <c r="AG133" s="107" t="str">
        <f t="shared" si="4"/>
        <v>Coded</v>
      </c>
      <c r="AH133" s="107" t="str">
        <f t="shared" si="4"/>
        <v>Coded</v>
      </c>
      <c r="AI133" s="107" t="str">
        <f t="shared" si="4"/>
        <v>Coded</v>
      </c>
      <c r="AJ133" s="107" t="str">
        <f t="shared" si="4"/>
        <v>Coded</v>
      </c>
      <c r="AK133" s="107" t="str">
        <f t="shared" si="4"/>
        <v>Coded</v>
      </c>
      <c r="AL133" s="107" t="str">
        <f t="shared" ref="AL133:CD133" si="5">IF(AL23="Y",$C$23,IF(AL24="Y",$C$24,$D$23))</f>
        <v>Coded</v>
      </c>
      <c r="AM133" s="107" t="str">
        <f t="shared" si="5"/>
        <v>Coded</v>
      </c>
      <c r="AN133" s="107" t="str">
        <f t="shared" si="5"/>
        <v>Coded</v>
      </c>
      <c r="AO133" s="107" t="str">
        <f t="shared" si="5"/>
        <v>Not Coded</v>
      </c>
      <c r="AP133" s="107" t="str">
        <f t="shared" si="5"/>
        <v>Coded</v>
      </c>
      <c r="AQ133" s="107" t="str">
        <f t="shared" si="5"/>
        <v>Coded</v>
      </c>
      <c r="AR133" s="107" t="str">
        <f t="shared" si="5"/>
        <v>Coded</v>
      </c>
      <c r="AS133" s="107" t="str">
        <f t="shared" si="5"/>
        <v>Coded</v>
      </c>
      <c r="AT133" s="107" t="str">
        <f t="shared" si="5"/>
        <v>Coded</v>
      </c>
      <c r="AU133" s="107" t="str">
        <f t="shared" si="5"/>
        <v>Coded</v>
      </c>
      <c r="AV133" s="107" t="str">
        <f t="shared" si="5"/>
        <v>Coded</v>
      </c>
      <c r="AW133" s="107" t="str">
        <f t="shared" si="5"/>
        <v>Not Coded</v>
      </c>
      <c r="AX133" s="107" t="str">
        <f t="shared" si="5"/>
        <v>Coded</v>
      </c>
      <c r="AY133" s="107" t="str">
        <f t="shared" si="5"/>
        <v>Coded</v>
      </c>
      <c r="AZ133" s="107" t="str">
        <f t="shared" si="5"/>
        <v>Coded</v>
      </c>
      <c r="BA133" s="107" t="str">
        <f t="shared" si="5"/>
        <v>Coded</v>
      </c>
      <c r="BB133" s="107" t="str">
        <f t="shared" si="5"/>
        <v>Coded</v>
      </c>
      <c r="BC133" s="107" t="str">
        <f t="shared" si="5"/>
        <v>Coded</v>
      </c>
      <c r="BD133" s="107" t="str">
        <f t="shared" si="5"/>
        <v>Coded</v>
      </c>
      <c r="BE133" s="107" t="str">
        <f t="shared" si="5"/>
        <v>Coded</v>
      </c>
      <c r="BF133" s="107" t="str">
        <f t="shared" si="5"/>
        <v>Not Coded</v>
      </c>
      <c r="BG133" s="107" t="str">
        <f t="shared" si="5"/>
        <v>Coded</v>
      </c>
      <c r="BH133" s="107" t="str">
        <f t="shared" si="5"/>
        <v>Coded</v>
      </c>
      <c r="BI133" s="107" t="str">
        <f t="shared" si="5"/>
        <v>Coded</v>
      </c>
      <c r="BJ133" s="107" t="str">
        <f t="shared" si="5"/>
        <v>Coded</v>
      </c>
      <c r="BK133" s="107" t="str">
        <f t="shared" si="5"/>
        <v>Coded</v>
      </c>
      <c r="BL133" s="107" t="str">
        <f t="shared" si="5"/>
        <v>Coded</v>
      </c>
      <c r="BM133" s="107" t="str">
        <f t="shared" si="5"/>
        <v>Coded</v>
      </c>
      <c r="BN133" s="107" t="str">
        <f t="shared" si="5"/>
        <v>Coded</v>
      </c>
      <c r="BO133" s="107" t="str">
        <f t="shared" si="5"/>
        <v>Not Coded</v>
      </c>
      <c r="BP133" s="107" t="str">
        <f t="shared" si="5"/>
        <v>Coded</v>
      </c>
      <c r="BQ133" s="107" t="str">
        <f t="shared" si="5"/>
        <v>Coded</v>
      </c>
      <c r="BR133" s="107" t="str">
        <f t="shared" si="5"/>
        <v>Coded</v>
      </c>
      <c r="BS133" s="107" t="str">
        <f t="shared" si="5"/>
        <v>Coded</v>
      </c>
      <c r="BT133" s="107" t="str">
        <f t="shared" si="5"/>
        <v>Coded</v>
      </c>
      <c r="BU133" s="107" t="str">
        <f t="shared" si="5"/>
        <v>Coded</v>
      </c>
      <c r="BV133" s="107" t="str">
        <f t="shared" si="5"/>
        <v>Coded</v>
      </c>
      <c r="BW133" s="107" t="str">
        <f t="shared" si="5"/>
        <v>Coded</v>
      </c>
      <c r="BX133" s="107" t="str">
        <f t="shared" si="5"/>
        <v>Not Coded</v>
      </c>
      <c r="BY133" s="107" t="str">
        <f t="shared" si="5"/>
        <v>Coded</v>
      </c>
      <c r="BZ133" s="107" t="str">
        <f t="shared" si="5"/>
        <v>Coded</v>
      </c>
      <c r="CA133" s="107" t="str">
        <f t="shared" si="5"/>
        <v>Coded</v>
      </c>
      <c r="CB133" s="107" t="str">
        <f t="shared" si="5"/>
        <v>Coded</v>
      </c>
      <c r="CC133" s="107" t="str">
        <f t="shared" si="5"/>
        <v>Coded</v>
      </c>
      <c r="CD133" s="107" t="str">
        <f t="shared" si="5"/>
        <v>Coded</v>
      </c>
      <c r="CE133" s="107"/>
      <c r="CF133" s="107"/>
      <c r="CG133" s="107"/>
      <c r="CH133" s="107"/>
      <c r="CI133" s="107"/>
      <c r="CJ133" s="107"/>
      <c r="CK133" s="107"/>
      <c r="CL133" s="107"/>
      <c r="CM133" s="107"/>
      <c r="CN133" s="107"/>
      <c r="CO133" s="107"/>
      <c r="CP133" s="107"/>
      <c r="CQ133" s="107"/>
      <c r="CR133" s="107"/>
      <c r="CS133" s="107"/>
      <c r="CT133" s="107"/>
      <c r="CU133" s="107"/>
      <c r="CV133" s="107"/>
      <c r="CW133" s="107"/>
      <c r="CX133" s="107"/>
      <c r="CY133" s="107"/>
      <c r="CZ133" s="107"/>
      <c r="DA133" s="107"/>
      <c r="DB133" s="107"/>
      <c r="DC133" s="107"/>
      <c r="DD133" s="107"/>
      <c r="DE133" s="107"/>
      <c r="DF133" s="107"/>
      <c r="DG133" s="107"/>
      <c r="DH133" s="107"/>
      <c r="DI133" s="107"/>
      <c r="DJ133" s="107"/>
      <c r="DK133" s="107"/>
      <c r="DL133" s="107"/>
      <c r="DM133" s="107"/>
      <c r="DN133" s="107"/>
      <c r="DO133" s="107"/>
      <c r="DP133" s="107"/>
      <c r="DQ133" s="107"/>
      <c r="DR133" s="107"/>
      <c r="DS133" s="107"/>
      <c r="DT133" s="107"/>
      <c r="DU133" s="107"/>
      <c r="DV133" s="107"/>
      <c r="DW133" s="107"/>
      <c r="DX133" s="107"/>
      <c r="DY133" s="107"/>
      <c r="DZ133" s="107"/>
      <c r="EA133" s="107"/>
      <c r="EB133" s="107"/>
      <c r="EC133" s="107"/>
      <c r="ED133" s="107"/>
      <c r="EE133" s="107"/>
      <c r="EF133" s="107"/>
      <c r="EG133" s="107"/>
      <c r="EH133" s="107"/>
      <c r="EI133" s="107"/>
      <c r="EJ133" s="107"/>
      <c r="EK133" s="107"/>
      <c r="EL133" s="107"/>
      <c r="EM133" s="107"/>
      <c r="EN133" s="107"/>
      <c r="EO133" s="107"/>
      <c r="EP133" s="107"/>
      <c r="EQ133" s="107"/>
      <c r="ER133" s="107"/>
      <c r="ES133" s="107"/>
      <c r="ET133" s="107"/>
      <c r="EU133" s="107"/>
      <c r="EV133" s="107"/>
      <c r="EW133" s="107"/>
      <c r="EX133" s="107"/>
      <c r="EY133" s="107"/>
      <c r="EZ133" s="107"/>
      <c r="FA133" s="107"/>
      <c r="FB133" s="107"/>
      <c r="FC133" s="107"/>
      <c r="FD133" s="107"/>
      <c r="FE133" s="107"/>
      <c r="FF133" s="107"/>
      <c r="FG133" s="107"/>
      <c r="FH133" s="107"/>
      <c r="FI133" s="107"/>
      <c r="FJ133" s="107"/>
      <c r="FK133" s="107"/>
      <c r="FL133" s="107"/>
      <c r="FM133" s="107"/>
      <c r="FN133" s="107"/>
      <c r="FO133" s="107"/>
      <c r="FP133" s="107"/>
      <c r="FQ133" s="107"/>
      <c r="FR133" s="107"/>
      <c r="FS133" s="107"/>
      <c r="FT133" s="107"/>
      <c r="FU133" s="107"/>
      <c r="FV133" s="107"/>
      <c r="FW133" s="107"/>
      <c r="FX133" s="107"/>
      <c r="FY133" s="107"/>
      <c r="FZ133" s="107"/>
      <c r="GA133" s="107"/>
      <c r="GB133" s="107"/>
      <c r="GC133" s="107"/>
      <c r="GD133" s="107"/>
      <c r="GE133" s="107"/>
      <c r="GF133" s="107"/>
      <c r="GG133" s="107"/>
      <c r="GH133" s="107"/>
      <c r="GI133" s="107"/>
      <c r="GJ133" s="107"/>
      <c r="GK133" s="107"/>
      <c r="GL133" s="107"/>
      <c r="GM133" s="107"/>
      <c r="GN133" s="107"/>
      <c r="GO133" s="107"/>
      <c r="GP133" s="107"/>
      <c r="GQ133" s="107"/>
      <c r="GR133" s="107"/>
      <c r="GS133" s="107"/>
      <c r="GT133" s="107"/>
      <c r="GU133" s="107"/>
      <c r="GV133" s="107"/>
      <c r="GW133" s="107"/>
      <c r="GX133" s="107"/>
      <c r="GY133" s="107"/>
      <c r="GZ133" s="107"/>
      <c r="HA133" s="107"/>
      <c r="HB133" s="107"/>
      <c r="HC133" s="107"/>
      <c r="HD133" s="107"/>
      <c r="HE133" s="107"/>
      <c r="HF133" s="107"/>
      <c r="HG133" s="107"/>
      <c r="HH133" s="107"/>
      <c r="HI133" s="107"/>
      <c r="HJ133" s="107"/>
      <c r="HK133" s="107"/>
      <c r="HL133" s="107"/>
      <c r="HM133" s="107"/>
      <c r="HN133" s="107"/>
      <c r="HO133" s="107"/>
      <c r="HP133" s="107"/>
      <c r="HQ133" s="107"/>
      <c r="HR133" s="107"/>
      <c r="HS133" s="107"/>
      <c r="HT133" s="107"/>
      <c r="HU133" s="107"/>
      <c r="HV133" s="107"/>
      <c r="HW133" s="107"/>
      <c r="HX133" s="107"/>
      <c r="HY133" s="107"/>
      <c r="HZ133" s="107"/>
      <c r="IA133" s="107"/>
      <c r="IB133" s="107"/>
      <c r="IC133" s="107"/>
      <c r="ID133" s="107"/>
      <c r="IE133" s="107"/>
      <c r="IF133" s="107"/>
      <c r="IG133" s="107"/>
      <c r="IH133" s="107"/>
      <c r="II133" s="107"/>
      <c r="IJ133" s="107"/>
      <c r="IK133" s="107"/>
      <c r="IL133" s="107"/>
      <c r="IM133" s="107"/>
      <c r="IN133" s="107"/>
      <c r="IO133" s="107"/>
    </row>
    <row r="134" spans="2:249">
      <c r="B134" s="135" t="s">
        <v>468</v>
      </c>
      <c r="C134" s="135"/>
      <c r="D134" s="138"/>
      <c r="E134" s="138"/>
      <c r="F134" s="138"/>
      <c r="G134" s="138"/>
      <c r="H134" s="138"/>
      <c r="I134" s="138"/>
      <c r="J134" s="138"/>
      <c r="K134" s="138"/>
      <c r="L134" s="138"/>
      <c r="M134" s="138"/>
      <c r="N134" s="138"/>
      <c r="O134" s="138"/>
      <c r="P134" s="138"/>
      <c r="Q134" s="138"/>
      <c r="R134" s="138"/>
      <c r="S134" s="138"/>
      <c r="T134" s="138"/>
      <c r="U134" s="138"/>
      <c r="V134" s="138"/>
      <c r="W134" s="138"/>
      <c r="X134" s="138"/>
      <c r="Y134" s="138"/>
      <c r="Z134" s="138"/>
      <c r="AA134" s="138"/>
      <c r="AB134" s="138"/>
      <c r="AC134" s="138"/>
      <c r="AD134" s="138"/>
      <c r="AE134" s="138"/>
      <c r="AF134" s="138"/>
      <c r="AG134" s="138"/>
      <c r="AH134" s="138"/>
      <c r="AI134" s="138"/>
      <c r="AJ134" s="138"/>
      <c r="AK134" s="138"/>
      <c r="AL134" s="138"/>
      <c r="AM134" s="138"/>
      <c r="AN134" s="138"/>
      <c r="AO134" s="138"/>
      <c r="AP134" s="138"/>
      <c r="AQ134" s="138"/>
      <c r="AR134" s="138"/>
      <c r="AS134" s="138"/>
      <c r="AT134" s="138"/>
      <c r="AU134" s="138"/>
      <c r="AV134" s="138"/>
      <c r="AW134" s="138"/>
      <c r="AX134" s="138"/>
      <c r="AY134" s="138"/>
      <c r="AZ134" s="138"/>
      <c r="BA134" s="138"/>
      <c r="BB134" s="138"/>
      <c r="BC134" s="138"/>
      <c r="BD134" s="138"/>
      <c r="BE134" s="138"/>
      <c r="BF134" s="138"/>
      <c r="BG134" s="138"/>
      <c r="BH134" s="138"/>
      <c r="BI134" s="138"/>
      <c r="BJ134" s="138"/>
      <c r="BK134" s="138"/>
      <c r="BL134" s="138"/>
      <c r="BM134" s="138"/>
      <c r="BN134" s="138"/>
      <c r="BO134" s="138"/>
      <c r="BP134" s="138"/>
      <c r="BQ134" s="138"/>
      <c r="BR134" s="138"/>
      <c r="BS134" s="138"/>
      <c r="BT134" s="138"/>
      <c r="BU134" s="138"/>
      <c r="BV134" s="138"/>
      <c r="BW134" s="138"/>
      <c r="BX134" s="138"/>
      <c r="BY134" s="138"/>
      <c r="BZ134" s="138"/>
      <c r="CA134" s="138"/>
      <c r="CB134" s="138"/>
      <c r="CC134" s="138"/>
      <c r="CD134" s="138"/>
      <c r="CE134" s="138"/>
      <c r="CF134" s="138"/>
      <c r="CG134" s="138"/>
      <c r="CH134" s="138"/>
      <c r="CI134" s="138"/>
      <c r="CJ134" s="138"/>
      <c r="CK134" s="138"/>
      <c r="CL134" s="138"/>
      <c r="CM134" s="138"/>
      <c r="CN134" s="138"/>
      <c r="CO134" s="138"/>
      <c r="CP134" s="138"/>
      <c r="CQ134" s="138"/>
      <c r="CR134" s="138"/>
      <c r="CS134" s="138"/>
      <c r="CT134" s="138"/>
      <c r="CU134" s="138"/>
      <c r="CV134" s="138"/>
      <c r="CW134" s="138"/>
      <c r="CX134" s="138"/>
      <c r="CY134" s="138"/>
      <c r="CZ134" s="138"/>
      <c r="DA134" s="138"/>
      <c r="DB134" s="138"/>
      <c r="DC134" s="138"/>
      <c r="DD134" s="138"/>
      <c r="DE134" s="138"/>
      <c r="DF134" s="138"/>
      <c r="DG134" s="138"/>
      <c r="DH134" s="138"/>
      <c r="DI134" s="138"/>
      <c r="DJ134" s="138"/>
      <c r="DK134" s="138"/>
      <c r="DL134" s="138"/>
      <c r="DM134" s="138"/>
      <c r="DN134" s="138"/>
      <c r="DO134" s="138"/>
      <c r="DP134" s="138"/>
      <c r="DQ134" s="138"/>
      <c r="DR134" s="138"/>
      <c r="DS134" s="138"/>
      <c r="DT134" s="138"/>
      <c r="DU134" s="138"/>
      <c r="DV134" s="138"/>
      <c r="DW134" s="138"/>
      <c r="DX134" s="138"/>
      <c r="DY134" s="138"/>
      <c r="DZ134" s="138"/>
      <c r="EA134" s="138"/>
      <c r="EB134" s="138"/>
      <c r="EC134" s="138"/>
      <c r="ED134" s="138"/>
      <c r="EE134" s="138"/>
      <c r="EF134" s="138"/>
      <c r="EG134" s="138"/>
      <c r="EH134" s="138"/>
      <c r="EI134" s="138"/>
      <c r="EJ134" s="138"/>
      <c r="EK134" s="138"/>
      <c r="EL134" s="138"/>
      <c r="EM134" s="138"/>
      <c r="EN134" s="138"/>
      <c r="EO134" s="138"/>
      <c r="EP134" s="138"/>
      <c r="EQ134" s="138"/>
      <c r="ER134" s="138"/>
      <c r="ES134" s="138"/>
      <c r="ET134" s="138"/>
      <c r="EU134" s="138"/>
      <c r="EV134" s="138"/>
      <c r="EW134" s="138"/>
      <c r="EX134" s="138"/>
      <c r="EY134" s="138"/>
      <c r="EZ134" s="138"/>
      <c r="FA134" s="138"/>
      <c r="FB134" s="138"/>
      <c r="FC134" s="138"/>
      <c r="FD134" s="138"/>
      <c r="FE134" s="138"/>
      <c r="FF134" s="138"/>
      <c r="FG134" s="138"/>
      <c r="FH134" s="138"/>
      <c r="FI134" s="138"/>
      <c r="FJ134" s="138"/>
      <c r="FK134" s="138"/>
      <c r="FL134" s="138"/>
      <c r="FM134" s="138"/>
      <c r="FN134" s="138"/>
      <c r="FO134" s="138"/>
      <c r="FP134" s="138"/>
      <c r="FQ134" s="138"/>
      <c r="FR134" s="138"/>
      <c r="FS134" s="138"/>
      <c r="FT134" s="138"/>
      <c r="FU134" s="138"/>
      <c r="FV134" s="138"/>
      <c r="FW134" s="138"/>
      <c r="FX134" s="138"/>
      <c r="FY134" s="138"/>
      <c r="FZ134" s="138"/>
      <c r="GA134" s="138"/>
      <c r="GB134" s="138"/>
      <c r="GC134" s="138"/>
      <c r="GD134" s="138"/>
      <c r="GE134" s="138"/>
      <c r="GF134" s="138"/>
      <c r="GG134" s="138"/>
      <c r="GH134" s="138"/>
      <c r="GI134" s="138"/>
      <c r="GJ134" s="138"/>
      <c r="GK134" s="138"/>
      <c r="GL134" s="138"/>
      <c r="GM134" s="138"/>
      <c r="GN134" s="138"/>
      <c r="GO134" s="138"/>
      <c r="GP134" s="138"/>
      <c r="GQ134" s="138"/>
      <c r="GR134" s="138"/>
      <c r="GS134" s="138"/>
      <c r="GT134" s="138"/>
      <c r="GU134" s="138"/>
      <c r="GV134" s="138"/>
      <c r="GW134" s="138"/>
      <c r="GX134" s="138"/>
      <c r="GY134" s="138"/>
      <c r="GZ134" s="138"/>
      <c r="HA134" s="138"/>
      <c r="HB134" s="138"/>
      <c r="HC134" s="138"/>
      <c r="HD134" s="138"/>
      <c r="HE134" s="138"/>
      <c r="HF134" s="138"/>
      <c r="HG134" s="138"/>
      <c r="HH134" s="138"/>
      <c r="HI134" s="138"/>
      <c r="HJ134" s="138"/>
      <c r="HK134" s="138"/>
      <c r="HL134" s="138"/>
      <c r="HM134" s="138"/>
      <c r="HN134" s="138"/>
      <c r="HO134" s="138"/>
      <c r="HP134" s="138"/>
      <c r="HQ134" s="138"/>
      <c r="HR134" s="138"/>
      <c r="HS134" s="138"/>
      <c r="HT134" s="138"/>
      <c r="HU134" s="138"/>
      <c r="HV134" s="138"/>
      <c r="HW134" s="138"/>
      <c r="HX134" s="138"/>
      <c r="HY134" s="138"/>
      <c r="HZ134" s="138"/>
      <c r="IA134" s="138"/>
      <c r="IB134" s="138"/>
      <c r="IC134" s="138"/>
      <c r="ID134" s="138"/>
      <c r="IE134" s="138"/>
      <c r="IF134" s="138"/>
      <c r="IG134" s="138"/>
      <c r="IH134" s="138"/>
      <c r="II134" s="138"/>
      <c r="IJ134" s="138"/>
      <c r="IK134" s="138"/>
      <c r="IL134" s="138"/>
      <c r="IM134" s="138"/>
      <c r="IN134" s="138"/>
      <c r="IO134" s="138"/>
    </row>
    <row r="135" spans="2:249">
      <c r="B135" s="110"/>
      <c r="C135" s="137" t="str">
        <f>C25</f>
        <v>Secondary Earner income</v>
      </c>
      <c r="D135" s="107" t="str">
        <f t="shared" ref="D135:AK135" si="6">IF(D26="Y",$C$26,IF(D27="Y",$C$27,$D$26))</f>
        <v>Less than $21,499</v>
      </c>
      <c r="E135" s="107" t="str">
        <f t="shared" si="6"/>
        <v>Less than $21,499</v>
      </c>
      <c r="F135" s="107" t="str">
        <f t="shared" si="6"/>
        <v>Less than $21,499</v>
      </c>
      <c r="G135" s="107" t="str">
        <f t="shared" si="6"/>
        <v>Less than $21,499</v>
      </c>
      <c r="H135" s="107" t="str">
        <f t="shared" si="6"/>
        <v>Less than $21,499</v>
      </c>
      <c r="I135" s="107" t="str">
        <f t="shared" si="6"/>
        <v>Less than $21,499</v>
      </c>
      <c r="J135" s="107" t="str">
        <f t="shared" si="6"/>
        <v>Less than $21,499</v>
      </c>
      <c r="K135" s="107" t="str">
        <f t="shared" si="6"/>
        <v>Less than $21,499</v>
      </c>
      <c r="L135" s="107" t="str">
        <f t="shared" si="6"/>
        <v>Less than $21,499</v>
      </c>
      <c r="M135" s="107" t="str">
        <f t="shared" si="6"/>
        <v>Less than $21,499</v>
      </c>
      <c r="N135" s="107" t="str">
        <f t="shared" si="6"/>
        <v>Less than $21,499</v>
      </c>
      <c r="O135" s="107" t="str">
        <f t="shared" si="6"/>
        <v>Less than $21,499</v>
      </c>
      <c r="P135" s="107" t="str">
        <f t="shared" si="6"/>
        <v>More than $ 27,613</v>
      </c>
      <c r="Q135" s="107" t="str">
        <f t="shared" si="6"/>
        <v>More than $ 27,613</v>
      </c>
      <c r="R135" s="107" t="str">
        <f t="shared" si="6"/>
        <v>More than $ 27,613</v>
      </c>
      <c r="S135" s="107" t="str">
        <f t="shared" si="6"/>
        <v>Less than $21,499</v>
      </c>
      <c r="T135" s="107" t="str">
        <f t="shared" si="6"/>
        <v>Less than $21,499</v>
      </c>
      <c r="U135" s="107" t="str">
        <f t="shared" si="6"/>
        <v>Less than $21,499</v>
      </c>
      <c r="V135" s="107" t="str">
        <f t="shared" si="6"/>
        <v>Less than $21,499</v>
      </c>
      <c r="W135" s="107" t="str">
        <f t="shared" si="6"/>
        <v>Less than $21,499</v>
      </c>
      <c r="X135" s="107" t="str">
        <f t="shared" si="6"/>
        <v>Less than $21,499</v>
      </c>
      <c r="Y135" s="107" t="str">
        <f t="shared" si="6"/>
        <v>Less than $21,499</v>
      </c>
      <c r="Z135" s="107" t="str">
        <f t="shared" si="6"/>
        <v>Less than $21,499</v>
      </c>
      <c r="AA135" s="107" t="str">
        <f t="shared" si="6"/>
        <v>Less than $21,499</v>
      </c>
      <c r="AB135" s="107" t="str">
        <f t="shared" si="6"/>
        <v>Less than $21,499</v>
      </c>
      <c r="AC135" s="107" t="str">
        <f t="shared" si="6"/>
        <v>Less than $21,499</v>
      </c>
      <c r="AD135" s="107" t="str">
        <f t="shared" si="6"/>
        <v>Less than $21,499</v>
      </c>
      <c r="AE135" s="107" t="str">
        <f t="shared" si="6"/>
        <v>Less than $21,499</v>
      </c>
      <c r="AF135" s="107" t="str">
        <f t="shared" si="6"/>
        <v>Less than $21,499</v>
      </c>
      <c r="AG135" s="107" t="str">
        <f t="shared" si="6"/>
        <v>Less than $21,499</v>
      </c>
      <c r="AH135" s="107" t="str">
        <f t="shared" si="6"/>
        <v>Less than $21,499</v>
      </c>
      <c r="AI135" s="107" t="str">
        <f t="shared" si="6"/>
        <v>Less than $21,499</v>
      </c>
      <c r="AJ135" s="107" t="str">
        <f t="shared" si="6"/>
        <v>Less than $21,499</v>
      </c>
      <c r="AK135" s="107" t="str">
        <f t="shared" si="6"/>
        <v>Less than $21,499</v>
      </c>
      <c r="AL135" s="107" t="str">
        <f t="shared" ref="AL135:CD135" si="7">IF(AL26="Y",$C$26,IF(AL27="Y",$C$27,$D$26))</f>
        <v>Less than $21,499</v>
      </c>
      <c r="AM135" s="107" t="str">
        <f t="shared" si="7"/>
        <v>Less than $21,499</v>
      </c>
      <c r="AN135" s="107" t="str">
        <f t="shared" si="7"/>
        <v>Less than $21,499</v>
      </c>
      <c r="AO135" s="107" t="str">
        <f t="shared" si="7"/>
        <v>Less than $21,499</v>
      </c>
      <c r="AP135" s="107" t="str">
        <f t="shared" si="7"/>
        <v>More than $ 27,613</v>
      </c>
      <c r="AQ135" s="107" t="str">
        <f t="shared" si="7"/>
        <v>Less than $21,499</v>
      </c>
      <c r="AR135" s="107" t="str">
        <f t="shared" si="7"/>
        <v>Less than $21,499</v>
      </c>
      <c r="AS135" s="107" t="str">
        <f t="shared" si="7"/>
        <v>Less than $21,499</v>
      </c>
      <c r="AT135" s="107" t="str">
        <f t="shared" si="7"/>
        <v>Less than $21,499</v>
      </c>
      <c r="AU135" s="107" t="str">
        <f t="shared" si="7"/>
        <v>Less than $21,499</v>
      </c>
      <c r="AV135" s="107" t="str">
        <f t="shared" si="7"/>
        <v>Less than $21,499</v>
      </c>
      <c r="AW135" s="107" t="str">
        <f t="shared" si="7"/>
        <v>Less than $21,499</v>
      </c>
      <c r="AX135" s="107" t="str">
        <f t="shared" si="7"/>
        <v>More than $ 27,613</v>
      </c>
      <c r="AY135" s="107" t="str">
        <f t="shared" si="7"/>
        <v>Less than $21,499</v>
      </c>
      <c r="AZ135" s="107" t="str">
        <f t="shared" si="7"/>
        <v>Less than $21,499</v>
      </c>
      <c r="BA135" s="107" t="str">
        <f t="shared" si="7"/>
        <v>Less than $21,499</v>
      </c>
      <c r="BB135" s="107" t="str">
        <f t="shared" si="7"/>
        <v>Less than $21,499</v>
      </c>
      <c r="BC135" s="107" t="str">
        <f t="shared" si="7"/>
        <v>Less than $21,499</v>
      </c>
      <c r="BD135" s="107" t="str">
        <f t="shared" si="7"/>
        <v>Less than $21,499</v>
      </c>
      <c r="BE135" s="107" t="str">
        <f t="shared" si="7"/>
        <v>Less than $21,499</v>
      </c>
      <c r="BF135" s="107" t="str">
        <f t="shared" si="7"/>
        <v>Less than $21,499</v>
      </c>
      <c r="BG135" s="107" t="str">
        <f t="shared" si="7"/>
        <v>More than $ 27,613</v>
      </c>
      <c r="BH135" s="107" t="str">
        <f t="shared" si="7"/>
        <v>Less than $21,499</v>
      </c>
      <c r="BI135" s="107" t="str">
        <f t="shared" si="7"/>
        <v>Less than $21,499</v>
      </c>
      <c r="BJ135" s="107" t="str">
        <f t="shared" si="7"/>
        <v>Less than $21,499</v>
      </c>
      <c r="BK135" s="107" t="str">
        <f t="shared" si="7"/>
        <v>Less than $21,499</v>
      </c>
      <c r="BL135" s="107" t="str">
        <f t="shared" si="7"/>
        <v>Less than $21,499</v>
      </c>
      <c r="BM135" s="107" t="str">
        <f t="shared" si="7"/>
        <v>Less than $21,499</v>
      </c>
      <c r="BN135" s="107" t="str">
        <f t="shared" si="7"/>
        <v>Less than $21,499</v>
      </c>
      <c r="BO135" s="107" t="str">
        <f t="shared" si="7"/>
        <v>Less than $21,499</v>
      </c>
      <c r="BP135" s="107" t="str">
        <f t="shared" si="7"/>
        <v>More than $ 27,613</v>
      </c>
      <c r="BQ135" s="107" t="str">
        <f t="shared" si="7"/>
        <v>Less than $21,499</v>
      </c>
      <c r="BR135" s="107" t="str">
        <f t="shared" si="7"/>
        <v>Less than $21,499</v>
      </c>
      <c r="BS135" s="107" t="str">
        <f t="shared" si="7"/>
        <v>Less than $21,499</v>
      </c>
      <c r="BT135" s="107" t="str">
        <f t="shared" si="7"/>
        <v>Less than $21,499</v>
      </c>
      <c r="BU135" s="107" t="str">
        <f t="shared" si="7"/>
        <v>Less than $21,499</v>
      </c>
      <c r="BV135" s="107" t="str">
        <f t="shared" si="7"/>
        <v>Less than $21,499</v>
      </c>
      <c r="BW135" s="107" t="str">
        <f t="shared" si="7"/>
        <v>Less than $21,499</v>
      </c>
      <c r="BX135" s="107" t="str">
        <f t="shared" si="7"/>
        <v>Less than $21,499</v>
      </c>
      <c r="BY135" s="107" t="str">
        <f t="shared" si="7"/>
        <v>More than $ 27,613</v>
      </c>
      <c r="BZ135" s="107" t="str">
        <f t="shared" si="7"/>
        <v>Less than $21,499</v>
      </c>
      <c r="CA135" s="107" t="str">
        <f t="shared" si="7"/>
        <v>Less than $21,499</v>
      </c>
      <c r="CB135" s="107" t="str">
        <f t="shared" si="7"/>
        <v>Less than $21,499</v>
      </c>
      <c r="CC135" s="107" t="str">
        <f t="shared" si="7"/>
        <v>Less than $21,499</v>
      </c>
      <c r="CD135" s="107" t="str">
        <f t="shared" si="7"/>
        <v>Less than $21,499</v>
      </c>
      <c r="CE135" s="107"/>
      <c r="CF135" s="107"/>
      <c r="CG135" s="107"/>
      <c r="CH135" s="107"/>
      <c r="CI135" s="107"/>
      <c r="CJ135" s="107"/>
      <c r="CK135" s="107"/>
      <c r="CL135" s="107"/>
      <c r="CM135" s="107"/>
      <c r="CN135" s="107"/>
      <c r="CO135" s="107"/>
      <c r="CP135" s="107"/>
      <c r="CQ135" s="107"/>
      <c r="CR135" s="107"/>
      <c r="CS135" s="107"/>
      <c r="CT135" s="107"/>
      <c r="CU135" s="107"/>
      <c r="CV135" s="107"/>
      <c r="CW135" s="107"/>
      <c r="CX135" s="107"/>
      <c r="CY135" s="107"/>
      <c r="CZ135" s="107"/>
      <c r="DA135" s="107"/>
      <c r="DB135" s="107"/>
      <c r="DC135" s="107"/>
      <c r="DD135" s="107"/>
      <c r="DE135" s="107"/>
      <c r="DF135" s="107"/>
      <c r="DG135" s="107"/>
      <c r="DH135" s="107"/>
      <c r="DI135" s="107"/>
      <c r="DJ135" s="107"/>
      <c r="DK135" s="107"/>
      <c r="DL135" s="107"/>
      <c r="DM135" s="107"/>
      <c r="DN135" s="107"/>
      <c r="DO135" s="107"/>
      <c r="DP135" s="107"/>
      <c r="DQ135" s="107"/>
      <c r="DR135" s="107"/>
      <c r="DS135" s="107"/>
      <c r="DT135" s="107"/>
      <c r="DU135" s="107"/>
      <c r="DV135" s="107"/>
      <c r="DW135" s="107"/>
      <c r="DX135" s="107"/>
      <c r="DY135" s="107"/>
      <c r="DZ135" s="107"/>
      <c r="EA135" s="107"/>
      <c r="EB135" s="107"/>
      <c r="EC135" s="107"/>
      <c r="ED135" s="107"/>
      <c r="EE135" s="107"/>
      <c r="EF135" s="107"/>
      <c r="EG135" s="107"/>
      <c r="EH135" s="107"/>
      <c r="EI135" s="107"/>
      <c r="EJ135" s="107"/>
      <c r="EK135" s="107"/>
      <c r="EL135" s="107"/>
      <c r="EM135" s="107"/>
      <c r="EN135" s="107"/>
      <c r="EO135" s="107"/>
      <c r="EP135" s="107"/>
      <c r="EQ135" s="107"/>
      <c r="ER135" s="107"/>
      <c r="ES135" s="107"/>
      <c r="ET135" s="107"/>
      <c r="EU135" s="107"/>
      <c r="EV135" s="107"/>
      <c r="EW135" s="107"/>
      <c r="EX135" s="107"/>
      <c r="EY135" s="107"/>
      <c r="EZ135" s="107"/>
      <c r="FA135" s="107"/>
      <c r="FB135" s="107"/>
      <c r="FC135" s="107"/>
      <c r="FD135" s="107"/>
      <c r="FE135" s="107"/>
      <c r="FF135" s="107"/>
      <c r="FG135" s="107"/>
      <c r="FH135" s="107"/>
      <c r="FI135" s="107"/>
      <c r="FJ135" s="107"/>
      <c r="FK135" s="107"/>
      <c r="FL135" s="107"/>
      <c r="FM135" s="107"/>
      <c r="FN135" s="107"/>
      <c r="FO135" s="107"/>
      <c r="FP135" s="107"/>
      <c r="FQ135" s="107"/>
      <c r="FR135" s="107"/>
      <c r="FS135" s="107"/>
      <c r="FT135" s="107"/>
      <c r="FU135" s="107"/>
      <c r="FV135" s="107"/>
      <c r="FW135" s="107"/>
      <c r="FX135" s="107"/>
      <c r="FY135" s="107"/>
      <c r="FZ135" s="107"/>
      <c r="GA135" s="107"/>
      <c r="GB135" s="107"/>
      <c r="GC135" s="107"/>
      <c r="GD135" s="107"/>
      <c r="GE135" s="107"/>
      <c r="GF135" s="107"/>
      <c r="GG135" s="107"/>
      <c r="GH135" s="107"/>
      <c r="GI135" s="107"/>
      <c r="GJ135" s="107"/>
      <c r="GK135" s="107"/>
      <c r="GL135" s="107"/>
      <c r="GM135" s="107"/>
      <c r="GN135" s="107"/>
      <c r="GO135" s="107"/>
      <c r="GP135" s="107"/>
      <c r="GQ135" s="107"/>
      <c r="GR135" s="107"/>
      <c r="GS135" s="107"/>
      <c r="GT135" s="107"/>
      <c r="GU135" s="107"/>
      <c r="GV135" s="107"/>
      <c r="GW135" s="107"/>
      <c r="GX135" s="107"/>
      <c r="GY135" s="107"/>
      <c r="GZ135" s="107"/>
      <c r="HA135" s="107"/>
      <c r="HB135" s="107"/>
      <c r="HC135" s="107"/>
      <c r="HD135" s="107"/>
      <c r="HE135" s="107"/>
      <c r="HF135" s="107"/>
      <c r="HG135" s="107"/>
      <c r="HH135" s="107"/>
      <c r="HI135" s="107"/>
      <c r="HJ135" s="107"/>
      <c r="HK135" s="107"/>
      <c r="HL135" s="107"/>
      <c r="HM135" s="107"/>
      <c r="HN135" s="107"/>
      <c r="HO135" s="107"/>
      <c r="HP135" s="107"/>
      <c r="HQ135" s="107"/>
      <c r="HR135" s="107"/>
      <c r="HS135" s="107"/>
      <c r="HT135" s="107"/>
      <c r="HU135" s="107"/>
      <c r="HV135" s="107"/>
      <c r="HW135" s="107"/>
      <c r="HX135" s="107"/>
      <c r="HY135" s="107"/>
      <c r="HZ135" s="107"/>
      <c r="IA135" s="107"/>
      <c r="IB135" s="107"/>
      <c r="IC135" s="107"/>
      <c r="ID135" s="107"/>
      <c r="IE135" s="107"/>
      <c r="IF135" s="107"/>
      <c r="IG135" s="107"/>
      <c r="IH135" s="107"/>
      <c r="II135" s="107"/>
      <c r="IJ135" s="107"/>
      <c r="IK135" s="107"/>
      <c r="IL135" s="107"/>
      <c r="IM135" s="107"/>
      <c r="IN135" s="107"/>
      <c r="IO135" s="107"/>
    </row>
    <row r="136" spans="2:249">
      <c r="B136" s="135" t="s">
        <v>717</v>
      </c>
      <c r="C136" s="135"/>
      <c r="D136" s="138"/>
      <c r="E136" s="138"/>
      <c r="F136" s="138"/>
      <c r="G136" s="138"/>
      <c r="H136" s="138"/>
      <c r="I136" s="138"/>
      <c r="J136" s="138"/>
      <c r="K136" s="138"/>
      <c r="L136" s="138"/>
      <c r="M136" s="138"/>
      <c r="N136" s="138"/>
      <c r="O136" s="138"/>
      <c r="P136" s="138"/>
      <c r="Q136" s="138"/>
      <c r="R136" s="138"/>
      <c r="S136" s="138"/>
      <c r="T136" s="138"/>
      <c r="U136" s="138"/>
      <c r="V136" s="138"/>
      <c r="W136" s="138"/>
      <c r="X136" s="138"/>
      <c r="Y136" s="138"/>
      <c r="Z136" s="138"/>
      <c r="AA136" s="138"/>
      <c r="AB136" s="138"/>
      <c r="AC136" s="138"/>
      <c r="AD136" s="138"/>
      <c r="AE136" s="138"/>
      <c r="AF136" s="138"/>
      <c r="AG136" s="138"/>
      <c r="AH136" s="138"/>
      <c r="AI136" s="138"/>
      <c r="AJ136" s="138"/>
      <c r="AK136" s="138"/>
      <c r="AL136" s="138"/>
      <c r="AM136" s="138"/>
      <c r="AN136" s="138"/>
      <c r="AO136" s="138"/>
      <c r="AP136" s="138"/>
      <c r="AQ136" s="138"/>
      <c r="AR136" s="138"/>
      <c r="AS136" s="138"/>
      <c r="AT136" s="138"/>
      <c r="AU136" s="138"/>
      <c r="AV136" s="138"/>
      <c r="AW136" s="138"/>
      <c r="AX136" s="138"/>
      <c r="AY136" s="138"/>
      <c r="AZ136" s="138"/>
      <c r="BA136" s="138"/>
      <c r="BB136" s="138"/>
      <c r="BC136" s="138"/>
      <c r="BD136" s="138"/>
      <c r="BE136" s="138"/>
      <c r="BF136" s="138"/>
      <c r="BG136" s="138"/>
      <c r="BH136" s="138"/>
      <c r="BI136" s="138"/>
      <c r="BJ136" s="138"/>
      <c r="BK136" s="138"/>
      <c r="BL136" s="138"/>
      <c r="BM136" s="138"/>
      <c r="BN136" s="138"/>
      <c r="BO136" s="138"/>
      <c r="BP136" s="138"/>
      <c r="BQ136" s="138"/>
      <c r="BR136" s="138"/>
      <c r="BS136" s="138"/>
      <c r="BT136" s="138"/>
      <c r="BU136" s="138"/>
      <c r="BV136" s="138"/>
      <c r="BW136" s="138"/>
      <c r="BX136" s="138"/>
      <c r="BY136" s="138"/>
      <c r="BZ136" s="138"/>
      <c r="CA136" s="138"/>
      <c r="CB136" s="138"/>
      <c r="CC136" s="138"/>
      <c r="CD136" s="138"/>
      <c r="CE136" s="138"/>
      <c r="CF136" s="138"/>
      <c r="CG136" s="138"/>
      <c r="CH136" s="138"/>
      <c r="CI136" s="138"/>
      <c r="CJ136" s="138"/>
      <c r="CK136" s="138"/>
      <c r="CL136" s="138"/>
      <c r="CM136" s="138"/>
      <c r="CN136" s="138"/>
      <c r="CO136" s="138"/>
      <c r="CP136" s="138"/>
      <c r="CQ136" s="138"/>
      <c r="CR136" s="138"/>
      <c r="CS136" s="138"/>
      <c r="CT136" s="138"/>
      <c r="CU136" s="138"/>
      <c r="CV136" s="138"/>
      <c r="CW136" s="138"/>
      <c r="CX136" s="138"/>
      <c r="CY136" s="138"/>
      <c r="CZ136" s="138"/>
      <c r="DA136" s="138"/>
      <c r="DB136" s="138"/>
      <c r="DC136" s="138"/>
      <c r="DD136" s="138"/>
      <c r="DE136" s="138"/>
      <c r="DF136" s="138"/>
      <c r="DG136" s="138"/>
      <c r="DH136" s="138"/>
      <c r="DI136" s="138"/>
      <c r="DJ136" s="138"/>
      <c r="DK136" s="138"/>
      <c r="DL136" s="138"/>
      <c r="DM136" s="138"/>
      <c r="DN136" s="138"/>
      <c r="DO136" s="138"/>
      <c r="DP136" s="138"/>
      <c r="DQ136" s="138"/>
      <c r="DR136" s="138"/>
      <c r="DS136" s="138"/>
      <c r="DT136" s="138"/>
      <c r="DU136" s="138"/>
      <c r="DV136" s="138"/>
      <c r="DW136" s="138"/>
      <c r="DX136" s="138"/>
      <c r="DY136" s="138"/>
      <c r="DZ136" s="138"/>
      <c r="EA136" s="138"/>
      <c r="EB136" s="138"/>
      <c r="EC136" s="138"/>
      <c r="ED136" s="138"/>
      <c r="EE136" s="138"/>
      <c r="EF136" s="138"/>
      <c r="EG136" s="138"/>
      <c r="EH136" s="138"/>
      <c r="EI136" s="138"/>
      <c r="EJ136" s="138"/>
      <c r="EK136" s="138"/>
      <c r="EL136" s="138"/>
      <c r="EM136" s="138"/>
      <c r="EN136" s="138"/>
      <c r="EO136" s="138"/>
      <c r="EP136" s="138"/>
      <c r="EQ136" s="138"/>
      <c r="ER136" s="138"/>
      <c r="ES136" s="138"/>
      <c r="ET136" s="138"/>
      <c r="EU136" s="138"/>
      <c r="EV136" s="138"/>
      <c r="EW136" s="138"/>
      <c r="EX136" s="138"/>
      <c r="EY136" s="138"/>
      <c r="EZ136" s="138"/>
      <c r="FA136" s="138"/>
      <c r="FB136" s="138"/>
      <c r="FC136" s="138"/>
      <c r="FD136" s="138"/>
      <c r="FE136" s="138"/>
      <c r="FF136" s="138"/>
      <c r="FG136" s="138"/>
      <c r="FH136" s="138"/>
      <c r="FI136" s="138"/>
      <c r="FJ136" s="138"/>
      <c r="FK136" s="138"/>
      <c r="FL136" s="138"/>
      <c r="FM136" s="138"/>
      <c r="FN136" s="138"/>
      <c r="FO136" s="138"/>
      <c r="FP136" s="138"/>
      <c r="FQ136" s="138"/>
      <c r="FR136" s="138"/>
      <c r="FS136" s="138"/>
      <c r="FT136" s="138"/>
      <c r="FU136" s="138"/>
      <c r="FV136" s="138"/>
      <c r="FW136" s="138"/>
      <c r="FX136" s="138"/>
      <c r="FY136" s="138"/>
      <c r="FZ136" s="138"/>
      <c r="GA136" s="138"/>
      <c r="GB136" s="138"/>
      <c r="GC136" s="138"/>
      <c r="GD136" s="138"/>
      <c r="GE136" s="138"/>
      <c r="GF136" s="138"/>
      <c r="GG136" s="138"/>
      <c r="GH136" s="138"/>
      <c r="GI136" s="138"/>
      <c r="GJ136" s="138"/>
      <c r="GK136" s="138"/>
      <c r="GL136" s="138"/>
      <c r="GM136" s="138"/>
      <c r="GN136" s="138"/>
      <c r="GO136" s="138"/>
      <c r="GP136" s="138"/>
      <c r="GQ136" s="138"/>
      <c r="GR136" s="138"/>
      <c r="GS136" s="138"/>
      <c r="GT136" s="138"/>
      <c r="GU136" s="138"/>
      <c r="GV136" s="138"/>
      <c r="GW136" s="138"/>
      <c r="GX136" s="138"/>
      <c r="GY136" s="138"/>
      <c r="GZ136" s="138"/>
      <c r="HA136" s="138"/>
      <c r="HB136" s="138"/>
      <c r="HC136" s="138"/>
      <c r="HD136" s="138"/>
      <c r="HE136" s="138"/>
      <c r="HF136" s="138"/>
      <c r="HG136" s="138"/>
      <c r="HH136" s="138"/>
      <c r="HI136" s="138"/>
      <c r="HJ136" s="138"/>
      <c r="HK136" s="138"/>
      <c r="HL136" s="138"/>
      <c r="HM136" s="138"/>
      <c r="HN136" s="138"/>
      <c r="HO136" s="138"/>
      <c r="HP136" s="138"/>
      <c r="HQ136" s="138"/>
      <c r="HR136" s="138"/>
      <c r="HS136" s="138"/>
      <c r="HT136" s="138"/>
      <c r="HU136" s="138"/>
      <c r="HV136" s="138"/>
      <c r="HW136" s="138"/>
      <c r="HX136" s="138"/>
      <c r="HY136" s="138"/>
      <c r="HZ136" s="138"/>
      <c r="IA136" s="138"/>
      <c r="IB136" s="138"/>
      <c r="IC136" s="138"/>
      <c r="ID136" s="138"/>
      <c r="IE136" s="138"/>
      <c r="IF136" s="138"/>
      <c r="IG136" s="138"/>
      <c r="IH136" s="138"/>
      <c r="II136" s="138"/>
      <c r="IJ136" s="138"/>
      <c r="IK136" s="138"/>
      <c r="IL136" s="138"/>
      <c r="IM136" s="138"/>
      <c r="IN136" s="138"/>
      <c r="IO136" s="138"/>
    </row>
    <row r="137" spans="2:249">
      <c r="B137" s="110"/>
      <c r="C137" s="137" t="str">
        <f>C28</f>
        <v>Home ownership code</v>
      </c>
      <c r="D137" s="107" t="str">
        <f>IF(D29="Y",$C$29,"Blank")</f>
        <v>Blank</v>
      </c>
      <c r="E137" s="107" t="str">
        <f t="shared" ref="E137:BP137" si="8">IF(E29="Y",$C$29,"Blank")</f>
        <v>Blank</v>
      </c>
      <c r="F137" s="107" t="str">
        <f t="shared" si="8"/>
        <v>Blank</v>
      </c>
      <c r="G137" s="107" t="str">
        <f t="shared" si="8"/>
        <v>Blank</v>
      </c>
      <c r="H137" s="107" t="str">
        <f t="shared" si="8"/>
        <v>Blank</v>
      </c>
      <c r="I137" s="107" t="str">
        <f t="shared" si="8"/>
        <v>Blank</v>
      </c>
      <c r="J137" s="107" t="str">
        <f t="shared" si="8"/>
        <v>Blank</v>
      </c>
      <c r="K137" s="107" t="str">
        <f t="shared" si="8"/>
        <v>Blank</v>
      </c>
      <c r="L137" s="107" t="str">
        <f t="shared" si="8"/>
        <v>Blank</v>
      </c>
      <c r="M137" s="107" t="str">
        <f t="shared" si="8"/>
        <v>Blank</v>
      </c>
      <c r="N137" s="107" t="str">
        <f t="shared" si="8"/>
        <v>Blank</v>
      </c>
      <c r="O137" s="107" t="str">
        <f t="shared" si="8"/>
        <v>Blank</v>
      </c>
      <c r="P137" s="107" t="str">
        <f t="shared" si="8"/>
        <v>Blank</v>
      </c>
      <c r="Q137" s="107" t="str">
        <f t="shared" si="8"/>
        <v>Blank</v>
      </c>
      <c r="R137" s="107" t="str">
        <f t="shared" si="8"/>
        <v>Blank</v>
      </c>
      <c r="S137" s="107" t="str">
        <f t="shared" si="8"/>
        <v>Blank</v>
      </c>
      <c r="T137" s="107" t="str">
        <f t="shared" si="8"/>
        <v>Blank</v>
      </c>
      <c r="U137" s="107" t="str">
        <f t="shared" si="8"/>
        <v>Blank</v>
      </c>
      <c r="V137" s="107" t="str">
        <f t="shared" si="8"/>
        <v>Blank</v>
      </c>
      <c r="W137" s="107" t="str">
        <f t="shared" si="8"/>
        <v>Blank</v>
      </c>
      <c r="X137" s="107" t="str">
        <f t="shared" si="8"/>
        <v>Blank</v>
      </c>
      <c r="Y137" s="107" t="str">
        <f t="shared" si="8"/>
        <v>Blank</v>
      </c>
      <c r="Z137" s="107" t="str">
        <f t="shared" si="8"/>
        <v>Blank</v>
      </c>
      <c r="AA137" s="107" t="str">
        <f t="shared" si="8"/>
        <v>Blank</v>
      </c>
      <c r="AB137" s="107" t="str">
        <f t="shared" si="8"/>
        <v>Blank</v>
      </c>
      <c r="AC137" s="107" t="str">
        <f t="shared" si="8"/>
        <v>Blank</v>
      </c>
      <c r="AD137" s="107" t="str">
        <f t="shared" si="8"/>
        <v>Blank</v>
      </c>
      <c r="AE137" s="107" t="str">
        <f t="shared" si="8"/>
        <v>Blank</v>
      </c>
      <c r="AF137" s="107" t="str">
        <f t="shared" si="8"/>
        <v>Blank</v>
      </c>
      <c r="AG137" s="107" t="str">
        <f t="shared" si="8"/>
        <v>Blank</v>
      </c>
      <c r="AH137" s="107" t="str">
        <f t="shared" si="8"/>
        <v>Blank</v>
      </c>
      <c r="AI137" s="107" t="str">
        <f t="shared" si="8"/>
        <v>Blank</v>
      </c>
      <c r="AJ137" s="107" t="str">
        <f t="shared" si="8"/>
        <v>Blank</v>
      </c>
      <c r="AK137" s="107" t="str">
        <f t="shared" si="8"/>
        <v>Blank</v>
      </c>
      <c r="AL137" s="107" t="str">
        <f t="shared" si="8"/>
        <v>Home owner - HOM</v>
      </c>
      <c r="AM137" s="107" t="str">
        <f t="shared" si="8"/>
        <v>Home owner - HOM</v>
      </c>
      <c r="AN137" s="107" t="str">
        <f t="shared" si="8"/>
        <v>Home owner - HOM</v>
      </c>
      <c r="AO137" s="107" t="str">
        <f t="shared" si="8"/>
        <v>Home owner - HOM</v>
      </c>
      <c r="AP137" s="107" t="str">
        <f t="shared" si="8"/>
        <v>Home owner - HOM</v>
      </c>
      <c r="AQ137" s="107" t="str">
        <f t="shared" si="8"/>
        <v>Home owner - HOM</v>
      </c>
      <c r="AR137" s="107" t="str">
        <f t="shared" si="8"/>
        <v>Home owner - HOM</v>
      </c>
      <c r="AS137" s="107" t="str">
        <f t="shared" si="8"/>
        <v>Home owner - HOM</v>
      </c>
      <c r="AT137" s="107" t="str">
        <f t="shared" si="8"/>
        <v>Home owner - HOM</v>
      </c>
      <c r="AU137" s="107" t="str">
        <f t="shared" si="8"/>
        <v>Home owner - HOM</v>
      </c>
      <c r="AV137" s="107" t="str">
        <f t="shared" si="8"/>
        <v>Home owner - HOM</v>
      </c>
      <c r="AW137" s="107" t="str">
        <f t="shared" si="8"/>
        <v>Home owner - HOM</v>
      </c>
      <c r="AX137" s="107" t="str">
        <f t="shared" si="8"/>
        <v>Home owner - HOM</v>
      </c>
      <c r="AY137" s="107" t="str">
        <f t="shared" si="8"/>
        <v>Home owner - HOM</v>
      </c>
      <c r="AZ137" s="107" t="str">
        <f t="shared" si="8"/>
        <v>Home owner - HOM</v>
      </c>
      <c r="BA137" s="107" t="str">
        <f t="shared" si="8"/>
        <v>Home owner - HOM</v>
      </c>
      <c r="BB137" s="107" t="str">
        <f t="shared" si="8"/>
        <v>Home owner - HOM</v>
      </c>
      <c r="BC137" s="107" t="str">
        <f t="shared" si="8"/>
        <v>Home owner - HOM</v>
      </c>
      <c r="BD137" s="107" t="str">
        <f t="shared" si="8"/>
        <v>Home owner - HOM</v>
      </c>
      <c r="BE137" s="107" t="str">
        <f t="shared" si="8"/>
        <v>Home owner - HOM</v>
      </c>
      <c r="BF137" s="107" t="str">
        <f t="shared" si="8"/>
        <v>Home owner - HOM</v>
      </c>
      <c r="BG137" s="107" t="str">
        <f t="shared" si="8"/>
        <v>Home owner - HOM</v>
      </c>
      <c r="BH137" s="107" t="str">
        <f t="shared" si="8"/>
        <v>Home owner - HOM</v>
      </c>
      <c r="BI137" s="107" t="str">
        <f t="shared" si="8"/>
        <v>Home owner - HOM</v>
      </c>
      <c r="BJ137" s="107" t="str">
        <f t="shared" si="8"/>
        <v>Home owner - HOM</v>
      </c>
      <c r="BK137" s="107" t="str">
        <f t="shared" si="8"/>
        <v>Home owner - HOM</v>
      </c>
      <c r="BL137" s="107" t="str">
        <f t="shared" si="8"/>
        <v>Home owner - HOM</v>
      </c>
      <c r="BM137" s="107" t="str">
        <f t="shared" si="8"/>
        <v>Home owner - HOM</v>
      </c>
      <c r="BN137" s="107" t="str">
        <f t="shared" si="8"/>
        <v>Home owner - HOM</v>
      </c>
      <c r="BO137" s="107" t="str">
        <f t="shared" si="8"/>
        <v>Home owner - HOM</v>
      </c>
      <c r="BP137" s="107" t="str">
        <f t="shared" si="8"/>
        <v>Home owner - HOM</v>
      </c>
      <c r="BQ137" s="107" t="str">
        <f t="shared" ref="BQ137:CD137" si="9">IF(BQ29="Y",$C$29,"Blank")</f>
        <v>Home owner - HOM</v>
      </c>
      <c r="BR137" s="107" t="str">
        <f t="shared" si="9"/>
        <v>Home owner - HOM</v>
      </c>
      <c r="BS137" s="107" t="str">
        <f t="shared" si="9"/>
        <v>Home owner - HOM</v>
      </c>
      <c r="BT137" s="107" t="str">
        <f t="shared" si="9"/>
        <v>Home owner - HOM</v>
      </c>
      <c r="BU137" s="107" t="str">
        <f t="shared" si="9"/>
        <v>Home owner - HOM</v>
      </c>
      <c r="BV137" s="107" t="str">
        <f t="shared" si="9"/>
        <v>Home owner - HOM</v>
      </c>
      <c r="BW137" s="107" t="str">
        <f t="shared" si="9"/>
        <v>Home owner - HOM</v>
      </c>
      <c r="BX137" s="107" t="str">
        <f t="shared" si="9"/>
        <v>Home owner - HOM</v>
      </c>
      <c r="BY137" s="107" t="str">
        <f t="shared" si="9"/>
        <v>Home owner - HOM</v>
      </c>
      <c r="BZ137" s="107" t="str">
        <f t="shared" si="9"/>
        <v>Home owner - HOM</v>
      </c>
      <c r="CA137" s="107" t="str">
        <f t="shared" si="9"/>
        <v>Home owner - HOM</v>
      </c>
      <c r="CB137" s="107" t="str">
        <f t="shared" si="9"/>
        <v>Home owner - HOM</v>
      </c>
      <c r="CC137" s="107" t="str">
        <f t="shared" si="9"/>
        <v>Home owner - HOM</v>
      </c>
      <c r="CD137" s="107" t="str">
        <f t="shared" si="9"/>
        <v>Home owner - HOM</v>
      </c>
      <c r="CE137" s="107"/>
      <c r="CF137" s="107"/>
      <c r="CG137" s="107"/>
      <c r="CH137" s="107"/>
      <c r="CI137" s="107"/>
      <c r="CJ137" s="107"/>
      <c r="CK137" s="107"/>
      <c r="CL137" s="107"/>
      <c r="CM137" s="107"/>
      <c r="CN137" s="107"/>
      <c r="CO137" s="107"/>
      <c r="CP137" s="107"/>
      <c r="CQ137" s="107"/>
      <c r="CR137" s="107"/>
      <c r="CS137" s="107"/>
      <c r="CT137" s="107"/>
      <c r="CU137" s="107"/>
      <c r="CV137" s="107"/>
      <c r="CW137" s="107"/>
      <c r="CX137" s="107"/>
      <c r="CY137" s="107"/>
      <c r="CZ137" s="107"/>
      <c r="DA137" s="107"/>
      <c r="DB137" s="107"/>
      <c r="DC137" s="107"/>
      <c r="DD137" s="107"/>
      <c r="DE137" s="107"/>
      <c r="DF137" s="107"/>
      <c r="DG137" s="107"/>
      <c r="DH137" s="107"/>
      <c r="DI137" s="107"/>
      <c r="DJ137" s="107"/>
      <c r="DK137" s="107"/>
      <c r="DL137" s="107"/>
      <c r="DM137" s="107"/>
      <c r="DN137" s="107"/>
      <c r="DO137" s="107"/>
      <c r="DP137" s="107"/>
      <c r="DQ137" s="107"/>
      <c r="DR137" s="107"/>
      <c r="DS137" s="107"/>
      <c r="DT137" s="107"/>
      <c r="DU137" s="107"/>
      <c r="DV137" s="107"/>
      <c r="DW137" s="107"/>
      <c r="DX137" s="107"/>
      <c r="DY137" s="107"/>
      <c r="DZ137" s="107"/>
      <c r="EA137" s="107"/>
      <c r="EB137" s="107"/>
      <c r="EC137" s="107"/>
      <c r="ED137" s="107"/>
      <c r="EE137" s="107"/>
      <c r="EF137" s="107"/>
      <c r="EG137" s="107"/>
      <c r="EH137" s="107"/>
      <c r="EI137" s="107"/>
      <c r="EJ137" s="107"/>
      <c r="EK137" s="107"/>
      <c r="EL137" s="107"/>
      <c r="EM137" s="107"/>
      <c r="EN137" s="107"/>
      <c r="EO137" s="107"/>
      <c r="EP137" s="107"/>
      <c r="EQ137" s="107"/>
      <c r="ER137" s="107"/>
      <c r="ES137" s="107"/>
      <c r="ET137" s="107"/>
      <c r="EU137" s="107"/>
      <c r="EV137" s="107"/>
      <c r="EW137" s="107"/>
      <c r="EX137" s="107"/>
      <c r="EY137" s="107"/>
      <c r="EZ137" s="107"/>
      <c r="FA137" s="107"/>
      <c r="FB137" s="107"/>
      <c r="FC137" s="107"/>
      <c r="FD137" s="107"/>
      <c r="FE137" s="107"/>
      <c r="FF137" s="107"/>
      <c r="FG137" s="107"/>
      <c r="FH137" s="107"/>
      <c r="FI137" s="107"/>
      <c r="FJ137" s="107"/>
      <c r="FK137" s="107"/>
      <c r="FL137" s="107"/>
      <c r="FM137" s="107"/>
      <c r="FN137" s="107"/>
      <c r="FO137" s="107"/>
      <c r="FP137" s="107"/>
      <c r="FQ137" s="107"/>
      <c r="FR137" s="107"/>
      <c r="FS137" s="107"/>
      <c r="FT137" s="107"/>
      <c r="FU137" s="107"/>
      <c r="FV137" s="107"/>
      <c r="FW137" s="107"/>
      <c r="FX137" s="107"/>
      <c r="FY137" s="107"/>
      <c r="FZ137" s="107"/>
      <c r="GA137" s="107"/>
      <c r="GB137" s="107"/>
      <c r="GC137" s="107"/>
      <c r="GD137" s="107"/>
      <c r="GE137" s="107"/>
      <c r="GF137" s="107"/>
      <c r="GG137" s="107"/>
      <c r="GH137" s="107"/>
      <c r="GI137" s="107"/>
      <c r="GJ137" s="107"/>
      <c r="GK137" s="107"/>
      <c r="GL137" s="107"/>
      <c r="GM137" s="107"/>
      <c r="GN137" s="107"/>
      <c r="GO137" s="107"/>
      <c r="GP137" s="107"/>
      <c r="GQ137" s="107"/>
      <c r="GR137" s="107"/>
      <c r="GS137" s="107"/>
      <c r="GT137" s="107"/>
      <c r="GU137" s="107"/>
      <c r="GV137" s="107"/>
      <c r="GW137" s="107"/>
      <c r="GX137" s="107"/>
      <c r="GY137" s="107"/>
      <c r="GZ137" s="107"/>
      <c r="HA137" s="107"/>
      <c r="HB137" s="107"/>
      <c r="HC137" s="107"/>
      <c r="HD137" s="107"/>
      <c r="HE137" s="107"/>
      <c r="HF137" s="107"/>
      <c r="HG137" s="107"/>
      <c r="HH137" s="107"/>
      <c r="HI137" s="107"/>
      <c r="HJ137" s="107"/>
      <c r="HK137" s="107"/>
      <c r="HL137" s="107"/>
      <c r="HM137" s="107"/>
      <c r="HN137" s="107"/>
      <c r="HO137" s="107"/>
      <c r="HP137" s="107"/>
      <c r="HQ137" s="107"/>
      <c r="HR137" s="107"/>
      <c r="HS137" s="107"/>
      <c r="HT137" s="107"/>
      <c r="HU137" s="107"/>
      <c r="HV137" s="107"/>
      <c r="HW137" s="107"/>
      <c r="HX137" s="107"/>
      <c r="HY137" s="107"/>
      <c r="HZ137" s="107"/>
      <c r="IA137" s="107"/>
      <c r="IB137" s="107"/>
      <c r="IC137" s="107"/>
      <c r="ID137" s="107"/>
      <c r="IE137" s="107"/>
      <c r="IF137" s="107"/>
      <c r="IG137" s="107"/>
      <c r="IH137" s="107"/>
      <c r="II137" s="107"/>
      <c r="IJ137" s="107"/>
      <c r="IK137" s="107"/>
      <c r="IL137" s="107"/>
      <c r="IM137" s="107"/>
      <c r="IN137" s="107"/>
      <c r="IO137" s="107"/>
    </row>
    <row r="138" spans="2:249">
      <c r="B138" s="242" t="str">
        <f>B30</f>
        <v>Partner  circumstances</v>
      </c>
      <c r="C138" s="243"/>
      <c r="D138" s="119"/>
      <c r="E138" s="119"/>
      <c r="F138" s="119"/>
      <c r="G138" s="119"/>
      <c r="H138" s="119"/>
      <c r="I138" s="119"/>
      <c r="J138" s="119"/>
      <c r="K138" s="119"/>
      <c r="L138" s="119"/>
      <c r="M138" s="119"/>
      <c r="N138" s="119"/>
      <c r="O138" s="119"/>
      <c r="P138" s="119"/>
      <c r="Q138" s="119"/>
      <c r="R138" s="119"/>
      <c r="S138" s="119"/>
      <c r="T138" s="119"/>
      <c r="U138" s="119"/>
      <c r="V138" s="119"/>
      <c r="W138" s="119"/>
      <c r="X138" s="119"/>
      <c r="Y138" s="119"/>
      <c r="Z138" s="119"/>
      <c r="AA138" s="119"/>
      <c r="AB138" s="119"/>
      <c r="AC138" s="119"/>
      <c r="AD138" s="119"/>
      <c r="AE138" s="119"/>
      <c r="AF138" s="119"/>
      <c r="AG138" s="119"/>
      <c r="AH138" s="119"/>
      <c r="AI138" s="119"/>
      <c r="AJ138" s="119"/>
      <c r="AK138" s="119"/>
      <c r="AL138" s="119"/>
      <c r="AM138" s="119"/>
      <c r="AN138" s="119"/>
      <c r="AO138" s="119"/>
      <c r="AP138" s="119"/>
      <c r="AQ138" s="119"/>
      <c r="AR138" s="119"/>
      <c r="AS138" s="119"/>
      <c r="AT138" s="119"/>
      <c r="AU138" s="119"/>
      <c r="AV138" s="119"/>
      <c r="AW138" s="119"/>
      <c r="AX138" s="119"/>
      <c r="AY138" s="119"/>
      <c r="AZ138" s="119"/>
      <c r="BA138" s="119"/>
      <c r="BB138" s="119"/>
      <c r="BC138" s="119"/>
      <c r="BD138" s="119"/>
      <c r="BE138" s="119"/>
      <c r="BF138" s="119"/>
      <c r="BG138" s="119"/>
      <c r="BH138" s="119"/>
      <c r="BI138" s="119"/>
      <c r="BJ138" s="119"/>
      <c r="BK138" s="119"/>
      <c r="BL138" s="119"/>
      <c r="BM138" s="119"/>
      <c r="BN138" s="119"/>
      <c r="BO138" s="119"/>
      <c r="BP138" s="119"/>
      <c r="BQ138" s="119"/>
      <c r="BR138" s="119"/>
      <c r="BS138" s="119"/>
      <c r="BT138" s="119"/>
      <c r="BU138" s="119"/>
      <c r="BV138" s="119"/>
      <c r="BW138" s="119"/>
      <c r="BX138" s="119"/>
      <c r="BY138" s="119"/>
      <c r="BZ138" s="119"/>
      <c r="CA138" s="119"/>
      <c r="CB138" s="119"/>
      <c r="CC138" s="119"/>
      <c r="CD138" s="119"/>
      <c r="CE138" s="119"/>
      <c r="CF138" s="119"/>
      <c r="CG138" s="119"/>
      <c r="CH138" s="119"/>
      <c r="CI138" s="119"/>
      <c r="CJ138" s="119"/>
      <c r="CK138" s="119"/>
      <c r="CL138" s="119"/>
      <c r="CM138" s="119"/>
      <c r="CN138" s="119"/>
      <c r="CO138" s="119"/>
      <c r="CP138" s="119"/>
      <c r="CQ138" s="119"/>
      <c r="CR138" s="119"/>
      <c r="CS138" s="119"/>
      <c r="CT138" s="119"/>
      <c r="CU138" s="119"/>
      <c r="CV138" s="119"/>
      <c r="CW138" s="119"/>
      <c r="CX138" s="119"/>
      <c r="CY138" s="119"/>
      <c r="CZ138" s="119"/>
      <c r="DA138" s="119"/>
      <c r="DB138" s="119"/>
      <c r="DC138" s="119"/>
      <c r="DD138" s="119"/>
      <c r="DE138" s="119"/>
      <c r="DF138" s="119"/>
      <c r="DG138" s="119"/>
      <c r="DH138" s="119"/>
      <c r="DI138" s="119"/>
      <c r="DJ138" s="119"/>
      <c r="DK138" s="119"/>
      <c r="DL138" s="119"/>
      <c r="DM138" s="119"/>
      <c r="DN138" s="119"/>
      <c r="DO138" s="119"/>
      <c r="DP138" s="119"/>
      <c r="DQ138" s="119"/>
      <c r="DR138" s="119"/>
      <c r="DS138" s="119"/>
      <c r="DT138" s="119"/>
      <c r="DU138" s="119"/>
      <c r="DV138" s="119"/>
      <c r="DW138" s="119"/>
      <c r="DX138" s="119"/>
      <c r="DY138" s="119"/>
      <c r="DZ138" s="119"/>
      <c r="EA138" s="119"/>
      <c r="EB138" s="119"/>
      <c r="EC138" s="119"/>
      <c r="ED138" s="119"/>
      <c r="EE138" s="119"/>
      <c r="EF138" s="119"/>
      <c r="EG138" s="119"/>
      <c r="EH138" s="119"/>
      <c r="EI138" s="119"/>
      <c r="EJ138" s="119"/>
      <c r="EK138" s="119"/>
      <c r="EL138" s="119"/>
      <c r="EM138" s="119"/>
      <c r="EN138" s="119"/>
      <c r="EO138" s="119"/>
      <c r="EP138" s="119"/>
      <c r="EQ138" s="119"/>
      <c r="ER138" s="119"/>
      <c r="ES138" s="119"/>
      <c r="ET138" s="119"/>
      <c r="EU138" s="119"/>
      <c r="EV138" s="119"/>
      <c r="EW138" s="119"/>
      <c r="EX138" s="119"/>
      <c r="EY138" s="119"/>
      <c r="EZ138" s="119"/>
      <c r="FA138" s="119"/>
      <c r="FB138" s="119"/>
      <c r="FC138" s="119"/>
      <c r="FD138" s="119"/>
      <c r="FE138" s="119"/>
      <c r="FF138" s="119"/>
      <c r="FG138" s="119"/>
      <c r="FH138" s="119"/>
      <c r="FI138" s="119"/>
      <c r="FJ138" s="119"/>
      <c r="FK138" s="119"/>
      <c r="FL138" s="119"/>
      <c r="FM138" s="119"/>
      <c r="FN138" s="119"/>
      <c r="FO138" s="119"/>
      <c r="FP138" s="119"/>
      <c r="FQ138" s="119"/>
      <c r="FR138" s="119"/>
      <c r="FS138" s="119"/>
      <c r="FT138" s="119"/>
      <c r="FU138" s="119"/>
      <c r="FV138" s="119"/>
      <c r="FW138" s="119"/>
      <c r="FX138" s="119"/>
      <c r="FY138" s="119"/>
      <c r="FZ138" s="119"/>
      <c r="GA138" s="119"/>
      <c r="GB138" s="119"/>
      <c r="GC138" s="119"/>
      <c r="GD138" s="119"/>
      <c r="GE138" s="119"/>
      <c r="GF138" s="119"/>
      <c r="GG138" s="119"/>
      <c r="GH138" s="119"/>
      <c r="GI138" s="119"/>
      <c r="GJ138" s="119"/>
      <c r="GK138" s="119"/>
      <c r="GL138" s="119"/>
      <c r="GM138" s="119"/>
      <c r="GN138" s="119"/>
      <c r="GO138" s="119"/>
      <c r="GP138" s="119"/>
      <c r="GQ138" s="119"/>
      <c r="GR138" s="119"/>
      <c r="GS138" s="119"/>
      <c r="GT138" s="119"/>
      <c r="GU138" s="119"/>
      <c r="GV138" s="119"/>
      <c r="GW138" s="119"/>
      <c r="GX138" s="119"/>
      <c r="GY138" s="119"/>
      <c r="GZ138" s="119"/>
      <c r="HA138" s="119"/>
      <c r="HB138" s="119"/>
      <c r="HC138" s="119"/>
      <c r="HD138" s="119"/>
      <c r="HE138" s="119"/>
      <c r="HF138" s="119"/>
      <c r="HG138" s="119"/>
      <c r="HH138" s="119"/>
      <c r="HI138" s="119"/>
      <c r="HJ138" s="119"/>
      <c r="HK138" s="119"/>
      <c r="HL138" s="119"/>
      <c r="HM138" s="119"/>
      <c r="HN138" s="119"/>
      <c r="HO138" s="119"/>
      <c r="HP138" s="119"/>
      <c r="HQ138" s="119"/>
      <c r="HR138" s="119"/>
      <c r="HS138" s="119"/>
      <c r="HT138" s="119"/>
      <c r="HU138" s="119"/>
      <c r="HV138" s="119"/>
      <c r="HW138" s="119"/>
      <c r="HX138" s="119"/>
      <c r="HY138" s="119"/>
      <c r="HZ138" s="119"/>
      <c r="IA138" s="119"/>
      <c r="IB138" s="119"/>
      <c r="IC138" s="119"/>
      <c r="ID138" s="119"/>
      <c r="IE138" s="119"/>
      <c r="IF138" s="119"/>
      <c r="IG138" s="119"/>
      <c r="IH138" s="119"/>
      <c r="II138" s="119"/>
      <c r="IJ138" s="119"/>
      <c r="IK138" s="119"/>
      <c r="IL138" s="119"/>
      <c r="IM138" s="119"/>
      <c r="IN138" s="119"/>
      <c r="IO138" s="119"/>
    </row>
    <row r="139" spans="2:249">
      <c r="B139" s="135" t="s">
        <v>451</v>
      </c>
      <c r="C139" s="135"/>
      <c r="D139" s="125"/>
      <c r="E139" s="125"/>
      <c r="F139" s="125"/>
      <c r="G139" s="125"/>
      <c r="H139" s="125"/>
      <c r="I139" s="125"/>
      <c r="J139" s="125"/>
      <c r="K139" s="125"/>
      <c r="L139" s="125"/>
      <c r="M139" s="125"/>
      <c r="N139" s="125"/>
      <c r="O139" s="125"/>
      <c r="P139" s="125"/>
      <c r="Q139" s="125"/>
      <c r="R139" s="125"/>
      <c r="S139" s="125"/>
      <c r="T139" s="125"/>
      <c r="U139" s="125"/>
      <c r="V139" s="125"/>
      <c r="W139" s="125"/>
      <c r="X139" s="125"/>
      <c r="Y139" s="125"/>
      <c r="Z139" s="125"/>
      <c r="AA139" s="125"/>
      <c r="AB139" s="125"/>
      <c r="AC139" s="125"/>
      <c r="AD139" s="125"/>
      <c r="AE139" s="125"/>
      <c r="AF139" s="125"/>
      <c r="AG139" s="125"/>
      <c r="AH139" s="125"/>
      <c r="AI139" s="125"/>
      <c r="AJ139" s="125"/>
      <c r="AK139" s="125"/>
      <c r="AL139" s="125"/>
      <c r="AM139" s="125"/>
      <c r="AN139" s="125"/>
      <c r="AO139" s="125"/>
      <c r="AP139" s="125"/>
      <c r="AQ139" s="125"/>
      <c r="AR139" s="125"/>
      <c r="AS139" s="125"/>
      <c r="AT139" s="125"/>
      <c r="AU139" s="125"/>
      <c r="AV139" s="125"/>
      <c r="AW139" s="125"/>
      <c r="AX139" s="125"/>
      <c r="AY139" s="125"/>
      <c r="AZ139" s="125"/>
      <c r="BA139" s="125"/>
      <c r="BB139" s="125"/>
      <c r="BC139" s="125"/>
      <c r="BD139" s="125"/>
      <c r="BE139" s="125"/>
      <c r="BF139" s="125"/>
      <c r="BG139" s="125"/>
      <c r="BH139" s="125"/>
      <c r="BI139" s="125"/>
      <c r="BJ139" s="125"/>
      <c r="BK139" s="125"/>
      <c r="BL139" s="125"/>
      <c r="BM139" s="125"/>
      <c r="BN139" s="125"/>
      <c r="BO139" s="125"/>
      <c r="BP139" s="125"/>
      <c r="BQ139" s="125"/>
      <c r="BR139" s="125"/>
      <c r="BS139" s="125"/>
      <c r="BT139" s="125"/>
      <c r="BU139" s="125"/>
      <c r="BV139" s="125"/>
      <c r="BW139" s="125"/>
      <c r="BX139" s="125"/>
      <c r="BY139" s="125"/>
      <c r="BZ139" s="125"/>
      <c r="CA139" s="125"/>
      <c r="CB139" s="125"/>
      <c r="CC139" s="125"/>
      <c r="CD139" s="125"/>
      <c r="CE139" s="125"/>
      <c r="CF139" s="125"/>
      <c r="CG139" s="125"/>
      <c r="CH139" s="125"/>
      <c r="CI139" s="125"/>
      <c r="CJ139" s="125"/>
      <c r="CK139" s="125"/>
      <c r="CL139" s="125"/>
      <c r="CM139" s="125"/>
      <c r="CN139" s="125"/>
      <c r="CO139" s="125"/>
      <c r="CP139" s="125"/>
      <c r="CQ139" s="125"/>
      <c r="CR139" s="125"/>
      <c r="CS139" s="125"/>
      <c r="CT139" s="125"/>
      <c r="CU139" s="125"/>
      <c r="CV139" s="125"/>
      <c r="CW139" s="125"/>
      <c r="CX139" s="125"/>
      <c r="CY139" s="125"/>
      <c r="CZ139" s="125"/>
      <c r="DA139" s="125"/>
      <c r="DB139" s="125"/>
      <c r="DC139" s="125"/>
      <c r="DD139" s="125"/>
      <c r="DE139" s="125"/>
      <c r="DF139" s="125"/>
      <c r="DG139" s="125"/>
      <c r="DH139" s="125"/>
      <c r="DI139" s="125"/>
      <c r="DJ139" s="125"/>
      <c r="DK139" s="125"/>
      <c r="DL139" s="125"/>
      <c r="DM139" s="125"/>
      <c r="DN139" s="125"/>
      <c r="DO139" s="125"/>
      <c r="DP139" s="125"/>
      <c r="DQ139" s="125"/>
      <c r="DR139" s="125"/>
      <c r="DS139" s="125"/>
      <c r="DT139" s="125"/>
      <c r="DU139" s="125"/>
      <c r="DV139" s="125"/>
      <c r="DW139" s="125"/>
      <c r="DX139" s="125"/>
      <c r="DY139" s="125"/>
      <c r="DZ139" s="125"/>
      <c r="EA139" s="125"/>
      <c r="EB139" s="125"/>
      <c r="EC139" s="125"/>
      <c r="ED139" s="125"/>
      <c r="EE139" s="125"/>
      <c r="EF139" s="125"/>
      <c r="EG139" s="125"/>
      <c r="EH139" s="125"/>
      <c r="EI139" s="125"/>
      <c r="EJ139" s="125"/>
      <c r="EK139" s="125"/>
      <c r="EL139" s="125"/>
      <c r="EM139" s="125"/>
      <c r="EN139" s="125"/>
      <c r="EO139" s="125"/>
      <c r="EP139" s="125"/>
      <c r="EQ139" s="125"/>
      <c r="ER139" s="125"/>
      <c r="ES139" s="125"/>
      <c r="ET139" s="125"/>
      <c r="EU139" s="125"/>
      <c r="EV139" s="125"/>
      <c r="EW139" s="125"/>
      <c r="EX139" s="125"/>
      <c r="EY139" s="125"/>
      <c r="EZ139" s="125"/>
      <c r="FA139" s="125"/>
      <c r="FB139" s="125"/>
      <c r="FC139" s="125"/>
      <c r="FD139" s="125"/>
      <c r="FE139" s="125"/>
      <c r="FF139" s="125"/>
      <c r="FG139" s="125"/>
      <c r="FH139" s="125"/>
      <c r="FI139" s="125"/>
      <c r="FJ139" s="125"/>
      <c r="FK139" s="125"/>
      <c r="FL139" s="125"/>
      <c r="FM139" s="125"/>
      <c r="FN139" s="125"/>
      <c r="FO139" s="125"/>
      <c r="FP139" s="125"/>
      <c r="FQ139" s="125"/>
      <c r="FR139" s="125"/>
      <c r="FS139" s="125"/>
      <c r="FT139" s="125"/>
      <c r="FU139" s="125"/>
      <c r="FV139" s="125"/>
      <c r="FW139" s="125"/>
      <c r="FX139" s="125"/>
      <c r="FY139" s="125"/>
      <c r="FZ139" s="125"/>
      <c r="GA139" s="125"/>
      <c r="GB139" s="125"/>
      <c r="GC139" s="125"/>
      <c r="GD139" s="125"/>
      <c r="GE139" s="125"/>
      <c r="GF139" s="125"/>
      <c r="GG139" s="125"/>
      <c r="GH139" s="125"/>
      <c r="GI139" s="125"/>
      <c r="GJ139" s="125"/>
      <c r="GK139" s="125"/>
      <c r="GL139" s="125"/>
      <c r="GM139" s="125"/>
      <c r="GN139" s="125"/>
      <c r="GO139" s="125"/>
      <c r="GP139" s="125"/>
      <c r="GQ139" s="125"/>
      <c r="GR139" s="125"/>
      <c r="GS139" s="125"/>
      <c r="GT139" s="125"/>
      <c r="GU139" s="125"/>
      <c r="GV139" s="125"/>
      <c r="GW139" s="125"/>
      <c r="GX139" s="125"/>
      <c r="GY139" s="125"/>
      <c r="GZ139" s="125"/>
      <c r="HA139" s="125"/>
      <c r="HB139" s="125"/>
      <c r="HC139" s="125"/>
      <c r="HD139" s="125"/>
      <c r="HE139" s="125"/>
      <c r="HF139" s="125"/>
      <c r="HG139" s="125"/>
      <c r="HH139" s="125"/>
      <c r="HI139" s="125"/>
      <c r="HJ139" s="125"/>
      <c r="HK139" s="125"/>
      <c r="HL139" s="125"/>
      <c r="HM139" s="125"/>
      <c r="HN139" s="125"/>
      <c r="HO139" s="125"/>
      <c r="HP139" s="125"/>
      <c r="HQ139" s="125"/>
      <c r="HR139" s="125"/>
      <c r="HS139" s="125"/>
      <c r="HT139" s="125"/>
      <c r="HU139" s="125"/>
      <c r="HV139" s="125"/>
      <c r="HW139" s="125"/>
      <c r="HX139" s="125"/>
      <c r="HY139" s="125"/>
      <c r="HZ139" s="125"/>
      <c r="IA139" s="125"/>
      <c r="IB139" s="125"/>
      <c r="IC139" s="125"/>
      <c r="ID139" s="125"/>
      <c r="IE139" s="125"/>
      <c r="IF139" s="125"/>
      <c r="IG139" s="125"/>
      <c r="IH139" s="125"/>
      <c r="II139" s="125"/>
      <c r="IJ139" s="125"/>
      <c r="IK139" s="125"/>
      <c r="IL139" s="125"/>
      <c r="IM139" s="125"/>
      <c r="IN139" s="125"/>
      <c r="IO139" s="125"/>
    </row>
    <row r="140" spans="2:249">
      <c r="B140" s="136"/>
      <c r="C140" s="137" t="str">
        <f>C31</f>
        <v>Residential Qualification</v>
      </c>
      <c r="D140" s="107" t="str">
        <f>IF(D32="Y",$C$32,IF(D33="Y",$C$33,IF(D34="Y",$C$34,IF(D35="Y",$C$35,IF(D36="Y",$C$36,"ERROR")))))</f>
        <v>AU citizen</v>
      </c>
      <c r="E140" s="107" t="str">
        <f t="shared" ref="E140:AK140" si="10">IF(E32="Y",$C$32,IF(E33="Y",$C$33,IF(E34="Y",$C$34,IF(E35="Y",$C$35,IF(E36="Y",$C$36,"ERROR")))))</f>
        <v>AU citizen</v>
      </c>
      <c r="F140" s="107" t="str">
        <f t="shared" si="10"/>
        <v>AU citizen</v>
      </c>
      <c r="G140" s="107" t="str">
        <f t="shared" si="10"/>
        <v>AU citizen</v>
      </c>
      <c r="H140" s="107" t="str">
        <f t="shared" si="10"/>
        <v>AU citizen</v>
      </c>
      <c r="I140" s="107" t="str">
        <f t="shared" si="10"/>
        <v>AU citizen</v>
      </c>
      <c r="J140" s="107" t="str">
        <f t="shared" si="10"/>
        <v>AU citizen</v>
      </c>
      <c r="K140" s="107" t="str">
        <f t="shared" si="10"/>
        <v>AU citizen</v>
      </c>
      <c r="L140" s="107" t="str">
        <f t="shared" si="10"/>
        <v>AU citizen</v>
      </c>
      <c r="M140" s="107" t="str">
        <f t="shared" si="10"/>
        <v>AU citizen</v>
      </c>
      <c r="N140" s="107" t="str">
        <f t="shared" si="10"/>
        <v>AU citizen</v>
      </c>
      <c r="O140" s="107" t="str">
        <f t="shared" si="10"/>
        <v>AU citizen</v>
      </c>
      <c r="P140" s="107" t="str">
        <f t="shared" si="10"/>
        <v>AU citizen</v>
      </c>
      <c r="Q140" s="107" t="str">
        <f t="shared" si="10"/>
        <v>AU citizen</v>
      </c>
      <c r="R140" s="107" t="str">
        <f t="shared" si="10"/>
        <v>AU citizen</v>
      </c>
      <c r="S140" s="107" t="str">
        <f t="shared" si="10"/>
        <v>AU citizen</v>
      </c>
      <c r="T140" s="107" t="str">
        <f t="shared" si="10"/>
        <v>AU citizen</v>
      </c>
      <c r="U140" s="107" t="str">
        <f t="shared" si="10"/>
        <v>AU citizen</v>
      </c>
      <c r="V140" s="107" t="str">
        <f t="shared" si="10"/>
        <v>AU citizen</v>
      </c>
      <c r="W140" s="107" t="str">
        <f t="shared" si="10"/>
        <v>AU citizen</v>
      </c>
      <c r="X140" s="107" t="str">
        <f t="shared" si="10"/>
        <v>AU citizen</v>
      </c>
      <c r="Y140" s="107" t="str">
        <f t="shared" si="10"/>
        <v>AU citizen</v>
      </c>
      <c r="Z140" s="107" t="str">
        <f t="shared" si="10"/>
        <v>AU citizen</v>
      </c>
      <c r="AA140" s="107" t="str">
        <f t="shared" si="10"/>
        <v>AU citizen</v>
      </c>
      <c r="AB140" s="107" t="str">
        <f t="shared" si="10"/>
        <v>AU citizen</v>
      </c>
      <c r="AC140" s="107" t="str">
        <f t="shared" si="10"/>
        <v>AU citizen</v>
      </c>
      <c r="AD140" s="107" t="str">
        <f t="shared" si="10"/>
        <v>AU citizen</v>
      </c>
      <c r="AE140" s="107" t="str">
        <f t="shared" si="10"/>
        <v>AU citizen</v>
      </c>
      <c r="AF140" s="107" t="str">
        <f t="shared" si="10"/>
        <v>Spouse/Partner Visa Class</v>
      </c>
      <c r="AG140" s="107" t="str">
        <f t="shared" si="10"/>
        <v>Temporary Visa Class</v>
      </c>
      <c r="AH140" s="107" t="str">
        <f t="shared" si="10"/>
        <v>AU citizen</v>
      </c>
      <c r="AI140" s="107" t="str">
        <f t="shared" si="10"/>
        <v>AU citizen</v>
      </c>
      <c r="AJ140" s="107" t="str">
        <f t="shared" si="10"/>
        <v>Temporary Visa Class</v>
      </c>
      <c r="AK140" s="107" t="str">
        <f t="shared" si="10"/>
        <v>Spouse/Partner Visa Class</v>
      </c>
      <c r="AL140" s="107"/>
      <c r="AM140" s="107"/>
      <c r="AN140" s="107"/>
      <c r="AO140" s="107"/>
      <c r="AP140" s="107"/>
      <c r="AQ140" s="107"/>
      <c r="AR140" s="107"/>
      <c r="AS140" s="107"/>
      <c r="AT140" s="107"/>
      <c r="AU140" s="107"/>
      <c r="AV140" s="107"/>
      <c r="AW140" s="107"/>
      <c r="AX140" s="107"/>
      <c r="AY140" s="107"/>
      <c r="AZ140" s="107"/>
      <c r="BA140" s="107"/>
      <c r="BB140" s="107"/>
      <c r="BC140" s="107"/>
      <c r="BD140" s="107"/>
      <c r="BE140" s="107"/>
      <c r="BF140" s="107"/>
      <c r="BG140" s="107"/>
      <c r="BH140" s="107"/>
      <c r="BI140" s="107"/>
      <c r="BJ140" s="107"/>
      <c r="BK140" s="107"/>
      <c r="BL140" s="107"/>
      <c r="BM140" s="107"/>
      <c r="BN140" s="107"/>
      <c r="BO140" s="107"/>
      <c r="BP140" s="107"/>
      <c r="BQ140" s="107"/>
      <c r="BR140" s="107"/>
      <c r="BS140" s="107"/>
      <c r="BT140" s="107"/>
      <c r="BU140" s="107"/>
      <c r="BV140" s="107"/>
      <c r="BW140" s="107"/>
      <c r="BX140" s="107"/>
      <c r="BY140" s="107"/>
      <c r="BZ140" s="107"/>
      <c r="CA140" s="107"/>
      <c r="CB140" s="107"/>
      <c r="CC140" s="107"/>
      <c r="CD140" s="107"/>
      <c r="CE140" s="107"/>
      <c r="CF140" s="107"/>
      <c r="CG140" s="107"/>
      <c r="CH140" s="107"/>
      <c r="CI140" s="107"/>
      <c r="CJ140" s="107"/>
      <c r="CK140" s="107"/>
      <c r="CL140" s="107"/>
      <c r="CM140" s="107"/>
      <c r="CN140" s="107"/>
      <c r="CO140" s="107"/>
      <c r="CP140" s="107"/>
      <c r="CQ140" s="107"/>
      <c r="CR140" s="107"/>
      <c r="CS140" s="107"/>
      <c r="CT140" s="107"/>
      <c r="CU140" s="107"/>
      <c r="CV140" s="107"/>
      <c r="CW140" s="107"/>
      <c r="CX140" s="107"/>
      <c r="CY140" s="107"/>
      <c r="CZ140" s="107"/>
      <c r="DA140" s="107"/>
      <c r="DB140" s="107"/>
      <c r="DC140" s="107"/>
      <c r="DD140" s="107"/>
      <c r="DE140" s="107"/>
      <c r="DF140" s="107"/>
      <c r="DG140" s="107"/>
      <c r="DH140" s="107"/>
      <c r="DI140" s="107"/>
      <c r="DJ140" s="107"/>
      <c r="DK140" s="107"/>
      <c r="DL140" s="107"/>
      <c r="DM140" s="107"/>
      <c r="DN140" s="107"/>
      <c r="DO140" s="107"/>
      <c r="DP140" s="107"/>
      <c r="DQ140" s="107"/>
      <c r="DR140" s="107"/>
      <c r="DS140" s="107"/>
      <c r="DT140" s="107"/>
      <c r="DU140" s="107"/>
      <c r="DV140" s="107"/>
      <c r="DW140" s="107"/>
      <c r="DX140" s="107"/>
      <c r="DY140" s="107"/>
      <c r="DZ140" s="107"/>
      <c r="EA140" s="107"/>
      <c r="EB140" s="107"/>
      <c r="EC140" s="107"/>
      <c r="ED140" s="107"/>
      <c r="EE140" s="107"/>
      <c r="EF140" s="107"/>
      <c r="EG140" s="107"/>
      <c r="EH140" s="107"/>
      <c r="EI140" s="107"/>
      <c r="EJ140" s="107"/>
      <c r="EK140" s="107"/>
      <c r="EL140" s="107"/>
      <c r="EM140" s="107"/>
      <c r="EN140" s="107"/>
      <c r="EO140" s="107"/>
      <c r="EP140" s="107"/>
      <c r="EQ140" s="107"/>
      <c r="ER140" s="107"/>
      <c r="ES140" s="107"/>
      <c r="ET140" s="107"/>
      <c r="EU140" s="107"/>
      <c r="EV140" s="107"/>
      <c r="EW140" s="107"/>
      <c r="EX140" s="107"/>
      <c r="EY140" s="107"/>
      <c r="EZ140" s="107"/>
      <c r="FA140" s="107"/>
      <c r="FB140" s="107"/>
      <c r="FC140" s="107"/>
      <c r="FD140" s="107"/>
      <c r="FE140" s="107"/>
      <c r="FF140" s="107"/>
      <c r="FG140" s="107"/>
      <c r="FH140" s="107"/>
      <c r="FI140" s="107"/>
      <c r="FJ140" s="107"/>
      <c r="FK140" s="107"/>
      <c r="FL140" s="107"/>
      <c r="FM140" s="107"/>
      <c r="FN140" s="107"/>
      <c r="FO140" s="107"/>
      <c r="FP140" s="107"/>
      <c r="FQ140" s="107"/>
      <c r="FR140" s="107"/>
      <c r="FS140" s="107"/>
      <c r="FT140" s="107"/>
      <c r="FU140" s="107"/>
      <c r="FV140" s="107"/>
      <c r="FW140" s="107"/>
      <c r="FX140" s="107"/>
      <c r="FY140" s="107"/>
      <c r="FZ140" s="107"/>
      <c r="GA140" s="107"/>
      <c r="GB140" s="107"/>
      <c r="GC140" s="107"/>
      <c r="GD140" s="107"/>
      <c r="GE140" s="107"/>
      <c r="GF140" s="107"/>
      <c r="GG140" s="107"/>
      <c r="GH140" s="107"/>
      <c r="GI140" s="107"/>
      <c r="GJ140" s="107"/>
      <c r="GK140" s="107"/>
      <c r="GL140" s="107"/>
      <c r="GM140" s="107"/>
      <c r="GN140" s="107"/>
      <c r="GO140" s="107"/>
      <c r="GP140" s="107"/>
      <c r="GQ140" s="107"/>
      <c r="GR140" s="107"/>
      <c r="GS140" s="107"/>
      <c r="GT140" s="107"/>
      <c r="GU140" s="107"/>
      <c r="GV140" s="107"/>
      <c r="GW140" s="107"/>
      <c r="GX140" s="107"/>
      <c r="GY140" s="107"/>
      <c r="GZ140" s="107"/>
      <c r="HA140" s="107"/>
      <c r="HB140" s="107"/>
      <c r="HC140" s="107"/>
      <c r="HD140" s="107"/>
      <c r="HE140" s="107"/>
      <c r="HF140" s="107"/>
      <c r="HG140" s="107"/>
      <c r="HH140" s="107"/>
      <c r="HI140" s="107"/>
      <c r="HJ140" s="107"/>
      <c r="HK140" s="107"/>
      <c r="HL140" s="107"/>
      <c r="HM140" s="107"/>
      <c r="HN140" s="107"/>
      <c r="HO140" s="107"/>
      <c r="HP140" s="107"/>
      <c r="HQ140" s="107"/>
      <c r="HR140" s="107"/>
      <c r="HS140" s="107"/>
      <c r="HT140" s="107"/>
      <c r="HU140" s="107"/>
      <c r="HV140" s="107"/>
      <c r="HW140" s="107"/>
      <c r="HX140" s="107"/>
      <c r="HY140" s="107"/>
      <c r="HZ140" s="107"/>
      <c r="IA140" s="107"/>
      <c r="IB140" s="107"/>
      <c r="IC140" s="107"/>
      <c r="ID140" s="107"/>
      <c r="IE140" s="107"/>
      <c r="IF140" s="107"/>
      <c r="IG140" s="107"/>
      <c r="IH140" s="107"/>
      <c r="II140" s="107"/>
      <c r="IJ140" s="107"/>
      <c r="IK140" s="107"/>
      <c r="IL140" s="107"/>
      <c r="IM140" s="107"/>
      <c r="IN140" s="107"/>
      <c r="IO140" s="107"/>
    </row>
    <row r="141" spans="2:249">
      <c r="B141" s="135" t="s">
        <v>452</v>
      </c>
      <c r="C141" s="135"/>
      <c r="D141" s="129"/>
      <c r="E141" s="129"/>
      <c r="F141" s="129"/>
      <c r="G141" s="129"/>
      <c r="H141" s="129"/>
      <c r="I141" s="129"/>
      <c r="J141" s="129"/>
      <c r="K141" s="129"/>
      <c r="L141" s="129"/>
      <c r="M141" s="129"/>
      <c r="N141" s="129"/>
      <c r="O141" s="129"/>
      <c r="P141" s="129"/>
      <c r="Q141" s="129"/>
      <c r="R141" s="129"/>
      <c r="S141" s="129"/>
      <c r="T141" s="129"/>
      <c r="U141" s="129"/>
      <c r="V141" s="129"/>
      <c r="W141" s="129"/>
      <c r="X141" s="129"/>
      <c r="Y141" s="129"/>
      <c r="Z141" s="129"/>
      <c r="AA141" s="129"/>
      <c r="AB141" s="129"/>
      <c r="AC141" s="129"/>
      <c r="AD141" s="129"/>
      <c r="AE141" s="129"/>
      <c r="AF141" s="129"/>
      <c r="AG141" s="129"/>
      <c r="AH141" s="129"/>
      <c r="AI141" s="129"/>
      <c r="AJ141" s="129"/>
      <c r="AK141" s="129"/>
      <c r="AL141" s="129"/>
      <c r="AM141" s="129"/>
      <c r="AN141" s="129"/>
      <c r="AO141" s="129"/>
      <c r="AP141" s="129"/>
      <c r="AQ141" s="129"/>
      <c r="AR141" s="129"/>
      <c r="AS141" s="129"/>
      <c r="AT141" s="129"/>
      <c r="AU141" s="129"/>
      <c r="AV141" s="129"/>
      <c r="AW141" s="129"/>
      <c r="AX141" s="129"/>
      <c r="AY141" s="129"/>
      <c r="AZ141" s="129"/>
      <c r="BA141" s="129"/>
      <c r="BB141" s="129"/>
      <c r="BC141" s="129"/>
      <c r="BD141" s="129"/>
      <c r="BE141" s="129"/>
      <c r="BF141" s="129"/>
      <c r="BG141" s="129"/>
      <c r="BH141" s="129"/>
      <c r="BI141" s="129"/>
      <c r="BJ141" s="129"/>
      <c r="BK141" s="129"/>
      <c r="BL141" s="129"/>
      <c r="BM141" s="129"/>
      <c r="BN141" s="129"/>
      <c r="BO141" s="129"/>
      <c r="BP141" s="129"/>
      <c r="BQ141" s="129"/>
      <c r="BR141" s="129"/>
      <c r="BS141" s="129"/>
      <c r="BT141" s="129"/>
      <c r="BU141" s="129"/>
      <c r="BV141" s="129"/>
      <c r="BW141" s="129"/>
      <c r="BX141" s="129"/>
      <c r="BY141" s="129"/>
      <c r="BZ141" s="129"/>
      <c r="CA141" s="129"/>
      <c r="CB141" s="129"/>
      <c r="CC141" s="129"/>
      <c r="CD141" s="129"/>
      <c r="CE141" s="129"/>
      <c r="CF141" s="129"/>
      <c r="CG141" s="129"/>
      <c r="CH141" s="129"/>
      <c r="CI141" s="129"/>
      <c r="CJ141" s="129"/>
      <c r="CK141" s="129"/>
      <c r="CL141" s="129"/>
      <c r="CM141" s="129"/>
      <c r="CN141" s="129"/>
      <c r="CO141" s="129"/>
      <c r="CP141" s="129"/>
      <c r="CQ141" s="129"/>
      <c r="CR141" s="129"/>
      <c r="CS141" s="129"/>
      <c r="CT141" s="129"/>
      <c r="CU141" s="129"/>
      <c r="CV141" s="129"/>
      <c r="CW141" s="129"/>
      <c r="CX141" s="129"/>
      <c r="CY141" s="129"/>
      <c r="CZ141" s="129"/>
      <c r="DA141" s="129"/>
      <c r="DB141" s="129"/>
      <c r="DC141" s="129"/>
      <c r="DD141" s="129"/>
      <c r="DE141" s="129"/>
      <c r="DF141" s="129"/>
      <c r="DG141" s="129"/>
      <c r="DH141" s="129"/>
      <c r="DI141" s="129"/>
      <c r="DJ141" s="129"/>
      <c r="DK141" s="129"/>
      <c r="DL141" s="129"/>
      <c r="DM141" s="129"/>
      <c r="DN141" s="129"/>
      <c r="DO141" s="129"/>
      <c r="DP141" s="129"/>
      <c r="DQ141" s="129"/>
      <c r="DR141" s="129"/>
      <c r="DS141" s="129"/>
      <c r="DT141" s="129"/>
      <c r="DU141" s="129"/>
      <c r="DV141" s="129"/>
      <c r="DW141" s="129"/>
      <c r="DX141" s="129"/>
      <c r="DY141" s="129"/>
      <c r="DZ141" s="129"/>
      <c r="EA141" s="129"/>
      <c r="EB141" s="129"/>
      <c r="EC141" s="129"/>
      <c r="ED141" s="129"/>
      <c r="EE141" s="129"/>
      <c r="EF141" s="129"/>
      <c r="EG141" s="129"/>
      <c r="EH141" s="129"/>
      <c r="EI141" s="129"/>
      <c r="EJ141" s="129"/>
      <c r="EK141" s="129"/>
      <c r="EL141" s="129"/>
      <c r="EM141" s="129"/>
      <c r="EN141" s="129"/>
      <c r="EO141" s="129"/>
      <c r="EP141" s="129"/>
      <c r="EQ141" s="129"/>
      <c r="ER141" s="129"/>
      <c r="ES141" s="129"/>
      <c r="ET141" s="129"/>
      <c r="EU141" s="129"/>
      <c r="EV141" s="129"/>
      <c r="EW141" s="129"/>
      <c r="EX141" s="129"/>
      <c r="EY141" s="129"/>
      <c r="EZ141" s="129"/>
      <c r="FA141" s="129"/>
      <c r="FB141" s="129"/>
      <c r="FC141" s="129"/>
      <c r="FD141" s="129"/>
      <c r="FE141" s="129"/>
      <c r="FF141" s="129"/>
      <c r="FG141" s="129"/>
      <c r="FH141" s="129"/>
      <c r="FI141" s="129"/>
      <c r="FJ141" s="129"/>
      <c r="FK141" s="129"/>
      <c r="FL141" s="129"/>
      <c r="FM141" s="129"/>
      <c r="FN141" s="129"/>
      <c r="FO141" s="129"/>
      <c r="FP141" s="129"/>
      <c r="FQ141" s="129"/>
      <c r="FR141" s="129"/>
      <c r="FS141" s="129"/>
      <c r="FT141" s="129"/>
      <c r="FU141" s="129"/>
      <c r="FV141" s="129"/>
      <c r="FW141" s="129"/>
      <c r="FX141" s="129"/>
      <c r="FY141" s="129"/>
      <c r="FZ141" s="129"/>
      <c r="GA141" s="129"/>
      <c r="GB141" s="129"/>
      <c r="GC141" s="129"/>
      <c r="GD141" s="129"/>
      <c r="GE141" s="129"/>
      <c r="GF141" s="129"/>
      <c r="GG141" s="129"/>
      <c r="GH141" s="129"/>
      <c r="GI141" s="129"/>
      <c r="GJ141" s="129"/>
      <c r="GK141" s="129"/>
      <c r="GL141" s="129"/>
      <c r="GM141" s="129"/>
      <c r="GN141" s="129"/>
      <c r="GO141" s="129"/>
      <c r="GP141" s="129"/>
      <c r="GQ141" s="129"/>
      <c r="GR141" s="129"/>
      <c r="GS141" s="129"/>
      <c r="GT141" s="129"/>
      <c r="GU141" s="129"/>
      <c r="GV141" s="129"/>
      <c r="GW141" s="129"/>
      <c r="GX141" s="129"/>
      <c r="GY141" s="129"/>
      <c r="GZ141" s="129"/>
      <c r="HA141" s="129"/>
      <c r="HB141" s="129"/>
      <c r="HC141" s="129"/>
      <c r="HD141" s="129"/>
      <c r="HE141" s="129"/>
      <c r="HF141" s="129"/>
      <c r="HG141" s="129"/>
      <c r="HH141" s="129"/>
      <c r="HI141" s="129"/>
      <c r="HJ141" s="129"/>
      <c r="HK141" s="129"/>
      <c r="HL141" s="129"/>
      <c r="HM141" s="129"/>
      <c r="HN141" s="129"/>
      <c r="HO141" s="129"/>
      <c r="HP141" s="129"/>
      <c r="HQ141" s="129"/>
      <c r="HR141" s="129"/>
      <c r="HS141" s="129"/>
      <c r="HT141" s="129"/>
      <c r="HU141" s="129"/>
      <c r="HV141" s="129"/>
      <c r="HW141" s="129"/>
      <c r="HX141" s="129"/>
      <c r="HY141" s="129"/>
      <c r="HZ141" s="129"/>
      <c r="IA141" s="129"/>
      <c r="IB141" s="129"/>
      <c r="IC141" s="129"/>
      <c r="ID141" s="129"/>
      <c r="IE141" s="129"/>
      <c r="IF141" s="129"/>
      <c r="IG141" s="129"/>
      <c r="IH141" s="129"/>
      <c r="II141" s="129"/>
      <c r="IJ141" s="129"/>
      <c r="IK141" s="129"/>
      <c r="IL141" s="129"/>
      <c r="IM141" s="129"/>
      <c r="IN141" s="129"/>
      <c r="IO141" s="129"/>
    </row>
    <row r="142" spans="2:249">
      <c r="B142" s="136"/>
      <c r="C142" s="137" t="str">
        <f>C37</f>
        <v>TFN details</v>
      </c>
      <c r="D142" s="107" t="str">
        <f>IF(D38="Y",$C$38,IF(D39="Y",$C$39,IF(D40="Y",$C$40,IF(D41="Y",$C$41,$D$38))))</f>
        <v>Coded</v>
      </c>
      <c r="E142" s="107" t="str">
        <f t="shared" ref="E142:AK142" si="11">IF(E38="Y",$C$38,IF(E39="Y",$C$39,IF(E40="Y",$C$40,IF(E41="Y",$C$41,$D$38))))</f>
        <v>Coded</v>
      </c>
      <c r="F142" s="107" t="str">
        <f t="shared" si="11"/>
        <v>Coded</v>
      </c>
      <c r="G142" s="107" t="str">
        <f t="shared" si="11"/>
        <v>Coded Exemption - PVI</v>
      </c>
      <c r="H142" s="107" t="str">
        <f t="shared" si="11"/>
        <v>Coded Exemption - PUC</v>
      </c>
      <c r="I142" s="107" t="str">
        <f t="shared" si="11"/>
        <v>Not Coded</v>
      </c>
      <c r="J142" s="107" t="str">
        <f t="shared" si="11"/>
        <v>Coded</v>
      </c>
      <c r="K142" s="107" t="str">
        <f t="shared" si="11"/>
        <v>Coded Exemption - PVI</v>
      </c>
      <c r="L142" s="107" t="str">
        <f t="shared" si="11"/>
        <v>Coded Exemption - PUC</v>
      </c>
      <c r="M142" s="107" t="str">
        <f t="shared" si="11"/>
        <v>Not Coded</v>
      </c>
      <c r="N142" s="107" t="str">
        <f t="shared" si="11"/>
        <v>Coded</v>
      </c>
      <c r="O142" s="107" t="str">
        <f t="shared" si="11"/>
        <v>Coded</v>
      </c>
      <c r="P142" s="107" t="str">
        <f t="shared" si="11"/>
        <v>Coded</v>
      </c>
      <c r="Q142" s="107" t="str">
        <f t="shared" si="11"/>
        <v>Coded</v>
      </c>
      <c r="R142" s="107" t="str">
        <f t="shared" si="11"/>
        <v>Coded</v>
      </c>
      <c r="S142" s="107" t="str">
        <f t="shared" si="11"/>
        <v>Coded</v>
      </c>
      <c r="T142" s="107" t="str">
        <f t="shared" si="11"/>
        <v>Coded</v>
      </c>
      <c r="U142" s="107" t="str">
        <f t="shared" si="11"/>
        <v>Coded</v>
      </c>
      <c r="V142" s="107" t="str">
        <f t="shared" si="11"/>
        <v>Coded</v>
      </c>
      <c r="W142" s="107" t="str">
        <f t="shared" si="11"/>
        <v>Coded</v>
      </c>
      <c r="X142" s="107" t="str">
        <f t="shared" si="11"/>
        <v>Coded</v>
      </c>
      <c r="Y142" s="107" t="str">
        <f t="shared" si="11"/>
        <v>Coded</v>
      </c>
      <c r="Z142" s="107" t="str">
        <f t="shared" si="11"/>
        <v>Coded</v>
      </c>
      <c r="AA142" s="107" t="str">
        <f t="shared" si="11"/>
        <v>Coded</v>
      </c>
      <c r="AB142" s="107" t="str">
        <f t="shared" si="11"/>
        <v>Coded</v>
      </c>
      <c r="AC142" s="107" t="str">
        <f t="shared" si="11"/>
        <v>Coded</v>
      </c>
      <c r="AD142" s="107" t="str">
        <f t="shared" si="11"/>
        <v>Coded</v>
      </c>
      <c r="AE142" s="107" t="str">
        <f t="shared" si="11"/>
        <v>Coded</v>
      </c>
      <c r="AF142" s="107" t="str">
        <f t="shared" si="11"/>
        <v>Coded</v>
      </c>
      <c r="AG142" s="107" t="str">
        <f t="shared" si="11"/>
        <v>Coded</v>
      </c>
      <c r="AH142" s="107" t="str">
        <f t="shared" si="11"/>
        <v>Coded</v>
      </c>
      <c r="AI142" s="107" t="str">
        <f t="shared" si="11"/>
        <v>Coded</v>
      </c>
      <c r="AJ142" s="107" t="str">
        <f t="shared" si="11"/>
        <v>Coded</v>
      </c>
      <c r="AK142" s="107" t="str">
        <f t="shared" si="11"/>
        <v>Coded</v>
      </c>
      <c r="AL142" s="107"/>
      <c r="AM142" s="107"/>
      <c r="AN142" s="107"/>
      <c r="AO142" s="107"/>
      <c r="AP142" s="107"/>
      <c r="AQ142" s="107"/>
      <c r="AR142" s="107"/>
      <c r="AS142" s="107"/>
      <c r="AT142" s="107"/>
      <c r="AU142" s="107"/>
      <c r="AV142" s="107"/>
      <c r="AW142" s="107"/>
      <c r="AX142" s="107"/>
      <c r="AY142" s="107"/>
      <c r="AZ142" s="107"/>
      <c r="BA142" s="107"/>
      <c r="BB142" s="107"/>
      <c r="BC142" s="107"/>
      <c r="BD142" s="107"/>
      <c r="BE142" s="107"/>
      <c r="BF142" s="107"/>
      <c r="BG142" s="107"/>
      <c r="BH142" s="107"/>
      <c r="BI142" s="107"/>
      <c r="BJ142" s="107"/>
      <c r="BK142" s="107"/>
      <c r="BL142" s="107"/>
      <c r="BM142" s="107"/>
      <c r="BN142" s="107"/>
      <c r="BO142" s="107"/>
      <c r="BP142" s="107"/>
      <c r="BQ142" s="107"/>
      <c r="BR142" s="107"/>
      <c r="BS142" s="107"/>
      <c r="BT142" s="107"/>
      <c r="BU142" s="107"/>
      <c r="BV142" s="107"/>
      <c r="BW142" s="107"/>
      <c r="BX142" s="107"/>
      <c r="BY142" s="107"/>
      <c r="BZ142" s="107"/>
      <c r="CA142" s="107"/>
      <c r="CB142" s="107"/>
      <c r="CC142" s="107"/>
      <c r="CD142" s="107"/>
      <c r="CE142" s="107"/>
      <c r="CF142" s="107"/>
      <c r="CG142" s="107"/>
      <c r="CH142" s="107"/>
      <c r="CI142" s="107"/>
      <c r="CJ142" s="107"/>
      <c r="CK142" s="107"/>
      <c r="CL142" s="107"/>
      <c r="CM142" s="107"/>
      <c r="CN142" s="107"/>
      <c r="CO142" s="107"/>
      <c r="CP142" s="107"/>
      <c r="CQ142" s="107"/>
      <c r="CR142" s="107"/>
      <c r="CS142" s="107"/>
      <c r="CT142" s="107"/>
      <c r="CU142" s="107"/>
      <c r="CV142" s="107"/>
      <c r="CW142" s="107"/>
      <c r="CX142" s="107"/>
      <c r="CY142" s="107"/>
      <c r="CZ142" s="107"/>
      <c r="DA142" s="107"/>
      <c r="DB142" s="107"/>
      <c r="DC142" s="107"/>
      <c r="DD142" s="107"/>
      <c r="DE142" s="107"/>
      <c r="DF142" s="107"/>
      <c r="DG142" s="107"/>
      <c r="DH142" s="107"/>
      <c r="DI142" s="107"/>
      <c r="DJ142" s="107"/>
      <c r="DK142" s="107"/>
      <c r="DL142" s="107"/>
      <c r="DM142" s="107"/>
      <c r="DN142" s="107"/>
      <c r="DO142" s="107"/>
      <c r="DP142" s="107"/>
      <c r="DQ142" s="107"/>
      <c r="DR142" s="107"/>
      <c r="DS142" s="107"/>
      <c r="DT142" s="107"/>
      <c r="DU142" s="107"/>
      <c r="DV142" s="107"/>
      <c r="DW142" s="107"/>
      <c r="DX142" s="107"/>
      <c r="DY142" s="107"/>
      <c r="DZ142" s="107"/>
      <c r="EA142" s="107"/>
      <c r="EB142" s="107"/>
      <c r="EC142" s="107"/>
      <c r="ED142" s="107"/>
      <c r="EE142" s="107"/>
      <c r="EF142" s="107"/>
      <c r="EG142" s="107"/>
      <c r="EH142" s="107"/>
      <c r="EI142" s="107"/>
      <c r="EJ142" s="107"/>
      <c r="EK142" s="107"/>
      <c r="EL142" s="107"/>
      <c r="EM142" s="107"/>
      <c r="EN142" s="107"/>
      <c r="EO142" s="107"/>
      <c r="EP142" s="107"/>
      <c r="EQ142" s="107"/>
      <c r="ER142" s="107"/>
      <c r="ES142" s="107"/>
      <c r="ET142" s="107"/>
      <c r="EU142" s="107"/>
      <c r="EV142" s="107"/>
      <c r="EW142" s="107"/>
      <c r="EX142" s="107"/>
      <c r="EY142" s="107"/>
      <c r="EZ142" s="107"/>
      <c r="FA142" s="107"/>
      <c r="FB142" s="107"/>
      <c r="FC142" s="107"/>
      <c r="FD142" s="107"/>
      <c r="FE142" s="107"/>
      <c r="FF142" s="107"/>
      <c r="FG142" s="107"/>
      <c r="FH142" s="107"/>
      <c r="FI142" s="107"/>
      <c r="FJ142" s="107"/>
      <c r="FK142" s="107"/>
      <c r="FL142" s="107"/>
      <c r="FM142" s="107"/>
      <c r="FN142" s="107"/>
      <c r="FO142" s="107"/>
      <c r="FP142" s="107"/>
      <c r="FQ142" s="107"/>
      <c r="FR142" s="107"/>
      <c r="FS142" s="107"/>
      <c r="FT142" s="107"/>
      <c r="FU142" s="107"/>
      <c r="FV142" s="107"/>
      <c r="FW142" s="107"/>
      <c r="FX142" s="107"/>
      <c r="FY142" s="107"/>
      <c r="FZ142" s="107"/>
      <c r="GA142" s="107"/>
      <c r="GB142" s="107"/>
      <c r="GC142" s="107"/>
      <c r="GD142" s="107"/>
      <c r="GE142" s="107"/>
      <c r="GF142" s="107"/>
      <c r="GG142" s="107"/>
      <c r="GH142" s="107"/>
      <c r="GI142" s="107"/>
      <c r="GJ142" s="107"/>
      <c r="GK142" s="107"/>
      <c r="GL142" s="107"/>
      <c r="GM142" s="107"/>
      <c r="GN142" s="107"/>
      <c r="GO142" s="107"/>
      <c r="GP142" s="107"/>
      <c r="GQ142" s="107"/>
      <c r="GR142" s="107"/>
      <c r="GS142" s="107"/>
      <c r="GT142" s="107"/>
      <c r="GU142" s="107"/>
      <c r="GV142" s="107"/>
      <c r="GW142" s="107"/>
      <c r="GX142" s="107"/>
      <c r="GY142" s="107"/>
      <c r="GZ142" s="107"/>
      <c r="HA142" s="107"/>
      <c r="HB142" s="107"/>
      <c r="HC142" s="107"/>
      <c r="HD142" s="107"/>
      <c r="HE142" s="107"/>
      <c r="HF142" s="107"/>
      <c r="HG142" s="107"/>
      <c r="HH142" s="107"/>
      <c r="HI142" s="107"/>
      <c r="HJ142" s="107"/>
      <c r="HK142" s="107"/>
      <c r="HL142" s="107"/>
      <c r="HM142" s="107"/>
      <c r="HN142" s="107"/>
      <c r="HO142" s="107"/>
      <c r="HP142" s="107"/>
      <c r="HQ142" s="107"/>
      <c r="HR142" s="107"/>
      <c r="HS142" s="107"/>
      <c r="HT142" s="107"/>
      <c r="HU142" s="107"/>
      <c r="HV142" s="107"/>
      <c r="HW142" s="107"/>
      <c r="HX142" s="107"/>
      <c r="HY142" s="107"/>
      <c r="HZ142" s="107"/>
      <c r="IA142" s="107"/>
      <c r="IB142" s="107"/>
      <c r="IC142" s="107"/>
      <c r="ID142" s="107"/>
      <c r="IE142" s="107"/>
      <c r="IF142" s="107"/>
      <c r="IG142" s="107"/>
      <c r="IH142" s="107"/>
      <c r="II142" s="107"/>
      <c r="IJ142" s="107"/>
      <c r="IK142" s="107"/>
      <c r="IL142" s="107"/>
      <c r="IM142" s="107"/>
      <c r="IN142" s="107"/>
      <c r="IO142" s="107"/>
    </row>
    <row r="143" spans="2:249">
      <c r="B143" s="135" t="s">
        <v>453</v>
      </c>
      <c r="C143" s="135"/>
      <c r="D143" s="138"/>
      <c r="E143" s="138"/>
      <c r="F143" s="138"/>
      <c r="G143" s="138"/>
      <c r="H143" s="138"/>
      <c r="I143" s="138"/>
      <c r="J143" s="138"/>
      <c r="K143" s="138"/>
      <c r="L143" s="138"/>
      <c r="M143" s="138"/>
      <c r="N143" s="138"/>
      <c r="O143" s="138"/>
      <c r="P143" s="138"/>
      <c r="Q143" s="138"/>
      <c r="R143" s="138"/>
      <c r="S143" s="138"/>
      <c r="T143" s="138"/>
      <c r="U143" s="138"/>
      <c r="V143" s="138"/>
      <c r="W143" s="138"/>
      <c r="X143" s="138"/>
      <c r="Y143" s="138"/>
      <c r="Z143" s="138"/>
      <c r="AA143" s="138"/>
      <c r="AB143" s="138"/>
      <c r="AC143" s="138"/>
      <c r="AD143" s="138"/>
      <c r="AE143" s="138"/>
      <c r="AF143" s="138"/>
      <c r="AG143" s="138"/>
      <c r="AH143" s="138"/>
      <c r="AI143" s="138"/>
      <c r="AJ143" s="138"/>
      <c r="AK143" s="138"/>
      <c r="AL143" s="138"/>
      <c r="AM143" s="138"/>
      <c r="AN143" s="138"/>
      <c r="AO143" s="138"/>
      <c r="AP143" s="138"/>
      <c r="AQ143" s="138"/>
      <c r="AR143" s="138"/>
      <c r="AS143" s="138"/>
      <c r="AT143" s="138"/>
      <c r="AU143" s="138"/>
      <c r="AV143" s="138"/>
      <c r="AW143" s="138"/>
      <c r="AX143" s="138"/>
      <c r="AY143" s="138"/>
      <c r="AZ143" s="138"/>
      <c r="BA143" s="138"/>
      <c r="BB143" s="138"/>
      <c r="BC143" s="138"/>
      <c r="BD143" s="138"/>
      <c r="BE143" s="138"/>
      <c r="BF143" s="138"/>
      <c r="BG143" s="138"/>
      <c r="BH143" s="138"/>
      <c r="BI143" s="138"/>
      <c r="BJ143" s="138"/>
      <c r="BK143" s="138"/>
      <c r="BL143" s="138"/>
      <c r="BM143" s="138"/>
      <c r="BN143" s="138"/>
      <c r="BO143" s="138"/>
      <c r="BP143" s="138"/>
      <c r="BQ143" s="138"/>
      <c r="BR143" s="138"/>
      <c r="BS143" s="138"/>
      <c r="BT143" s="138"/>
      <c r="BU143" s="138"/>
      <c r="BV143" s="138"/>
      <c r="BW143" s="138"/>
      <c r="BX143" s="138"/>
      <c r="BY143" s="138"/>
      <c r="BZ143" s="138"/>
      <c r="CA143" s="138"/>
      <c r="CB143" s="138"/>
      <c r="CC143" s="138"/>
      <c r="CD143" s="138"/>
      <c r="CE143" s="138"/>
      <c r="CF143" s="138"/>
      <c r="CG143" s="138"/>
      <c r="CH143" s="138"/>
      <c r="CI143" s="138"/>
      <c r="CJ143" s="138"/>
      <c r="CK143" s="138"/>
      <c r="CL143" s="138"/>
      <c r="CM143" s="138"/>
      <c r="CN143" s="138"/>
      <c r="CO143" s="138"/>
      <c r="CP143" s="138"/>
      <c r="CQ143" s="138"/>
      <c r="CR143" s="138"/>
      <c r="CS143" s="138"/>
      <c r="CT143" s="138"/>
      <c r="CU143" s="138"/>
      <c r="CV143" s="138"/>
      <c r="CW143" s="138"/>
      <c r="CX143" s="138"/>
      <c r="CY143" s="138"/>
      <c r="CZ143" s="138"/>
      <c r="DA143" s="138"/>
      <c r="DB143" s="138"/>
      <c r="DC143" s="138"/>
      <c r="DD143" s="138"/>
      <c r="DE143" s="138"/>
      <c r="DF143" s="138"/>
      <c r="DG143" s="138"/>
      <c r="DH143" s="138"/>
      <c r="DI143" s="138"/>
      <c r="DJ143" s="138"/>
      <c r="DK143" s="138"/>
      <c r="DL143" s="138"/>
      <c r="DM143" s="138"/>
      <c r="DN143" s="138"/>
      <c r="DO143" s="138"/>
      <c r="DP143" s="138"/>
      <c r="DQ143" s="138"/>
      <c r="DR143" s="138"/>
      <c r="DS143" s="138"/>
      <c r="DT143" s="138"/>
      <c r="DU143" s="138"/>
      <c r="DV143" s="138"/>
      <c r="DW143" s="138"/>
      <c r="DX143" s="138"/>
      <c r="DY143" s="138"/>
      <c r="DZ143" s="138"/>
      <c r="EA143" s="138"/>
      <c r="EB143" s="138"/>
      <c r="EC143" s="138"/>
      <c r="ED143" s="138"/>
      <c r="EE143" s="138"/>
      <c r="EF143" s="138"/>
      <c r="EG143" s="138"/>
      <c r="EH143" s="138"/>
      <c r="EI143" s="138"/>
      <c r="EJ143" s="138"/>
      <c r="EK143" s="138"/>
      <c r="EL143" s="138"/>
      <c r="EM143" s="138"/>
      <c r="EN143" s="138"/>
      <c r="EO143" s="138"/>
      <c r="EP143" s="138"/>
      <c r="EQ143" s="138"/>
      <c r="ER143" s="138"/>
      <c r="ES143" s="138"/>
      <c r="ET143" s="138"/>
      <c r="EU143" s="138"/>
      <c r="EV143" s="138"/>
      <c r="EW143" s="138"/>
      <c r="EX143" s="138"/>
      <c r="EY143" s="138"/>
      <c r="EZ143" s="138"/>
      <c r="FA143" s="138"/>
      <c r="FB143" s="138"/>
      <c r="FC143" s="138"/>
      <c r="FD143" s="138"/>
      <c r="FE143" s="138"/>
      <c r="FF143" s="138"/>
      <c r="FG143" s="138"/>
      <c r="FH143" s="138"/>
      <c r="FI143" s="138"/>
      <c r="FJ143" s="138"/>
      <c r="FK143" s="138"/>
      <c r="FL143" s="138"/>
      <c r="FM143" s="138"/>
      <c r="FN143" s="138"/>
      <c r="FO143" s="138"/>
      <c r="FP143" s="138"/>
      <c r="FQ143" s="138"/>
      <c r="FR143" s="138"/>
      <c r="FS143" s="138"/>
      <c r="FT143" s="138"/>
      <c r="FU143" s="138"/>
      <c r="FV143" s="138"/>
      <c r="FW143" s="138"/>
      <c r="FX143" s="138"/>
      <c r="FY143" s="138"/>
      <c r="FZ143" s="138"/>
      <c r="GA143" s="138"/>
      <c r="GB143" s="138"/>
      <c r="GC143" s="138"/>
      <c r="GD143" s="138"/>
      <c r="GE143" s="138"/>
      <c r="GF143" s="138"/>
      <c r="GG143" s="138"/>
      <c r="GH143" s="138"/>
      <c r="GI143" s="138"/>
      <c r="GJ143" s="138"/>
      <c r="GK143" s="138"/>
      <c r="GL143" s="138"/>
      <c r="GM143" s="138"/>
      <c r="GN143" s="138"/>
      <c r="GO143" s="138"/>
      <c r="GP143" s="138"/>
      <c r="GQ143" s="138"/>
      <c r="GR143" s="138"/>
      <c r="GS143" s="138"/>
      <c r="GT143" s="138"/>
      <c r="GU143" s="138"/>
      <c r="GV143" s="138"/>
      <c r="GW143" s="138"/>
      <c r="GX143" s="138"/>
      <c r="GY143" s="138"/>
      <c r="GZ143" s="138"/>
      <c r="HA143" s="138"/>
      <c r="HB143" s="138"/>
      <c r="HC143" s="138"/>
      <c r="HD143" s="138"/>
      <c r="HE143" s="138"/>
      <c r="HF143" s="138"/>
      <c r="HG143" s="138"/>
      <c r="HH143" s="138"/>
      <c r="HI143" s="138"/>
      <c r="HJ143" s="138"/>
      <c r="HK143" s="138"/>
      <c r="HL143" s="138"/>
      <c r="HM143" s="138"/>
      <c r="HN143" s="138"/>
      <c r="HO143" s="138"/>
      <c r="HP143" s="138"/>
      <c r="HQ143" s="138"/>
      <c r="HR143" s="138"/>
      <c r="HS143" s="138"/>
      <c r="HT143" s="138"/>
      <c r="HU143" s="138"/>
      <c r="HV143" s="138"/>
      <c r="HW143" s="138"/>
      <c r="HX143" s="138"/>
      <c r="HY143" s="138"/>
      <c r="HZ143" s="138"/>
      <c r="IA143" s="138"/>
      <c r="IB143" s="138"/>
      <c r="IC143" s="138"/>
      <c r="ID143" s="138"/>
      <c r="IE143" s="138"/>
      <c r="IF143" s="138"/>
      <c r="IG143" s="138"/>
      <c r="IH143" s="138"/>
      <c r="II143" s="138"/>
      <c r="IJ143" s="138"/>
      <c r="IK143" s="138"/>
      <c r="IL143" s="138"/>
      <c r="IM143" s="138"/>
      <c r="IN143" s="138"/>
      <c r="IO143" s="138"/>
    </row>
    <row r="144" spans="2:249">
      <c r="B144" s="110"/>
      <c r="C144" s="137" t="str">
        <f>C42</f>
        <v>Primary Earner income</v>
      </c>
      <c r="D144" s="107" t="str">
        <f>IF(D43="Y",$C$43,IF(D44="Y",$C$44,$D$43))</f>
        <v>Less than $100,000</v>
      </c>
      <c r="E144" s="107" t="str">
        <f t="shared" ref="E144:AK144" si="12">IF(E43="Y",$C$43,IF(E44="Y",$C$44,$D$43))</f>
        <v>Less than $100,000</v>
      </c>
      <c r="F144" s="107" t="str">
        <f t="shared" si="12"/>
        <v>Less than $100,000</v>
      </c>
      <c r="G144" s="107" t="str">
        <f t="shared" si="12"/>
        <v>Less than $100,000</v>
      </c>
      <c r="H144" s="107" t="str">
        <f t="shared" si="12"/>
        <v>Less than $100,000</v>
      </c>
      <c r="I144" s="107" t="str">
        <f t="shared" si="12"/>
        <v>Less than $100,000</v>
      </c>
      <c r="J144" s="107" t="str">
        <f t="shared" si="12"/>
        <v>Less than $100,000</v>
      </c>
      <c r="K144" s="107" t="str">
        <f t="shared" si="12"/>
        <v>Less than $100,000</v>
      </c>
      <c r="L144" s="107" t="str">
        <f t="shared" si="12"/>
        <v>Less than $100,000</v>
      </c>
      <c r="M144" s="107" t="str">
        <f t="shared" si="12"/>
        <v>Less than $100,000</v>
      </c>
      <c r="N144" s="107" t="str">
        <f t="shared" si="12"/>
        <v>Less than $100,000</v>
      </c>
      <c r="O144" s="107" t="str">
        <f t="shared" si="12"/>
        <v>More than $100,000</v>
      </c>
      <c r="P144" s="107" t="str">
        <f t="shared" si="12"/>
        <v>Less than $100,000</v>
      </c>
      <c r="Q144" s="107" t="str">
        <f t="shared" si="12"/>
        <v>Less than $100,000</v>
      </c>
      <c r="R144" s="107" t="str">
        <f t="shared" si="12"/>
        <v>More than $100,000</v>
      </c>
      <c r="S144" s="107" t="str">
        <f t="shared" si="12"/>
        <v>Less than $100,000</v>
      </c>
      <c r="T144" s="107" t="str">
        <f t="shared" si="12"/>
        <v>Less than $100,000</v>
      </c>
      <c r="U144" s="107" t="str">
        <f t="shared" si="12"/>
        <v>Less than $100,000</v>
      </c>
      <c r="V144" s="107" t="str">
        <f t="shared" si="12"/>
        <v>Less than $100,000</v>
      </c>
      <c r="W144" s="107" t="str">
        <f t="shared" si="12"/>
        <v>Less than $100,000</v>
      </c>
      <c r="X144" s="107" t="str">
        <f t="shared" si="12"/>
        <v>Less than $100,000</v>
      </c>
      <c r="Y144" s="107" t="str">
        <f t="shared" si="12"/>
        <v>Less than $100,000</v>
      </c>
      <c r="Z144" s="107" t="str">
        <f t="shared" si="12"/>
        <v>Less than $100,000</v>
      </c>
      <c r="AA144" s="107" t="str">
        <f t="shared" si="12"/>
        <v>Less than $100,000</v>
      </c>
      <c r="AB144" s="107" t="str">
        <f t="shared" si="12"/>
        <v>Less than $100,000</v>
      </c>
      <c r="AC144" s="107" t="str">
        <f t="shared" si="12"/>
        <v>Less than $100,000</v>
      </c>
      <c r="AD144" s="107" t="str">
        <f t="shared" si="12"/>
        <v>Less than $100,000</v>
      </c>
      <c r="AE144" s="107" t="str">
        <f t="shared" si="12"/>
        <v>Less than $100,000</v>
      </c>
      <c r="AF144" s="107" t="str">
        <f t="shared" si="12"/>
        <v>Less than $100,000</v>
      </c>
      <c r="AG144" s="107" t="str">
        <f t="shared" si="12"/>
        <v>Less than $100,000</v>
      </c>
      <c r="AH144" s="107" t="str">
        <f t="shared" si="12"/>
        <v>Less than $100,000</v>
      </c>
      <c r="AI144" s="107" t="str">
        <f t="shared" si="12"/>
        <v>Less than $100,000</v>
      </c>
      <c r="AJ144" s="107" t="str">
        <f t="shared" si="12"/>
        <v>Less than $100,000</v>
      </c>
      <c r="AK144" s="107" t="str">
        <f t="shared" si="12"/>
        <v>Less than $100,000</v>
      </c>
      <c r="AL144" s="107"/>
      <c r="AM144" s="107"/>
      <c r="AN144" s="107"/>
      <c r="AO144" s="107"/>
      <c r="AP144" s="107"/>
      <c r="AQ144" s="107"/>
      <c r="AR144" s="107"/>
      <c r="AS144" s="107"/>
      <c r="AT144" s="107"/>
      <c r="AU144" s="107"/>
      <c r="AV144" s="107"/>
      <c r="AW144" s="107"/>
      <c r="AX144" s="107"/>
      <c r="AY144" s="107"/>
      <c r="AZ144" s="107"/>
      <c r="BA144" s="107"/>
      <c r="BB144" s="107"/>
      <c r="BC144" s="107"/>
      <c r="BD144" s="107"/>
      <c r="BE144" s="107"/>
      <c r="BF144" s="107"/>
      <c r="BG144" s="107"/>
      <c r="BH144" s="107"/>
      <c r="BI144" s="107"/>
      <c r="BJ144" s="107"/>
      <c r="BK144" s="107"/>
      <c r="BL144" s="107"/>
      <c r="BM144" s="107"/>
      <c r="BN144" s="107"/>
      <c r="BO144" s="107"/>
      <c r="BP144" s="107"/>
      <c r="BQ144" s="107"/>
      <c r="BR144" s="107"/>
      <c r="BS144" s="107"/>
      <c r="BT144" s="107"/>
      <c r="BU144" s="107"/>
      <c r="BV144" s="107"/>
      <c r="BW144" s="107"/>
      <c r="BX144" s="107"/>
      <c r="BY144" s="107"/>
      <c r="BZ144" s="107"/>
      <c r="CA144" s="107"/>
      <c r="CB144" s="107"/>
      <c r="CC144" s="107"/>
      <c r="CD144" s="107"/>
      <c r="CE144" s="107"/>
      <c r="CF144" s="107"/>
      <c r="CG144" s="107"/>
      <c r="CH144" s="107"/>
      <c r="CI144" s="107"/>
      <c r="CJ144" s="107"/>
      <c r="CK144" s="107"/>
      <c r="CL144" s="107"/>
      <c r="CM144" s="107"/>
      <c r="CN144" s="107"/>
      <c r="CO144" s="107"/>
      <c r="CP144" s="107"/>
      <c r="CQ144" s="107"/>
      <c r="CR144" s="107"/>
      <c r="CS144" s="107"/>
      <c r="CT144" s="107"/>
      <c r="CU144" s="107"/>
      <c r="CV144" s="107"/>
      <c r="CW144" s="107"/>
      <c r="CX144" s="107"/>
      <c r="CY144" s="107"/>
      <c r="CZ144" s="107"/>
      <c r="DA144" s="107"/>
      <c r="DB144" s="107"/>
      <c r="DC144" s="107"/>
      <c r="DD144" s="107"/>
      <c r="DE144" s="107"/>
      <c r="DF144" s="107"/>
      <c r="DG144" s="107"/>
      <c r="DH144" s="107"/>
      <c r="DI144" s="107"/>
      <c r="DJ144" s="107"/>
      <c r="DK144" s="107"/>
      <c r="DL144" s="107"/>
      <c r="DM144" s="107"/>
      <c r="DN144" s="107"/>
      <c r="DO144" s="107"/>
      <c r="DP144" s="107"/>
      <c r="DQ144" s="107"/>
      <c r="DR144" s="107"/>
      <c r="DS144" s="107"/>
      <c r="DT144" s="107"/>
      <c r="DU144" s="107"/>
      <c r="DV144" s="107"/>
      <c r="DW144" s="107"/>
      <c r="DX144" s="107"/>
      <c r="DY144" s="107"/>
      <c r="DZ144" s="107"/>
      <c r="EA144" s="107"/>
      <c r="EB144" s="107"/>
      <c r="EC144" s="107"/>
      <c r="ED144" s="107"/>
      <c r="EE144" s="107"/>
      <c r="EF144" s="107"/>
      <c r="EG144" s="107"/>
      <c r="EH144" s="107"/>
      <c r="EI144" s="107"/>
      <c r="EJ144" s="107"/>
      <c r="EK144" s="107"/>
      <c r="EL144" s="107"/>
      <c r="EM144" s="107"/>
      <c r="EN144" s="107"/>
      <c r="EO144" s="107"/>
      <c r="EP144" s="107"/>
      <c r="EQ144" s="107"/>
      <c r="ER144" s="107"/>
      <c r="ES144" s="107"/>
      <c r="ET144" s="107"/>
      <c r="EU144" s="107"/>
      <c r="EV144" s="107"/>
      <c r="EW144" s="107"/>
      <c r="EX144" s="107"/>
      <c r="EY144" s="107"/>
      <c r="EZ144" s="107"/>
      <c r="FA144" s="107"/>
      <c r="FB144" s="107"/>
      <c r="FC144" s="107"/>
      <c r="FD144" s="107"/>
      <c r="FE144" s="107"/>
      <c r="FF144" s="107"/>
      <c r="FG144" s="107"/>
      <c r="FH144" s="107"/>
      <c r="FI144" s="107"/>
      <c r="FJ144" s="107"/>
      <c r="FK144" s="107"/>
      <c r="FL144" s="107"/>
      <c r="FM144" s="107"/>
      <c r="FN144" s="107"/>
      <c r="FO144" s="107"/>
      <c r="FP144" s="107"/>
      <c r="FQ144" s="107"/>
      <c r="FR144" s="107"/>
      <c r="FS144" s="107"/>
      <c r="FT144" s="107"/>
      <c r="FU144" s="107"/>
      <c r="FV144" s="107"/>
      <c r="FW144" s="107"/>
      <c r="FX144" s="107"/>
      <c r="FY144" s="107"/>
      <c r="FZ144" s="107"/>
      <c r="GA144" s="107"/>
      <c r="GB144" s="107"/>
      <c r="GC144" s="107"/>
      <c r="GD144" s="107"/>
      <c r="GE144" s="107"/>
      <c r="GF144" s="107"/>
      <c r="GG144" s="107"/>
      <c r="GH144" s="107"/>
      <c r="GI144" s="107"/>
      <c r="GJ144" s="107"/>
      <c r="GK144" s="107"/>
      <c r="GL144" s="107"/>
      <c r="GM144" s="107"/>
      <c r="GN144" s="107"/>
      <c r="GO144" s="107"/>
      <c r="GP144" s="107"/>
      <c r="GQ144" s="107"/>
      <c r="GR144" s="107"/>
      <c r="GS144" s="107"/>
      <c r="GT144" s="107"/>
      <c r="GU144" s="107"/>
      <c r="GV144" s="107"/>
      <c r="GW144" s="107"/>
      <c r="GX144" s="107"/>
      <c r="GY144" s="107"/>
      <c r="GZ144" s="107"/>
      <c r="HA144" s="107"/>
      <c r="HB144" s="107"/>
      <c r="HC144" s="107"/>
      <c r="HD144" s="107"/>
      <c r="HE144" s="107"/>
      <c r="HF144" s="107"/>
      <c r="HG144" s="107"/>
      <c r="HH144" s="107"/>
      <c r="HI144" s="107"/>
      <c r="HJ144" s="107"/>
      <c r="HK144" s="107"/>
      <c r="HL144" s="107"/>
      <c r="HM144" s="107"/>
      <c r="HN144" s="107"/>
      <c r="HO144" s="107"/>
      <c r="HP144" s="107"/>
      <c r="HQ144" s="107"/>
      <c r="HR144" s="107"/>
      <c r="HS144" s="107"/>
      <c r="HT144" s="107"/>
      <c r="HU144" s="107"/>
      <c r="HV144" s="107"/>
      <c r="HW144" s="107"/>
      <c r="HX144" s="107"/>
      <c r="HY144" s="107"/>
      <c r="HZ144" s="107"/>
      <c r="IA144" s="107"/>
      <c r="IB144" s="107"/>
      <c r="IC144" s="107"/>
      <c r="ID144" s="107"/>
      <c r="IE144" s="107"/>
      <c r="IF144" s="107"/>
      <c r="IG144" s="107"/>
      <c r="IH144" s="107"/>
      <c r="II144" s="107"/>
      <c r="IJ144" s="107"/>
      <c r="IK144" s="107"/>
      <c r="IL144" s="107"/>
      <c r="IM144" s="107"/>
      <c r="IN144" s="107"/>
      <c r="IO144" s="107"/>
    </row>
    <row r="145" spans="2:249">
      <c r="B145" s="242" t="str">
        <f>B45</f>
        <v>Customer and Partner common circumstances</v>
      </c>
      <c r="C145" s="243"/>
      <c r="D145" s="138"/>
      <c r="E145" s="138"/>
      <c r="F145" s="138"/>
      <c r="G145" s="138"/>
      <c r="H145" s="138"/>
      <c r="I145" s="138"/>
      <c r="J145" s="138"/>
      <c r="K145" s="138"/>
      <c r="L145" s="138"/>
      <c r="M145" s="138"/>
      <c r="N145" s="138"/>
      <c r="O145" s="138"/>
      <c r="P145" s="138"/>
      <c r="Q145" s="138"/>
      <c r="R145" s="138"/>
      <c r="S145" s="138"/>
      <c r="T145" s="138"/>
      <c r="U145" s="138"/>
      <c r="V145" s="138"/>
      <c r="W145" s="138"/>
      <c r="X145" s="138"/>
      <c r="Y145" s="138"/>
      <c r="Z145" s="138"/>
      <c r="AA145" s="138"/>
      <c r="AB145" s="138"/>
      <c r="AC145" s="138"/>
      <c r="AD145" s="138"/>
      <c r="AE145" s="138"/>
      <c r="AF145" s="138"/>
      <c r="AG145" s="138"/>
      <c r="AH145" s="138"/>
      <c r="AI145" s="138"/>
      <c r="AJ145" s="138"/>
      <c r="AK145" s="138"/>
      <c r="AL145" s="138"/>
      <c r="AM145" s="138"/>
      <c r="AN145" s="138"/>
      <c r="AO145" s="138"/>
      <c r="AP145" s="138"/>
      <c r="AQ145" s="138"/>
      <c r="AR145" s="138"/>
      <c r="AS145" s="138"/>
      <c r="AT145" s="138"/>
      <c r="AU145" s="138"/>
      <c r="AV145" s="138"/>
      <c r="AW145" s="138"/>
      <c r="AX145" s="138"/>
      <c r="AY145" s="138"/>
      <c r="AZ145" s="138"/>
      <c r="BA145" s="138"/>
      <c r="BB145" s="138"/>
      <c r="BC145" s="138"/>
      <c r="BD145" s="138"/>
      <c r="BE145" s="138"/>
      <c r="BF145" s="138"/>
      <c r="BG145" s="138"/>
      <c r="BH145" s="138"/>
      <c r="BI145" s="138"/>
      <c r="BJ145" s="138"/>
      <c r="BK145" s="138"/>
      <c r="BL145" s="138"/>
      <c r="BM145" s="138"/>
      <c r="BN145" s="138"/>
      <c r="BO145" s="138"/>
      <c r="BP145" s="138"/>
      <c r="BQ145" s="138"/>
      <c r="BR145" s="138"/>
      <c r="BS145" s="138"/>
      <c r="BT145" s="138"/>
      <c r="BU145" s="138"/>
      <c r="BV145" s="138"/>
      <c r="BW145" s="138"/>
      <c r="BX145" s="138"/>
      <c r="BY145" s="138"/>
      <c r="BZ145" s="138"/>
      <c r="CA145" s="138"/>
      <c r="CB145" s="138"/>
      <c r="CC145" s="138"/>
      <c r="CD145" s="138"/>
      <c r="CE145" s="138"/>
      <c r="CF145" s="138"/>
      <c r="CG145" s="138"/>
      <c r="CH145" s="138"/>
      <c r="CI145" s="138"/>
      <c r="CJ145" s="138"/>
      <c r="CK145" s="138"/>
      <c r="CL145" s="138"/>
      <c r="CM145" s="138"/>
      <c r="CN145" s="138"/>
      <c r="CO145" s="138"/>
      <c r="CP145" s="138"/>
      <c r="CQ145" s="138"/>
      <c r="CR145" s="138"/>
      <c r="CS145" s="138"/>
      <c r="CT145" s="138"/>
      <c r="CU145" s="138"/>
      <c r="CV145" s="138"/>
      <c r="CW145" s="138"/>
      <c r="CX145" s="138"/>
      <c r="CY145" s="138"/>
      <c r="CZ145" s="138"/>
      <c r="DA145" s="138"/>
      <c r="DB145" s="138"/>
      <c r="DC145" s="138"/>
      <c r="DD145" s="138"/>
      <c r="DE145" s="138"/>
      <c r="DF145" s="138"/>
      <c r="DG145" s="138"/>
      <c r="DH145" s="138"/>
      <c r="DI145" s="138"/>
      <c r="DJ145" s="138"/>
      <c r="DK145" s="138"/>
      <c r="DL145" s="138"/>
      <c r="DM145" s="138"/>
      <c r="DN145" s="138"/>
      <c r="DO145" s="138"/>
      <c r="DP145" s="138"/>
      <c r="DQ145" s="138"/>
      <c r="DR145" s="138"/>
      <c r="DS145" s="138"/>
      <c r="DT145" s="138"/>
      <c r="DU145" s="138"/>
      <c r="DV145" s="138"/>
      <c r="DW145" s="138"/>
      <c r="DX145" s="138"/>
      <c r="DY145" s="138"/>
      <c r="DZ145" s="138"/>
      <c r="EA145" s="138"/>
      <c r="EB145" s="138"/>
      <c r="EC145" s="138"/>
      <c r="ED145" s="138"/>
      <c r="EE145" s="138"/>
      <c r="EF145" s="138"/>
      <c r="EG145" s="138"/>
      <c r="EH145" s="138"/>
      <c r="EI145" s="138"/>
      <c r="EJ145" s="138"/>
      <c r="EK145" s="138"/>
      <c r="EL145" s="138"/>
      <c r="EM145" s="138"/>
      <c r="EN145" s="138"/>
      <c r="EO145" s="138"/>
      <c r="EP145" s="138"/>
      <c r="EQ145" s="138"/>
      <c r="ER145" s="138"/>
      <c r="ES145" s="138"/>
      <c r="ET145" s="138"/>
      <c r="EU145" s="138"/>
      <c r="EV145" s="138"/>
      <c r="EW145" s="138"/>
      <c r="EX145" s="138"/>
      <c r="EY145" s="138"/>
      <c r="EZ145" s="138"/>
      <c r="FA145" s="138"/>
      <c r="FB145" s="138"/>
      <c r="FC145" s="138"/>
      <c r="FD145" s="138"/>
      <c r="FE145" s="138"/>
      <c r="FF145" s="138"/>
      <c r="FG145" s="138"/>
      <c r="FH145" s="138"/>
      <c r="FI145" s="138"/>
      <c r="FJ145" s="138"/>
      <c r="FK145" s="138"/>
      <c r="FL145" s="138"/>
      <c r="FM145" s="138"/>
      <c r="FN145" s="138"/>
      <c r="FO145" s="138"/>
      <c r="FP145" s="138"/>
      <c r="FQ145" s="138"/>
      <c r="FR145" s="138"/>
      <c r="FS145" s="138"/>
      <c r="FT145" s="138"/>
      <c r="FU145" s="138"/>
      <c r="FV145" s="138"/>
      <c r="FW145" s="138"/>
      <c r="FX145" s="138"/>
      <c r="FY145" s="138"/>
      <c r="FZ145" s="138"/>
      <c r="GA145" s="138"/>
      <c r="GB145" s="138"/>
      <c r="GC145" s="138"/>
      <c r="GD145" s="138"/>
      <c r="GE145" s="138"/>
      <c r="GF145" s="138"/>
      <c r="GG145" s="138"/>
      <c r="GH145" s="138"/>
      <c r="GI145" s="138"/>
      <c r="GJ145" s="138"/>
      <c r="GK145" s="138"/>
      <c r="GL145" s="138"/>
      <c r="GM145" s="138"/>
      <c r="GN145" s="138"/>
      <c r="GO145" s="138"/>
      <c r="GP145" s="138"/>
      <c r="GQ145" s="138"/>
      <c r="GR145" s="138"/>
      <c r="GS145" s="138"/>
      <c r="GT145" s="138"/>
      <c r="GU145" s="138"/>
      <c r="GV145" s="138"/>
      <c r="GW145" s="138"/>
      <c r="GX145" s="138"/>
      <c r="GY145" s="138"/>
      <c r="GZ145" s="138"/>
      <c r="HA145" s="138"/>
      <c r="HB145" s="138"/>
      <c r="HC145" s="138"/>
      <c r="HD145" s="138"/>
      <c r="HE145" s="138"/>
      <c r="HF145" s="138"/>
      <c r="HG145" s="138"/>
      <c r="HH145" s="138"/>
      <c r="HI145" s="138"/>
      <c r="HJ145" s="138"/>
      <c r="HK145" s="138"/>
      <c r="HL145" s="138"/>
      <c r="HM145" s="138"/>
      <c r="HN145" s="138"/>
      <c r="HO145" s="138"/>
      <c r="HP145" s="138"/>
      <c r="HQ145" s="138"/>
      <c r="HR145" s="138"/>
      <c r="HS145" s="138"/>
      <c r="HT145" s="138"/>
      <c r="HU145" s="138"/>
      <c r="HV145" s="138"/>
      <c r="HW145" s="138"/>
      <c r="HX145" s="138"/>
      <c r="HY145" s="138"/>
      <c r="HZ145" s="138"/>
      <c r="IA145" s="138"/>
      <c r="IB145" s="138"/>
      <c r="IC145" s="138"/>
      <c r="ID145" s="138"/>
      <c r="IE145" s="138"/>
      <c r="IF145" s="138"/>
      <c r="IG145" s="138"/>
      <c r="IH145" s="138"/>
      <c r="II145" s="138"/>
      <c r="IJ145" s="138"/>
      <c r="IK145" s="138"/>
      <c r="IL145" s="138"/>
      <c r="IM145" s="138"/>
      <c r="IN145" s="138"/>
      <c r="IO145" s="138"/>
    </row>
    <row r="146" spans="2:249">
      <c r="B146" s="135" t="s">
        <v>451</v>
      </c>
      <c r="C146" s="135"/>
      <c r="D146" s="138"/>
      <c r="E146" s="138"/>
      <c r="F146" s="138"/>
      <c r="G146" s="138"/>
      <c r="H146" s="138"/>
      <c r="I146" s="138"/>
      <c r="J146" s="138"/>
      <c r="K146" s="138"/>
      <c r="L146" s="138"/>
      <c r="M146" s="138"/>
      <c r="N146" s="138"/>
      <c r="O146" s="138"/>
      <c r="P146" s="138"/>
      <c r="Q146" s="138"/>
      <c r="R146" s="138"/>
      <c r="S146" s="138"/>
      <c r="T146" s="138"/>
      <c r="U146" s="138"/>
      <c r="V146" s="138"/>
      <c r="W146" s="138"/>
      <c r="X146" s="138"/>
      <c r="Y146" s="138"/>
      <c r="Z146" s="138"/>
      <c r="AA146" s="138"/>
      <c r="AB146" s="138"/>
      <c r="AC146" s="138"/>
      <c r="AD146" s="138"/>
      <c r="AE146" s="138"/>
      <c r="AF146" s="138"/>
      <c r="AG146" s="138"/>
      <c r="AH146" s="138"/>
      <c r="AI146" s="138"/>
      <c r="AJ146" s="138"/>
      <c r="AK146" s="138"/>
      <c r="AL146" s="138"/>
      <c r="AM146" s="138"/>
      <c r="AN146" s="138"/>
      <c r="AO146" s="138"/>
      <c r="AP146" s="138"/>
      <c r="AQ146" s="138"/>
      <c r="AR146" s="138"/>
      <c r="AS146" s="138"/>
      <c r="AT146" s="138"/>
      <c r="AU146" s="138"/>
      <c r="AV146" s="138"/>
      <c r="AW146" s="138"/>
      <c r="AX146" s="138"/>
      <c r="AY146" s="138"/>
      <c r="AZ146" s="138"/>
      <c r="BA146" s="138"/>
      <c r="BB146" s="138"/>
      <c r="BC146" s="138"/>
      <c r="BD146" s="138"/>
      <c r="BE146" s="138"/>
      <c r="BF146" s="138"/>
      <c r="BG146" s="138"/>
      <c r="BH146" s="138"/>
      <c r="BI146" s="138"/>
      <c r="BJ146" s="138"/>
      <c r="BK146" s="138"/>
      <c r="BL146" s="138"/>
      <c r="BM146" s="138"/>
      <c r="BN146" s="138"/>
      <c r="BO146" s="138"/>
      <c r="BP146" s="138"/>
      <c r="BQ146" s="138"/>
      <c r="BR146" s="138"/>
      <c r="BS146" s="138"/>
      <c r="BT146" s="138"/>
      <c r="BU146" s="138"/>
      <c r="BV146" s="138"/>
      <c r="BW146" s="138"/>
      <c r="BX146" s="138"/>
      <c r="BY146" s="138"/>
      <c r="BZ146" s="138"/>
      <c r="CA146" s="138"/>
      <c r="CB146" s="138"/>
      <c r="CC146" s="138"/>
      <c r="CD146" s="138"/>
      <c r="CE146" s="138"/>
      <c r="CF146" s="138"/>
      <c r="CG146" s="138"/>
      <c r="CH146" s="138"/>
      <c r="CI146" s="138"/>
      <c r="CJ146" s="138"/>
      <c r="CK146" s="138"/>
      <c r="CL146" s="138"/>
      <c r="CM146" s="138"/>
      <c r="CN146" s="138"/>
      <c r="CO146" s="138"/>
      <c r="CP146" s="138"/>
      <c r="CQ146" s="138"/>
      <c r="CR146" s="138"/>
      <c r="CS146" s="138"/>
      <c r="CT146" s="138"/>
      <c r="CU146" s="138"/>
      <c r="CV146" s="138"/>
      <c r="CW146" s="138"/>
      <c r="CX146" s="138"/>
      <c r="CY146" s="138"/>
      <c r="CZ146" s="138"/>
      <c r="DA146" s="138"/>
      <c r="DB146" s="138"/>
      <c r="DC146" s="138"/>
      <c r="DD146" s="138"/>
      <c r="DE146" s="138"/>
      <c r="DF146" s="138"/>
      <c r="DG146" s="138"/>
      <c r="DH146" s="138"/>
      <c r="DI146" s="138"/>
      <c r="DJ146" s="138"/>
      <c r="DK146" s="138"/>
      <c r="DL146" s="138"/>
      <c r="DM146" s="138"/>
      <c r="DN146" s="138"/>
      <c r="DO146" s="138"/>
      <c r="DP146" s="138"/>
      <c r="DQ146" s="138"/>
      <c r="DR146" s="138"/>
      <c r="DS146" s="138"/>
      <c r="DT146" s="138"/>
      <c r="DU146" s="138"/>
      <c r="DV146" s="138"/>
      <c r="DW146" s="138"/>
      <c r="DX146" s="138"/>
      <c r="DY146" s="138"/>
      <c r="DZ146" s="138"/>
      <c r="EA146" s="138"/>
      <c r="EB146" s="138"/>
      <c r="EC146" s="138"/>
      <c r="ED146" s="138"/>
      <c r="EE146" s="138"/>
      <c r="EF146" s="138"/>
      <c r="EG146" s="138"/>
      <c r="EH146" s="138"/>
      <c r="EI146" s="138"/>
      <c r="EJ146" s="138"/>
      <c r="EK146" s="138"/>
      <c r="EL146" s="138"/>
      <c r="EM146" s="138"/>
      <c r="EN146" s="138"/>
      <c r="EO146" s="138"/>
      <c r="EP146" s="138"/>
      <c r="EQ146" s="138"/>
      <c r="ER146" s="138"/>
      <c r="ES146" s="138"/>
      <c r="ET146" s="138"/>
      <c r="EU146" s="138"/>
      <c r="EV146" s="138"/>
      <c r="EW146" s="138"/>
      <c r="EX146" s="138"/>
      <c r="EY146" s="138"/>
      <c r="EZ146" s="138"/>
      <c r="FA146" s="138"/>
      <c r="FB146" s="138"/>
      <c r="FC146" s="138"/>
      <c r="FD146" s="138"/>
      <c r="FE146" s="138"/>
      <c r="FF146" s="138"/>
      <c r="FG146" s="138"/>
      <c r="FH146" s="138"/>
      <c r="FI146" s="138"/>
      <c r="FJ146" s="138"/>
      <c r="FK146" s="138"/>
      <c r="FL146" s="138"/>
      <c r="FM146" s="138"/>
      <c r="FN146" s="138"/>
      <c r="FO146" s="138"/>
      <c r="FP146" s="138"/>
      <c r="FQ146" s="138"/>
      <c r="FR146" s="138"/>
      <c r="FS146" s="138"/>
      <c r="FT146" s="138"/>
      <c r="FU146" s="138"/>
      <c r="FV146" s="138"/>
      <c r="FW146" s="138"/>
      <c r="FX146" s="138"/>
      <c r="FY146" s="138"/>
      <c r="FZ146" s="138"/>
      <c r="GA146" s="138"/>
      <c r="GB146" s="138"/>
      <c r="GC146" s="138"/>
      <c r="GD146" s="138"/>
      <c r="GE146" s="138"/>
      <c r="GF146" s="138"/>
      <c r="GG146" s="138"/>
      <c r="GH146" s="138"/>
      <c r="GI146" s="138"/>
      <c r="GJ146" s="138"/>
      <c r="GK146" s="138"/>
      <c r="GL146" s="138"/>
      <c r="GM146" s="138"/>
      <c r="GN146" s="138"/>
      <c r="GO146" s="138"/>
      <c r="GP146" s="138"/>
      <c r="GQ146" s="138"/>
      <c r="GR146" s="138"/>
      <c r="GS146" s="138"/>
      <c r="GT146" s="138"/>
      <c r="GU146" s="138"/>
      <c r="GV146" s="138"/>
      <c r="GW146" s="138"/>
      <c r="GX146" s="138"/>
      <c r="GY146" s="138"/>
      <c r="GZ146" s="138"/>
      <c r="HA146" s="138"/>
      <c r="HB146" s="138"/>
      <c r="HC146" s="138"/>
      <c r="HD146" s="138"/>
      <c r="HE146" s="138"/>
      <c r="HF146" s="138"/>
      <c r="HG146" s="138"/>
      <c r="HH146" s="138"/>
      <c r="HI146" s="138"/>
      <c r="HJ146" s="138"/>
      <c r="HK146" s="138"/>
      <c r="HL146" s="138"/>
      <c r="HM146" s="138"/>
      <c r="HN146" s="138"/>
      <c r="HO146" s="138"/>
      <c r="HP146" s="138"/>
      <c r="HQ146" s="138"/>
      <c r="HR146" s="138"/>
      <c r="HS146" s="138"/>
      <c r="HT146" s="138"/>
      <c r="HU146" s="138"/>
      <c r="HV146" s="138"/>
      <c r="HW146" s="138"/>
      <c r="HX146" s="138"/>
      <c r="HY146" s="138"/>
      <c r="HZ146" s="138"/>
      <c r="IA146" s="138"/>
      <c r="IB146" s="138"/>
      <c r="IC146" s="138"/>
      <c r="ID146" s="138"/>
      <c r="IE146" s="138"/>
      <c r="IF146" s="138"/>
      <c r="IG146" s="138"/>
      <c r="IH146" s="138"/>
      <c r="II146" s="138"/>
      <c r="IJ146" s="138"/>
      <c r="IK146" s="138"/>
      <c r="IL146" s="138"/>
      <c r="IM146" s="138"/>
      <c r="IN146" s="138"/>
      <c r="IO146" s="138"/>
    </row>
    <row r="147" spans="2:249">
      <c r="B147" s="136"/>
      <c r="C147" s="137" t="str">
        <f>C46</f>
        <v>Home ownership code</v>
      </c>
      <c r="D147" s="107" t="str">
        <f>IF(D47="Y",$C$47,"Blank")</f>
        <v>Home owner - HOM</v>
      </c>
      <c r="E147" s="107" t="str">
        <f t="shared" ref="E147:AK147" si="13">IF(E47="Y",$C$47,"Blank")</f>
        <v>Home owner - HOM</v>
      </c>
      <c r="F147" s="107" t="str">
        <f t="shared" si="13"/>
        <v>Home owner - HOM</v>
      </c>
      <c r="G147" s="107" t="str">
        <f t="shared" si="13"/>
        <v>Home owner - HOM</v>
      </c>
      <c r="H147" s="107" t="str">
        <f t="shared" si="13"/>
        <v>Home owner - HOM</v>
      </c>
      <c r="I147" s="107" t="str">
        <f t="shared" si="13"/>
        <v>Home owner - HOM</v>
      </c>
      <c r="J147" s="107" t="str">
        <f t="shared" si="13"/>
        <v>Home owner - HOM</v>
      </c>
      <c r="K147" s="107" t="str">
        <f t="shared" si="13"/>
        <v>Home owner - HOM</v>
      </c>
      <c r="L147" s="107" t="str">
        <f t="shared" si="13"/>
        <v>Home owner - HOM</v>
      </c>
      <c r="M147" s="107" t="str">
        <f t="shared" si="13"/>
        <v>Home owner - HOM</v>
      </c>
      <c r="N147" s="107" t="str">
        <f t="shared" si="13"/>
        <v>Home owner - HOM</v>
      </c>
      <c r="O147" s="107" t="str">
        <f t="shared" si="13"/>
        <v>Home owner - HOM</v>
      </c>
      <c r="P147" s="107" t="str">
        <f t="shared" si="13"/>
        <v>Home owner - HOM</v>
      </c>
      <c r="Q147" s="107" t="str">
        <f t="shared" si="13"/>
        <v>Home owner - HOM</v>
      </c>
      <c r="R147" s="107" t="str">
        <f t="shared" si="13"/>
        <v>Home owner - HOM</v>
      </c>
      <c r="S147" s="107" t="str">
        <f t="shared" si="13"/>
        <v>Home owner - HOM</v>
      </c>
      <c r="T147" s="107" t="str">
        <f t="shared" si="13"/>
        <v>Home owner - HOM</v>
      </c>
      <c r="U147" s="107" t="str">
        <f t="shared" si="13"/>
        <v>Home owner - HOM</v>
      </c>
      <c r="V147" s="107" t="str">
        <f t="shared" si="13"/>
        <v>Home owner - HOM</v>
      </c>
      <c r="W147" s="107" t="str">
        <f t="shared" si="13"/>
        <v>Home owner - HOM</v>
      </c>
      <c r="X147" s="107" t="str">
        <f t="shared" si="13"/>
        <v>Home owner - HOM</v>
      </c>
      <c r="Y147" s="107" t="str">
        <f t="shared" si="13"/>
        <v>Home owner - HOM</v>
      </c>
      <c r="Z147" s="107" t="str">
        <f t="shared" si="13"/>
        <v>Home owner - HOM</v>
      </c>
      <c r="AA147" s="107" t="str">
        <f t="shared" si="13"/>
        <v>Home owner - HOM</v>
      </c>
      <c r="AB147" s="107" t="str">
        <f t="shared" si="13"/>
        <v>Home owner - HOM</v>
      </c>
      <c r="AC147" s="107" t="str">
        <f t="shared" si="13"/>
        <v>Home owner - HOM</v>
      </c>
      <c r="AD147" s="107" t="str">
        <f t="shared" si="13"/>
        <v>Home owner - HOM</v>
      </c>
      <c r="AE147" s="107" t="str">
        <f t="shared" si="13"/>
        <v>Home owner - HOM</v>
      </c>
      <c r="AF147" s="107" t="str">
        <f t="shared" si="13"/>
        <v>Home owner - HOM</v>
      </c>
      <c r="AG147" s="107" t="str">
        <f t="shared" si="13"/>
        <v>Home owner - HOM</v>
      </c>
      <c r="AH147" s="107" t="str">
        <f t="shared" si="13"/>
        <v>Home owner - HOM</v>
      </c>
      <c r="AI147" s="107" t="str">
        <f t="shared" si="13"/>
        <v>Home owner - HOM</v>
      </c>
      <c r="AJ147" s="107" t="str">
        <f t="shared" si="13"/>
        <v>Home owner - HOM</v>
      </c>
      <c r="AK147" s="107" t="str">
        <f t="shared" si="13"/>
        <v>Home owner - HOM</v>
      </c>
      <c r="AL147" s="107"/>
      <c r="AM147" s="107"/>
      <c r="AN147" s="107"/>
      <c r="AO147" s="107"/>
      <c r="AP147" s="107"/>
      <c r="AQ147" s="107"/>
      <c r="AR147" s="107"/>
      <c r="AS147" s="107"/>
      <c r="AT147" s="107"/>
      <c r="AU147" s="107"/>
      <c r="AV147" s="107"/>
      <c r="AW147" s="107"/>
      <c r="AX147" s="107"/>
      <c r="AY147" s="107"/>
      <c r="AZ147" s="107"/>
      <c r="BA147" s="107"/>
      <c r="BB147" s="107"/>
      <c r="BC147" s="107"/>
      <c r="BD147" s="107"/>
      <c r="BE147" s="107"/>
      <c r="BF147" s="107"/>
      <c r="BG147" s="107"/>
      <c r="BH147" s="107"/>
      <c r="BI147" s="107"/>
      <c r="BJ147" s="107"/>
      <c r="BK147" s="107"/>
      <c r="BL147" s="107"/>
      <c r="BM147" s="107"/>
      <c r="BN147" s="107"/>
      <c r="BO147" s="107"/>
      <c r="BP147" s="107"/>
      <c r="BQ147" s="107"/>
      <c r="BR147" s="107"/>
      <c r="BS147" s="107"/>
      <c r="BT147" s="107"/>
      <c r="BU147" s="107"/>
      <c r="BV147" s="107"/>
      <c r="BW147" s="107"/>
      <c r="BX147" s="107"/>
      <c r="BY147" s="107"/>
      <c r="BZ147" s="107"/>
      <c r="CA147" s="107"/>
      <c r="CB147" s="107"/>
      <c r="CC147" s="107"/>
      <c r="CD147" s="107"/>
      <c r="CE147" s="107"/>
      <c r="CF147" s="107"/>
      <c r="CG147" s="107"/>
      <c r="CH147" s="107"/>
      <c r="CI147" s="107"/>
      <c r="CJ147" s="107"/>
      <c r="CK147" s="107"/>
      <c r="CL147" s="107"/>
      <c r="CM147" s="107"/>
      <c r="CN147" s="107"/>
      <c r="CO147" s="107"/>
      <c r="CP147" s="107"/>
      <c r="CQ147" s="107"/>
      <c r="CR147" s="107"/>
      <c r="CS147" s="107"/>
      <c r="CT147" s="107"/>
      <c r="CU147" s="107"/>
      <c r="CV147" s="107"/>
      <c r="CW147" s="107"/>
      <c r="CX147" s="107"/>
      <c r="CY147" s="107"/>
      <c r="CZ147" s="107"/>
      <c r="DA147" s="107"/>
      <c r="DB147" s="107"/>
      <c r="DC147" s="107"/>
      <c r="DD147" s="107"/>
      <c r="DE147" s="107"/>
      <c r="DF147" s="107"/>
      <c r="DG147" s="107"/>
      <c r="DH147" s="107"/>
      <c r="DI147" s="107"/>
      <c r="DJ147" s="107"/>
      <c r="DK147" s="107"/>
      <c r="DL147" s="107"/>
      <c r="DM147" s="107"/>
      <c r="DN147" s="107"/>
      <c r="DO147" s="107"/>
      <c r="DP147" s="107"/>
      <c r="DQ147" s="107"/>
      <c r="DR147" s="107"/>
      <c r="DS147" s="107"/>
      <c r="DT147" s="107"/>
      <c r="DU147" s="107"/>
      <c r="DV147" s="107"/>
      <c r="DW147" s="107"/>
      <c r="DX147" s="107"/>
      <c r="DY147" s="107"/>
      <c r="DZ147" s="107"/>
      <c r="EA147" s="107"/>
      <c r="EB147" s="107"/>
      <c r="EC147" s="107"/>
      <c r="ED147" s="107"/>
      <c r="EE147" s="107"/>
      <c r="EF147" s="107"/>
      <c r="EG147" s="107"/>
      <c r="EH147" s="107"/>
      <c r="EI147" s="107"/>
      <c r="EJ147" s="107"/>
      <c r="EK147" s="107"/>
      <c r="EL147" s="107"/>
      <c r="EM147" s="107"/>
      <c r="EN147" s="107"/>
      <c r="EO147" s="107"/>
      <c r="EP147" s="107"/>
      <c r="EQ147" s="107"/>
      <c r="ER147" s="107"/>
      <c r="ES147" s="107"/>
      <c r="ET147" s="107"/>
      <c r="EU147" s="107"/>
      <c r="EV147" s="107"/>
      <c r="EW147" s="107"/>
      <c r="EX147" s="107"/>
      <c r="EY147" s="107"/>
      <c r="EZ147" s="107"/>
      <c r="FA147" s="107"/>
      <c r="FB147" s="107"/>
      <c r="FC147" s="107"/>
      <c r="FD147" s="107"/>
      <c r="FE147" s="107"/>
      <c r="FF147" s="107"/>
      <c r="FG147" s="107"/>
      <c r="FH147" s="107"/>
      <c r="FI147" s="107"/>
      <c r="FJ147" s="107"/>
      <c r="FK147" s="107"/>
      <c r="FL147" s="107"/>
      <c r="FM147" s="107"/>
      <c r="FN147" s="107"/>
      <c r="FO147" s="107"/>
      <c r="FP147" s="107"/>
      <c r="FQ147" s="107"/>
      <c r="FR147" s="107"/>
      <c r="FS147" s="107"/>
      <c r="FT147" s="107"/>
      <c r="FU147" s="107"/>
      <c r="FV147" s="107"/>
      <c r="FW147" s="107"/>
      <c r="FX147" s="107"/>
      <c r="FY147" s="107"/>
      <c r="FZ147" s="107"/>
      <c r="GA147" s="107"/>
      <c r="GB147" s="107"/>
      <c r="GC147" s="107"/>
      <c r="GD147" s="107"/>
      <c r="GE147" s="107"/>
      <c r="GF147" s="107"/>
      <c r="GG147" s="107"/>
      <c r="GH147" s="107"/>
      <c r="GI147" s="107"/>
      <c r="GJ147" s="107"/>
      <c r="GK147" s="107"/>
      <c r="GL147" s="107"/>
      <c r="GM147" s="107"/>
      <c r="GN147" s="107"/>
      <c r="GO147" s="107"/>
      <c r="GP147" s="107"/>
      <c r="GQ147" s="107"/>
      <c r="GR147" s="107"/>
      <c r="GS147" s="107"/>
      <c r="GT147" s="107"/>
      <c r="GU147" s="107"/>
      <c r="GV147" s="107"/>
      <c r="GW147" s="107"/>
      <c r="GX147" s="107"/>
      <c r="GY147" s="107"/>
      <c r="GZ147" s="107"/>
      <c r="HA147" s="107"/>
      <c r="HB147" s="107"/>
      <c r="HC147" s="107"/>
      <c r="HD147" s="107"/>
      <c r="HE147" s="107"/>
      <c r="HF147" s="107"/>
      <c r="HG147" s="107"/>
      <c r="HH147" s="107"/>
      <c r="HI147" s="107"/>
      <c r="HJ147" s="107"/>
      <c r="HK147" s="107"/>
      <c r="HL147" s="107"/>
      <c r="HM147" s="107"/>
      <c r="HN147" s="107"/>
      <c r="HO147" s="107"/>
      <c r="HP147" s="107"/>
      <c r="HQ147" s="107"/>
      <c r="HR147" s="107"/>
      <c r="HS147" s="107"/>
      <c r="HT147" s="107"/>
      <c r="HU147" s="107"/>
      <c r="HV147" s="107"/>
      <c r="HW147" s="107"/>
      <c r="HX147" s="107"/>
      <c r="HY147" s="107"/>
      <c r="HZ147" s="107"/>
      <c r="IA147" s="107"/>
      <c r="IB147" s="107"/>
      <c r="IC147" s="107"/>
      <c r="ID147" s="107"/>
      <c r="IE147" s="107"/>
      <c r="IF147" s="107"/>
      <c r="IG147" s="107"/>
      <c r="IH147" s="107"/>
      <c r="II147" s="107"/>
      <c r="IJ147" s="107"/>
      <c r="IK147" s="107"/>
      <c r="IL147" s="107"/>
      <c r="IM147" s="107"/>
      <c r="IN147" s="107"/>
      <c r="IO147" s="107"/>
    </row>
    <row r="148" spans="2:249">
      <c r="B148" s="135" t="s">
        <v>452</v>
      </c>
      <c r="C148" s="135"/>
      <c r="D148" s="138"/>
      <c r="E148" s="138"/>
      <c r="F148" s="138"/>
      <c r="G148" s="138"/>
      <c r="H148" s="138"/>
      <c r="I148" s="138"/>
      <c r="J148" s="138"/>
      <c r="K148" s="138"/>
      <c r="L148" s="138"/>
      <c r="M148" s="138"/>
      <c r="N148" s="138"/>
      <c r="O148" s="138"/>
      <c r="P148" s="138"/>
      <c r="Q148" s="138"/>
      <c r="R148" s="138"/>
      <c r="S148" s="138"/>
      <c r="T148" s="138"/>
      <c r="U148" s="138"/>
      <c r="V148" s="138"/>
      <c r="W148" s="138"/>
      <c r="X148" s="138"/>
      <c r="Y148" s="138"/>
      <c r="Z148" s="138"/>
      <c r="AA148" s="138"/>
      <c r="AB148" s="138"/>
      <c r="AC148" s="138"/>
      <c r="AD148" s="138"/>
      <c r="AE148" s="138"/>
      <c r="AF148" s="138"/>
      <c r="AG148" s="138"/>
      <c r="AH148" s="138"/>
      <c r="AI148" s="138"/>
      <c r="AJ148" s="138"/>
      <c r="AK148" s="138"/>
      <c r="AL148" s="138"/>
      <c r="AM148" s="138"/>
      <c r="AN148" s="138"/>
      <c r="AO148" s="138"/>
      <c r="AP148" s="138"/>
      <c r="AQ148" s="138"/>
      <c r="AR148" s="138"/>
      <c r="AS148" s="138"/>
      <c r="AT148" s="138"/>
      <c r="AU148" s="138"/>
      <c r="AV148" s="138"/>
      <c r="AW148" s="138"/>
      <c r="AX148" s="138"/>
      <c r="AY148" s="138"/>
      <c r="AZ148" s="138"/>
      <c r="BA148" s="138"/>
      <c r="BB148" s="138"/>
      <c r="BC148" s="138"/>
      <c r="BD148" s="138"/>
      <c r="BE148" s="138"/>
      <c r="BF148" s="138"/>
      <c r="BG148" s="138"/>
      <c r="BH148" s="138"/>
      <c r="BI148" s="138"/>
      <c r="BJ148" s="138"/>
      <c r="BK148" s="138"/>
      <c r="BL148" s="138"/>
      <c r="BM148" s="138"/>
      <c r="BN148" s="138"/>
      <c r="BO148" s="138"/>
      <c r="BP148" s="138"/>
      <c r="BQ148" s="138"/>
      <c r="BR148" s="138"/>
      <c r="BS148" s="138"/>
      <c r="BT148" s="138"/>
      <c r="BU148" s="138"/>
      <c r="BV148" s="138"/>
      <c r="BW148" s="138"/>
      <c r="BX148" s="138"/>
      <c r="BY148" s="138"/>
      <c r="BZ148" s="138"/>
      <c r="CA148" s="138"/>
      <c r="CB148" s="138"/>
      <c r="CC148" s="138"/>
      <c r="CD148" s="138"/>
      <c r="CE148" s="138"/>
      <c r="CF148" s="138"/>
      <c r="CG148" s="138"/>
      <c r="CH148" s="138"/>
      <c r="CI148" s="138"/>
      <c r="CJ148" s="138"/>
      <c r="CK148" s="138"/>
      <c r="CL148" s="138"/>
      <c r="CM148" s="138"/>
      <c r="CN148" s="138"/>
      <c r="CO148" s="138"/>
      <c r="CP148" s="138"/>
      <c r="CQ148" s="138"/>
      <c r="CR148" s="138"/>
      <c r="CS148" s="138"/>
      <c r="CT148" s="138"/>
      <c r="CU148" s="138"/>
      <c r="CV148" s="138"/>
      <c r="CW148" s="138"/>
      <c r="CX148" s="138"/>
      <c r="CY148" s="138"/>
      <c r="CZ148" s="138"/>
      <c r="DA148" s="138"/>
      <c r="DB148" s="138"/>
      <c r="DC148" s="138"/>
      <c r="DD148" s="138"/>
      <c r="DE148" s="138"/>
      <c r="DF148" s="138"/>
      <c r="DG148" s="138"/>
      <c r="DH148" s="138"/>
      <c r="DI148" s="138"/>
      <c r="DJ148" s="138"/>
      <c r="DK148" s="138"/>
      <c r="DL148" s="138"/>
      <c r="DM148" s="138"/>
      <c r="DN148" s="138"/>
      <c r="DO148" s="138"/>
      <c r="DP148" s="138"/>
      <c r="DQ148" s="138"/>
      <c r="DR148" s="138"/>
      <c r="DS148" s="138"/>
      <c r="DT148" s="138"/>
      <c r="DU148" s="138"/>
      <c r="DV148" s="138"/>
      <c r="DW148" s="138"/>
      <c r="DX148" s="138"/>
      <c r="DY148" s="138"/>
      <c r="DZ148" s="138"/>
      <c r="EA148" s="138"/>
      <c r="EB148" s="138"/>
      <c r="EC148" s="138"/>
      <c r="ED148" s="138"/>
      <c r="EE148" s="138"/>
      <c r="EF148" s="138"/>
      <c r="EG148" s="138"/>
      <c r="EH148" s="138"/>
      <c r="EI148" s="138"/>
      <c r="EJ148" s="138"/>
      <c r="EK148" s="138"/>
      <c r="EL148" s="138"/>
      <c r="EM148" s="138"/>
      <c r="EN148" s="138"/>
      <c r="EO148" s="138"/>
      <c r="EP148" s="138"/>
      <c r="EQ148" s="138"/>
      <c r="ER148" s="138"/>
      <c r="ES148" s="138"/>
      <c r="ET148" s="138"/>
      <c r="EU148" s="138"/>
      <c r="EV148" s="138"/>
      <c r="EW148" s="138"/>
      <c r="EX148" s="138"/>
      <c r="EY148" s="138"/>
      <c r="EZ148" s="138"/>
      <c r="FA148" s="138"/>
      <c r="FB148" s="138"/>
      <c r="FC148" s="138"/>
      <c r="FD148" s="138"/>
      <c r="FE148" s="138"/>
      <c r="FF148" s="138"/>
      <c r="FG148" s="138"/>
      <c r="FH148" s="138"/>
      <c r="FI148" s="138"/>
      <c r="FJ148" s="138"/>
      <c r="FK148" s="138"/>
      <c r="FL148" s="138"/>
      <c r="FM148" s="138"/>
      <c r="FN148" s="138"/>
      <c r="FO148" s="138"/>
      <c r="FP148" s="138"/>
      <c r="FQ148" s="138"/>
      <c r="FR148" s="138"/>
      <c r="FS148" s="138"/>
      <c r="FT148" s="138"/>
      <c r="FU148" s="138"/>
      <c r="FV148" s="138"/>
      <c r="FW148" s="138"/>
      <c r="FX148" s="138"/>
      <c r="FY148" s="138"/>
      <c r="FZ148" s="138"/>
      <c r="GA148" s="138"/>
      <c r="GB148" s="138"/>
      <c r="GC148" s="138"/>
      <c r="GD148" s="138"/>
      <c r="GE148" s="138"/>
      <c r="GF148" s="138"/>
      <c r="GG148" s="138"/>
      <c r="GH148" s="138"/>
      <c r="GI148" s="138"/>
      <c r="GJ148" s="138"/>
      <c r="GK148" s="138"/>
      <c r="GL148" s="138"/>
      <c r="GM148" s="138"/>
      <c r="GN148" s="138"/>
      <c r="GO148" s="138"/>
      <c r="GP148" s="138"/>
      <c r="GQ148" s="138"/>
      <c r="GR148" s="138"/>
      <c r="GS148" s="138"/>
      <c r="GT148" s="138"/>
      <c r="GU148" s="138"/>
      <c r="GV148" s="138"/>
      <c r="GW148" s="138"/>
      <c r="GX148" s="138"/>
      <c r="GY148" s="138"/>
      <c r="GZ148" s="138"/>
      <c r="HA148" s="138"/>
      <c r="HB148" s="138"/>
      <c r="HC148" s="138"/>
      <c r="HD148" s="138"/>
      <c r="HE148" s="138"/>
      <c r="HF148" s="138"/>
      <c r="HG148" s="138"/>
      <c r="HH148" s="138"/>
      <c r="HI148" s="138"/>
      <c r="HJ148" s="138"/>
      <c r="HK148" s="138"/>
      <c r="HL148" s="138"/>
      <c r="HM148" s="138"/>
      <c r="HN148" s="138"/>
      <c r="HO148" s="138"/>
      <c r="HP148" s="138"/>
      <c r="HQ148" s="138"/>
      <c r="HR148" s="138"/>
      <c r="HS148" s="138"/>
      <c r="HT148" s="138"/>
      <c r="HU148" s="138"/>
      <c r="HV148" s="138"/>
      <c r="HW148" s="138"/>
      <c r="HX148" s="138"/>
      <c r="HY148" s="138"/>
      <c r="HZ148" s="138"/>
      <c r="IA148" s="138"/>
      <c r="IB148" s="138"/>
      <c r="IC148" s="138"/>
      <c r="ID148" s="138"/>
      <c r="IE148" s="138"/>
      <c r="IF148" s="138"/>
      <c r="IG148" s="138"/>
      <c r="IH148" s="138"/>
      <c r="II148" s="138"/>
      <c r="IJ148" s="138"/>
      <c r="IK148" s="138"/>
      <c r="IL148" s="138"/>
      <c r="IM148" s="138"/>
      <c r="IN148" s="138"/>
      <c r="IO148" s="138"/>
    </row>
    <row r="149" spans="2:249">
      <c r="B149" s="136"/>
      <c r="C149" s="137" t="str">
        <f>C48</f>
        <v>Relationship Qualifier</v>
      </c>
      <c r="D149" s="107" t="str">
        <f>IF(D49="Y",$C$49,IF(D50="Y",$C$50,IF(D51="Y",$C$51,IF(D52="Y",$C4048,IF(D53="Y",$C$53,IF(D54="Y",$C$54,IF(D55="Y",$C$55,IF(D56="Y",$C$56,IF(D57="Y",$C$57,IF(D58="Y",$C$58,IF(D59="Y",$C$59,IF(D60="Y",$C$60,IF(D61="Y",$C$61,$C$62)))))))))))))</f>
        <v>Blank</v>
      </c>
      <c r="E149" s="107" t="str">
        <f t="shared" ref="E149:AK149" si="14">IF(E49="Y",$C$49,IF(E50="Y",$C$50,IF(E51="Y",$C$51,IF(E52="Y",$C4048,IF(E53="Y",$C$53,IF(E54="Y",$C$54,IF(E55="Y",$C$55,IF(E56="Y",$C$56,IF(E57="Y",$C$57,IF(E58="Y",$C$58,IF(E59="Y",$C$59,IF(E60="Y",$C$60,IF(E61="Y",$C$61,$C$62)))))))))))))</f>
        <v>Blank</v>
      </c>
      <c r="F149" s="107" t="str">
        <f t="shared" si="14"/>
        <v>Blank</v>
      </c>
      <c r="G149" s="107" t="str">
        <f t="shared" si="14"/>
        <v>Blank</v>
      </c>
      <c r="H149" s="107" t="str">
        <f t="shared" si="14"/>
        <v>Blank</v>
      </c>
      <c r="I149" s="107" t="str">
        <f t="shared" si="14"/>
        <v>Blank</v>
      </c>
      <c r="J149" s="107" t="str">
        <f t="shared" si="14"/>
        <v>Blank</v>
      </c>
      <c r="K149" s="107" t="str">
        <f t="shared" si="14"/>
        <v>Blank</v>
      </c>
      <c r="L149" s="107" t="str">
        <f t="shared" si="14"/>
        <v>Blank</v>
      </c>
      <c r="M149" s="107" t="str">
        <f t="shared" si="14"/>
        <v>Blank</v>
      </c>
      <c r="N149" s="107" t="str">
        <f t="shared" si="14"/>
        <v>Blank</v>
      </c>
      <c r="O149" s="107" t="str">
        <f t="shared" si="14"/>
        <v>Blank</v>
      </c>
      <c r="P149" s="107" t="str">
        <f t="shared" si="14"/>
        <v>Blank</v>
      </c>
      <c r="Q149" s="107" t="str">
        <f t="shared" si="14"/>
        <v>Blank</v>
      </c>
      <c r="R149" s="107" t="str">
        <f t="shared" si="14"/>
        <v>Blank</v>
      </c>
      <c r="S149" s="107" t="str">
        <f t="shared" si="14"/>
        <v>ILB</v>
      </c>
      <c r="T149" s="107" t="str">
        <f t="shared" si="14"/>
        <v>ILC</v>
      </c>
      <c r="U149" s="107" t="str">
        <f t="shared" si="14"/>
        <v>ILP</v>
      </c>
      <c r="V149" s="107">
        <f t="shared" si="14"/>
        <v>0</v>
      </c>
      <c r="W149" s="107" t="str">
        <f t="shared" si="14"/>
        <v>TEC</v>
      </c>
      <c r="X149" s="107" t="str">
        <f t="shared" si="14"/>
        <v>TEP</v>
      </c>
      <c r="Y149" s="107" t="str">
        <f t="shared" si="14"/>
        <v>GAC</v>
      </c>
      <c r="Z149" s="107" t="str">
        <f t="shared" si="14"/>
        <v>GAP</v>
      </c>
      <c r="AA149" s="107" t="str">
        <f t="shared" si="14"/>
        <v>PSB</v>
      </c>
      <c r="AB149" s="107" t="str">
        <f t="shared" si="14"/>
        <v>PSC</v>
      </c>
      <c r="AC149" s="107" t="str">
        <f t="shared" si="14"/>
        <v>PSP</v>
      </c>
      <c r="AD149" s="107" t="str">
        <f t="shared" si="14"/>
        <v>REC</v>
      </c>
      <c r="AE149" s="107" t="str">
        <f t="shared" si="14"/>
        <v>REP</v>
      </c>
      <c r="AF149" s="107" t="str">
        <f t="shared" si="14"/>
        <v>Blank</v>
      </c>
      <c r="AG149" s="107" t="str">
        <f t="shared" si="14"/>
        <v>Blank</v>
      </c>
      <c r="AH149" s="107" t="str">
        <f t="shared" si="14"/>
        <v>Blank</v>
      </c>
      <c r="AI149" s="107" t="str">
        <f t="shared" si="14"/>
        <v>Blank</v>
      </c>
      <c r="AJ149" s="107" t="str">
        <f t="shared" si="14"/>
        <v>Blank</v>
      </c>
      <c r="AK149" s="107" t="str">
        <f t="shared" si="14"/>
        <v>Blank</v>
      </c>
      <c r="AL149" s="107"/>
      <c r="AM149" s="107"/>
      <c r="AN149" s="107"/>
      <c r="AO149" s="107"/>
      <c r="AP149" s="107"/>
      <c r="AQ149" s="107"/>
      <c r="AR149" s="107"/>
      <c r="AS149" s="107"/>
      <c r="AT149" s="107"/>
      <c r="AU149" s="107"/>
      <c r="AV149" s="107"/>
      <c r="AW149" s="107"/>
      <c r="AX149" s="107"/>
      <c r="AY149" s="107"/>
      <c r="AZ149" s="107"/>
      <c r="BA149" s="107"/>
      <c r="BB149" s="107"/>
      <c r="BC149" s="107"/>
      <c r="BD149" s="107"/>
      <c r="BE149" s="107"/>
      <c r="BF149" s="107"/>
      <c r="BG149" s="107"/>
      <c r="BH149" s="107"/>
      <c r="BI149" s="107"/>
      <c r="BJ149" s="107"/>
      <c r="BK149" s="107"/>
      <c r="BL149" s="107"/>
      <c r="BM149" s="107"/>
      <c r="BN149" s="107"/>
      <c r="BO149" s="107"/>
      <c r="BP149" s="107"/>
      <c r="BQ149" s="107"/>
      <c r="BR149" s="107"/>
      <c r="BS149" s="107"/>
      <c r="BT149" s="107"/>
      <c r="BU149" s="107"/>
      <c r="BV149" s="107"/>
      <c r="BW149" s="107"/>
      <c r="BX149" s="107"/>
      <c r="BY149" s="107"/>
      <c r="BZ149" s="107"/>
      <c r="CA149" s="107"/>
      <c r="CB149" s="107"/>
      <c r="CC149" s="107"/>
      <c r="CD149" s="107"/>
      <c r="CE149" s="107"/>
      <c r="CF149" s="107"/>
      <c r="CG149" s="107"/>
      <c r="CH149" s="107"/>
      <c r="CI149" s="107"/>
      <c r="CJ149" s="107"/>
      <c r="CK149" s="107"/>
      <c r="CL149" s="107"/>
      <c r="CM149" s="107"/>
      <c r="CN149" s="107"/>
      <c r="CO149" s="107"/>
      <c r="CP149" s="107"/>
      <c r="CQ149" s="107"/>
      <c r="CR149" s="107"/>
      <c r="CS149" s="107"/>
      <c r="CT149" s="107"/>
      <c r="CU149" s="107"/>
      <c r="CV149" s="107"/>
      <c r="CW149" s="107"/>
      <c r="CX149" s="107"/>
      <c r="CY149" s="107"/>
      <c r="CZ149" s="107"/>
      <c r="DA149" s="107"/>
      <c r="DB149" s="107"/>
      <c r="DC149" s="107"/>
      <c r="DD149" s="107"/>
      <c r="DE149" s="107"/>
      <c r="DF149" s="107"/>
      <c r="DG149" s="107"/>
      <c r="DH149" s="107"/>
      <c r="DI149" s="107"/>
      <c r="DJ149" s="107"/>
      <c r="DK149" s="107"/>
      <c r="DL149" s="107"/>
      <c r="DM149" s="107"/>
      <c r="DN149" s="107"/>
      <c r="DO149" s="107"/>
      <c r="DP149" s="107"/>
      <c r="DQ149" s="107"/>
      <c r="DR149" s="107"/>
      <c r="DS149" s="107"/>
      <c r="DT149" s="107"/>
      <c r="DU149" s="107"/>
      <c r="DV149" s="107"/>
      <c r="DW149" s="107"/>
      <c r="DX149" s="107"/>
      <c r="DY149" s="107"/>
      <c r="DZ149" s="107"/>
      <c r="EA149" s="107"/>
      <c r="EB149" s="107"/>
      <c r="EC149" s="107"/>
      <c r="ED149" s="107"/>
      <c r="EE149" s="107"/>
      <c r="EF149" s="107"/>
      <c r="EG149" s="107"/>
      <c r="EH149" s="107"/>
      <c r="EI149" s="107"/>
      <c r="EJ149" s="107"/>
      <c r="EK149" s="107"/>
      <c r="EL149" s="107"/>
      <c r="EM149" s="107"/>
      <c r="EN149" s="107"/>
      <c r="EO149" s="107"/>
      <c r="EP149" s="107"/>
      <c r="EQ149" s="107"/>
      <c r="ER149" s="107"/>
      <c r="ES149" s="107"/>
      <c r="ET149" s="107"/>
      <c r="EU149" s="107"/>
      <c r="EV149" s="107"/>
      <c r="EW149" s="107"/>
      <c r="EX149" s="107"/>
      <c r="EY149" s="107"/>
      <c r="EZ149" s="107"/>
      <c r="FA149" s="107"/>
      <c r="FB149" s="107"/>
      <c r="FC149" s="107"/>
      <c r="FD149" s="107"/>
      <c r="FE149" s="107"/>
      <c r="FF149" s="107"/>
      <c r="FG149" s="107"/>
      <c r="FH149" s="107"/>
      <c r="FI149" s="107"/>
      <c r="FJ149" s="107"/>
      <c r="FK149" s="107"/>
      <c r="FL149" s="107"/>
      <c r="FM149" s="107"/>
      <c r="FN149" s="107"/>
      <c r="FO149" s="107"/>
      <c r="FP149" s="107"/>
      <c r="FQ149" s="107"/>
      <c r="FR149" s="107"/>
      <c r="FS149" s="107"/>
      <c r="FT149" s="107"/>
      <c r="FU149" s="107"/>
      <c r="FV149" s="107"/>
      <c r="FW149" s="107"/>
      <c r="FX149" s="107"/>
      <c r="FY149" s="107"/>
      <c r="FZ149" s="107"/>
      <c r="GA149" s="107"/>
      <c r="GB149" s="107"/>
      <c r="GC149" s="107"/>
      <c r="GD149" s="107"/>
      <c r="GE149" s="107"/>
      <c r="GF149" s="107"/>
      <c r="GG149" s="107"/>
      <c r="GH149" s="107"/>
      <c r="GI149" s="107"/>
      <c r="GJ149" s="107"/>
      <c r="GK149" s="107"/>
      <c r="GL149" s="107"/>
      <c r="GM149" s="107"/>
      <c r="GN149" s="107"/>
      <c r="GO149" s="107"/>
      <c r="GP149" s="107"/>
      <c r="GQ149" s="107"/>
      <c r="GR149" s="107"/>
      <c r="GS149" s="107"/>
      <c r="GT149" s="107"/>
      <c r="GU149" s="107"/>
      <c r="GV149" s="107"/>
      <c r="GW149" s="107"/>
      <c r="GX149" s="107"/>
      <c r="GY149" s="107"/>
      <c r="GZ149" s="107"/>
      <c r="HA149" s="107"/>
      <c r="HB149" s="107"/>
      <c r="HC149" s="107"/>
      <c r="HD149" s="107"/>
      <c r="HE149" s="107"/>
      <c r="HF149" s="107"/>
      <c r="HG149" s="107"/>
      <c r="HH149" s="107"/>
      <c r="HI149" s="107"/>
      <c r="HJ149" s="107"/>
      <c r="HK149" s="107"/>
      <c r="HL149" s="107"/>
      <c r="HM149" s="107"/>
      <c r="HN149" s="107"/>
      <c r="HO149" s="107"/>
      <c r="HP149" s="107"/>
      <c r="HQ149" s="107"/>
      <c r="HR149" s="107"/>
      <c r="HS149" s="107"/>
      <c r="HT149" s="107"/>
      <c r="HU149" s="107"/>
      <c r="HV149" s="107"/>
      <c r="HW149" s="107"/>
      <c r="HX149" s="107"/>
      <c r="HY149" s="107"/>
      <c r="HZ149" s="107"/>
      <c r="IA149" s="107"/>
      <c r="IB149" s="107"/>
      <c r="IC149" s="107"/>
      <c r="ID149" s="107"/>
      <c r="IE149" s="107"/>
      <c r="IF149" s="107"/>
      <c r="IG149" s="107"/>
      <c r="IH149" s="107"/>
      <c r="II149" s="107"/>
      <c r="IJ149" s="107"/>
      <c r="IK149" s="107"/>
      <c r="IL149" s="107"/>
      <c r="IM149" s="107"/>
      <c r="IN149" s="107"/>
      <c r="IO149" s="107"/>
    </row>
    <row r="150" spans="2:249">
      <c r="B150" s="135" t="s">
        <v>453</v>
      </c>
      <c r="C150" s="135"/>
      <c r="D150" s="138"/>
      <c r="E150" s="138"/>
      <c r="F150" s="138"/>
      <c r="G150" s="138"/>
      <c r="H150" s="138"/>
      <c r="I150" s="138"/>
      <c r="J150" s="138"/>
      <c r="K150" s="138"/>
      <c r="L150" s="138"/>
      <c r="M150" s="138"/>
      <c r="N150" s="138"/>
      <c r="O150" s="138"/>
      <c r="P150" s="138"/>
      <c r="Q150" s="138"/>
      <c r="R150" s="138"/>
      <c r="S150" s="138"/>
      <c r="T150" s="138"/>
      <c r="U150" s="138"/>
      <c r="V150" s="138"/>
      <c r="W150" s="138"/>
      <c r="X150" s="138"/>
      <c r="Y150" s="138"/>
      <c r="Z150" s="138"/>
      <c r="AA150" s="138"/>
      <c r="AB150" s="138"/>
      <c r="AC150" s="138"/>
      <c r="AD150" s="138"/>
      <c r="AE150" s="138"/>
      <c r="AF150" s="138"/>
      <c r="AG150" s="138"/>
      <c r="AH150" s="138"/>
      <c r="AI150" s="138"/>
      <c r="AJ150" s="138"/>
      <c r="AK150" s="138"/>
      <c r="AL150" s="138"/>
      <c r="AM150" s="138"/>
      <c r="AN150" s="138"/>
      <c r="AO150" s="138"/>
      <c r="AP150" s="138"/>
      <c r="AQ150" s="138"/>
      <c r="AR150" s="138"/>
      <c r="AS150" s="138"/>
      <c r="AT150" s="138"/>
      <c r="AU150" s="138"/>
      <c r="AV150" s="138"/>
      <c r="AW150" s="138"/>
      <c r="AX150" s="138"/>
      <c r="AY150" s="138"/>
      <c r="AZ150" s="138"/>
      <c r="BA150" s="138"/>
      <c r="BB150" s="138"/>
      <c r="BC150" s="138"/>
      <c r="BD150" s="138"/>
      <c r="BE150" s="138"/>
      <c r="BF150" s="138"/>
      <c r="BG150" s="138"/>
      <c r="BH150" s="138"/>
      <c r="BI150" s="138"/>
      <c r="BJ150" s="138"/>
      <c r="BK150" s="138"/>
      <c r="BL150" s="138"/>
      <c r="BM150" s="138"/>
      <c r="BN150" s="138"/>
      <c r="BO150" s="138"/>
      <c r="BP150" s="138"/>
      <c r="BQ150" s="138"/>
      <c r="BR150" s="138"/>
      <c r="BS150" s="138"/>
      <c r="BT150" s="138"/>
      <c r="BU150" s="138"/>
      <c r="BV150" s="138"/>
      <c r="BW150" s="138"/>
      <c r="BX150" s="138"/>
      <c r="BY150" s="138"/>
      <c r="BZ150" s="138"/>
      <c r="CA150" s="138"/>
      <c r="CB150" s="138"/>
      <c r="CC150" s="138"/>
      <c r="CD150" s="138"/>
      <c r="CE150" s="138"/>
      <c r="CF150" s="138"/>
      <c r="CG150" s="138"/>
      <c r="CH150" s="138"/>
      <c r="CI150" s="138"/>
      <c r="CJ150" s="138"/>
      <c r="CK150" s="138"/>
      <c r="CL150" s="138"/>
      <c r="CM150" s="138"/>
      <c r="CN150" s="138"/>
      <c r="CO150" s="138"/>
      <c r="CP150" s="138"/>
      <c r="CQ150" s="138"/>
      <c r="CR150" s="138"/>
      <c r="CS150" s="138"/>
      <c r="CT150" s="138"/>
      <c r="CU150" s="138"/>
      <c r="CV150" s="138"/>
      <c r="CW150" s="138"/>
      <c r="CX150" s="138"/>
      <c r="CY150" s="138"/>
      <c r="CZ150" s="138"/>
      <c r="DA150" s="138"/>
      <c r="DB150" s="138"/>
      <c r="DC150" s="138"/>
      <c r="DD150" s="138"/>
      <c r="DE150" s="138"/>
      <c r="DF150" s="138"/>
      <c r="DG150" s="138"/>
      <c r="DH150" s="138"/>
      <c r="DI150" s="138"/>
      <c r="DJ150" s="138"/>
      <c r="DK150" s="138"/>
      <c r="DL150" s="138"/>
      <c r="DM150" s="138"/>
      <c r="DN150" s="138"/>
      <c r="DO150" s="138"/>
      <c r="DP150" s="138"/>
      <c r="DQ150" s="138"/>
      <c r="DR150" s="138"/>
      <c r="DS150" s="138"/>
      <c r="DT150" s="138"/>
      <c r="DU150" s="138"/>
      <c r="DV150" s="138"/>
      <c r="DW150" s="138"/>
      <c r="DX150" s="138"/>
      <c r="DY150" s="138"/>
      <c r="DZ150" s="138"/>
      <c r="EA150" s="138"/>
      <c r="EB150" s="138"/>
      <c r="EC150" s="138"/>
      <c r="ED150" s="138"/>
      <c r="EE150" s="138"/>
      <c r="EF150" s="138"/>
      <c r="EG150" s="138"/>
      <c r="EH150" s="138"/>
      <c r="EI150" s="138"/>
      <c r="EJ150" s="138"/>
      <c r="EK150" s="138"/>
      <c r="EL150" s="138"/>
      <c r="EM150" s="138"/>
      <c r="EN150" s="138"/>
      <c r="EO150" s="138"/>
      <c r="EP150" s="138"/>
      <c r="EQ150" s="138"/>
      <c r="ER150" s="138"/>
      <c r="ES150" s="138"/>
      <c r="ET150" s="138"/>
      <c r="EU150" s="138"/>
      <c r="EV150" s="138"/>
      <c r="EW150" s="138"/>
      <c r="EX150" s="138"/>
      <c r="EY150" s="138"/>
      <c r="EZ150" s="138"/>
      <c r="FA150" s="138"/>
      <c r="FB150" s="138"/>
      <c r="FC150" s="138"/>
      <c r="FD150" s="138"/>
      <c r="FE150" s="138"/>
      <c r="FF150" s="138"/>
      <c r="FG150" s="138"/>
      <c r="FH150" s="138"/>
      <c r="FI150" s="138"/>
      <c r="FJ150" s="138"/>
      <c r="FK150" s="138"/>
      <c r="FL150" s="138"/>
      <c r="FM150" s="138"/>
      <c r="FN150" s="138"/>
      <c r="FO150" s="138"/>
      <c r="FP150" s="138"/>
      <c r="FQ150" s="138"/>
      <c r="FR150" s="138"/>
      <c r="FS150" s="138"/>
      <c r="FT150" s="138"/>
      <c r="FU150" s="138"/>
      <c r="FV150" s="138"/>
      <c r="FW150" s="138"/>
      <c r="FX150" s="138"/>
      <c r="FY150" s="138"/>
      <c r="FZ150" s="138"/>
      <c r="GA150" s="138"/>
      <c r="GB150" s="138"/>
      <c r="GC150" s="138"/>
      <c r="GD150" s="138"/>
      <c r="GE150" s="138"/>
      <c r="GF150" s="138"/>
      <c r="GG150" s="138"/>
      <c r="GH150" s="138"/>
      <c r="GI150" s="138"/>
      <c r="GJ150" s="138"/>
      <c r="GK150" s="138"/>
      <c r="GL150" s="138"/>
      <c r="GM150" s="138"/>
      <c r="GN150" s="138"/>
      <c r="GO150" s="138"/>
      <c r="GP150" s="138"/>
      <c r="GQ150" s="138"/>
      <c r="GR150" s="138"/>
      <c r="GS150" s="138"/>
      <c r="GT150" s="138"/>
      <c r="GU150" s="138"/>
      <c r="GV150" s="138"/>
      <c r="GW150" s="138"/>
      <c r="GX150" s="138"/>
      <c r="GY150" s="138"/>
      <c r="GZ150" s="138"/>
      <c r="HA150" s="138"/>
      <c r="HB150" s="138"/>
      <c r="HC150" s="138"/>
      <c r="HD150" s="138"/>
      <c r="HE150" s="138"/>
      <c r="HF150" s="138"/>
      <c r="HG150" s="138"/>
      <c r="HH150" s="138"/>
      <c r="HI150" s="138"/>
      <c r="HJ150" s="138"/>
      <c r="HK150" s="138"/>
      <c r="HL150" s="138"/>
      <c r="HM150" s="138"/>
      <c r="HN150" s="138"/>
      <c r="HO150" s="138"/>
      <c r="HP150" s="138"/>
      <c r="HQ150" s="138"/>
      <c r="HR150" s="138"/>
      <c r="HS150" s="138"/>
      <c r="HT150" s="138"/>
      <c r="HU150" s="138"/>
      <c r="HV150" s="138"/>
      <c r="HW150" s="138"/>
      <c r="HX150" s="138"/>
      <c r="HY150" s="138"/>
      <c r="HZ150" s="138"/>
      <c r="IA150" s="138"/>
      <c r="IB150" s="138"/>
      <c r="IC150" s="138"/>
      <c r="ID150" s="138"/>
      <c r="IE150" s="138"/>
      <c r="IF150" s="138"/>
      <c r="IG150" s="138"/>
      <c r="IH150" s="138"/>
      <c r="II150" s="138"/>
      <c r="IJ150" s="138"/>
      <c r="IK150" s="138"/>
      <c r="IL150" s="138"/>
      <c r="IM150" s="138"/>
      <c r="IN150" s="138"/>
      <c r="IO150" s="138"/>
    </row>
    <row r="151" spans="2:249">
      <c r="B151" s="136"/>
      <c r="C151" s="137" t="str">
        <f>C63</f>
        <v>Combined Income Limit</v>
      </c>
      <c r="D151" s="107" t="str">
        <f>IF(D64="Y",$C$64,IF(D65="Y",$C$65,$D$64))</f>
        <v>Less than $99,414 per yr</v>
      </c>
      <c r="E151" s="107" t="str">
        <f t="shared" ref="E151:AK151" si="15">IF(E64="Y",$C$64,IF(E65="Y",$C$65,$D$64))</f>
        <v>Less than $99,414 per yr</v>
      </c>
      <c r="F151" s="107" t="str">
        <f t="shared" si="15"/>
        <v>Less than $99,414 per yr</v>
      </c>
      <c r="G151" s="107" t="str">
        <f t="shared" si="15"/>
        <v>Less than $99,414 per yr</v>
      </c>
      <c r="H151" s="107" t="str">
        <f t="shared" si="15"/>
        <v>Less than $99,414 per yr</v>
      </c>
      <c r="I151" s="107" t="str">
        <f t="shared" si="15"/>
        <v>Less than $99,414 per yr</v>
      </c>
      <c r="J151" s="107" t="str">
        <f t="shared" si="15"/>
        <v>Less than $99,414 per yr</v>
      </c>
      <c r="K151" s="107" t="str">
        <f t="shared" si="15"/>
        <v>Less than $99,414 per yr</v>
      </c>
      <c r="L151" s="107" t="str">
        <f t="shared" si="15"/>
        <v>Less than $99,414 per yr</v>
      </c>
      <c r="M151" s="107" t="str">
        <f t="shared" si="15"/>
        <v>Less than $99,414 per yr</v>
      </c>
      <c r="N151" s="107" t="str">
        <f t="shared" si="15"/>
        <v>More than $99,414 per yr</v>
      </c>
      <c r="O151" s="107" t="str">
        <f t="shared" si="15"/>
        <v>More than $99,414 per yr</v>
      </c>
      <c r="P151" s="107" t="str">
        <f t="shared" si="15"/>
        <v>Less than $99,414 per yr</v>
      </c>
      <c r="Q151" s="107" t="str">
        <f t="shared" si="15"/>
        <v>More than $99,414 per yr</v>
      </c>
      <c r="R151" s="107" t="str">
        <f t="shared" si="15"/>
        <v>More than $99,414 per yr</v>
      </c>
      <c r="S151" s="107" t="str">
        <f t="shared" si="15"/>
        <v>Less than $99,414 per yr</v>
      </c>
      <c r="T151" s="107" t="str">
        <f t="shared" si="15"/>
        <v>Less than $99,414 per yr</v>
      </c>
      <c r="U151" s="107" t="str">
        <f t="shared" si="15"/>
        <v>Less than $99,414 per yr</v>
      </c>
      <c r="V151" s="107" t="str">
        <f t="shared" si="15"/>
        <v>Less than $99,414 per yr</v>
      </c>
      <c r="W151" s="107" t="str">
        <f t="shared" si="15"/>
        <v>Less than $99,414 per yr</v>
      </c>
      <c r="X151" s="107" t="str">
        <f t="shared" si="15"/>
        <v>Less than $99,414 per yr</v>
      </c>
      <c r="Y151" s="107" t="str">
        <f t="shared" si="15"/>
        <v>Less than $99,414 per yr</v>
      </c>
      <c r="Z151" s="107" t="str">
        <f t="shared" si="15"/>
        <v>Less than $99,414 per yr</v>
      </c>
      <c r="AA151" s="107" t="str">
        <f t="shared" si="15"/>
        <v>Less than $99,414 per yr</v>
      </c>
      <c r="AB151" s="107" t="str">
        <f t="shared" si="15"/>
        <v>Less than $99,414 per yr</v>
      </c>
      <c r="AC151" s="107" t="str">
        <f t="shared" si="15"/>
        <v>Less than $99,414 per yr</v>
      </c>
      <c r="AD151" s="107" t="str">
        <f t="shared" si="15"/>
        <v>Less than $99,414 per yr</v>
      </c>
      <c r="AE151" s="107" t="str">
        <f t="shared" si="15"/>
        <v>Less than $99,414 per yr</v>
      </c>
      <c r="AF151" s="107" t="str">
        <f t="shared" si="15"/>
        <v>Less than $99,414 per yr</v>
      </c>
      <c r="AG151" s="107" t="str">
        <f t="shared" si="15"/>
        <v>Less than $99,414 per yr</v>
      </c>
      <c r="AH151" s="107" t="str">
        <f t="shared" si="15"/>
        <v>Less than $99,414 per yr</v>
      </c>
      <c r="AI151" s="107" t="str">
        <f t="shared" si="15"/>
        <v>Less than $99,414 per yr</v>
      </c>
      <c r="AJ151" s="107" t="str">
        <f t="shared" si="15"/>
        <v>Less than $99,414 per yr</v>
      </c>
      <c r="AK151" s="107" t="str">
        <f t="shared" si="15"/>
        <v>Less than $99,414 per yr</v>
      </c>
      <c r="AL151" s="107"/>
      <c r="AM151" s="107"/>
      <c r="AN151" s="107"/>
      <c r="AO151" s="107"/>
      <c r="AP151" s="107"/>
      <c r="AQ151" s="107"/>
      <c r="AR151" s="107"/>
      <c r="AS151" s="107"/>
      <c r="AT151" s="107"/>
      <c r="AU151" s="107"/>
      <c r="AV151" s="107"/>
      <c r="AW151" s="107"/>
      <c r="AX151" s="107"/>
      <c r="AY151" s="107"/>
      <c r="AZ151" s="107"/>
      <c r="BA151" s="107"/>
      <c r="BB151" s="107"/>
      <c r="BC151" s="107"/>
      <c r="BD151" s="107"/>
      <c r="BE151" s="107"/>
      <c r="BF151" s="107"/>
      <c r="BG151" s="107"/>
      <c r="BH151" s="107"/>
      <c r="BI151" s="107"/>
      <c r="BJ151" s="107"/>
      <c r="BK151" s="107"/>
      <c r="BL151" s="107"/>
      <c r="BM151" s="107"/>
      <c r="BN151" s="107"/>
      <c r="BO151" s="107"/>
      <c r="BP151" s="107"/>
      <c r="BQ151" s="107"/>
      <c r="BR151" s="107"/>
      <c r="BS151" s="107"/>
      <c r="BT151" s="107"/>
      <c r="BU151" s="107"/>
      <c r="BV151" s="107"/>
      <c r="BW151" s="107"/>
      <c r="BX151" s="107"/>
      <c r="BY151" s="107"/>
      <c r="BZ151" s="107"/>
      <c r="CA151" s="107"/>
      <c r="CB151" s="107"/>
      <c r="CC151" s="107"/>
      <c r="CD151" s="107"/>
      <c r="CE151" s="107"/>
      <c r="CF151" s="107"/>
      <c r="CG151" s="107"/>
      <c r="CH151" s="107"/>
      <c r="CI151" s="107"/>
      <c r="CJ151" s="107"/>
      <c r="CK151" s="107"/>
      <c r="CL151" s="107"/>
      <c r="CM151" s="107"/>
      <c r="CN151" s="107"/>
      <c r="CO151" s="107"/>
      <c r="CP151" s="107"/>
      <c r="CQ151" s="107"/>
      <c r="CR151" s="107"/>
      <c r="CS151" s="107"/>
      <c r="CT151" s="107"/>
      <c r="CU151" s="107"/>
      <c r="CV151" s="107"/>
      <c r="CW151" s="107"/>
      <c r="CX151" s="107"/>
      <c r="CY151" s="107"/>
      <c r="CZ151" s="107"/>
      <c r="DA151" s="107"/>
      <c r="DB151" s="107"/>
      <c r="DC151" s="107"/>
      <c r="DD151" s="107"/>
      <c r="DE151" s="107"/>
      <c r="DF151" s="107"/>
      <c r="DG151" s="107"/>
      <c r="DH151" s="107"/>
      <c r="DI151" s="107"/>
      <c r="DJ151" s="107"/>
      <c r="DK151" s="107"/>
      <c r="DL151" s="107"/>
      <c r="DM151" s="107"/>
      <c r="DN151" s="107"/>
      <c r="DO151" s="107"/>
      <c r="DP151" s="107"/>
      <c r="DQ151" s="107"/>
      <c r="DR151" s="107"/>
      <c r="DS151" s="107"/>
      <c r="DT151" s="107"/>
      <c r="DU151" s="107"/>
      <c r="DV151" s="107"/>
      <c r="DW151" s="107"/>
      <c r="DX151" s="107"/>
      <c r="DY151" s="107"/>
      <c r="DZ151" s="107"/>
      <c r="EA151" s="107"/>
      <c r="EB151" s="107"/>
      <c r="EC151" s="107"/>
      <c r="ED151" s="107"/>
      <c r="EE151" s="107"/>
      <c r="EF151" s="107"/>
      <c r="EG151" s="107"/>
      <c r="EH151" s="107"/>
      <c r="EI151" s="107"/>
      <c r="EJ151" s="107"/>
      <c r="EK151" s="107"/>
      <c r="EL151" s="107"/>
      <c r="EM151" s="107"/>
      <c r="EN151" s="107"/>
      <c r="EO151" s="107"/>
      <c r="EP151" s="107"/>
      <c r="EQ151" s="107"/>
      <c r="ER151" s="107"/>
      <c r="ES151" s="107"/>
      <c r="ET151" s="107"/>
      <c r="EU151" s="107"/>
      <c r="EV151" s="107"/>
      <c r="EW151" s="107"/>
      <c r="EX151" s="107"/>
      <c r="EY151" s="107"/>
      <c r="EZ151" s="107"/>
      <c r="FA151" s="107"/>
      <c r="FB151" s="107"/>
      <c r="FC151" s="107"/>
      <c r="FD151" s="107"/>
      <c r="FE151" s="107"/>
      <c r="FF151" s="107"/>
      <c r="FG151" s="107"/>
      <c r="FH151" s="107"/>
      <c r="FI151" s="107"/>
      <c r="FJ151" s="107"/>
      <c r="FK151" s="107"/>
      <c r="FL151" s="107"/>
      <c r="FM151" s="107"/>
      <c r="FN151" s="107"/>
      <c r="FO151" s="107"/>
      <c r="FP151" s="107"/>
      <c r="FQ151" s="107"/>
      <c r="FR151" s="107"/>
      <c r="FS151" s="107"/>
      <c r="FT151" s="107"/>
      <c r="FU151" s="107"/>
      <c r="FV151" s="107"/>
      <c r="FW151" s="107"/>
      <c r="FX151" s="107"/>
      <c r="FY151" s="107"/>
      <c r="FZ151" s="107"/>
      <c r="GA151" s="107"/>
      <c r="GB151" s="107"/>
      <c r="GC151" s="107"/>
      <c r="GD151" s="107"/>
      <c r="GE151" s="107"/>
      <c r="GF151" s="107"/>
      <c r="GG151" s="107"/>
      <c r="GH151" s="107"/>
      <c r="GI151" s="107"/>
      <c r="GJ151" s="107"/>
      <c r="GK151" s="107"/>
      <c r="GL151" s="107"/>
      <c r="GM151" s="107"/>
      <c r="GN151" s="107"/>
      <c r="GO151" s="107"/>
      <c r="GP151" s="107"/>
      <c r="GQ151" s="107"/>
      <c r="GR151" s="107"/>
      <c r="GS151" s="107"/>
      <c r="GT151" s="107"/>
      <c r="GU151" s="107"/>
      <c r="GV151" s="107"/>
      <c r="GW151" s="107"/>
      <c r="GX151" s="107"/>
      <c r="GY151" s="107"/>
      <c r="GZ151" s="107"/>
      <c r="HA151" s="107"/>
      <c r="HB151" s="107"/>
      <c r="HC151" s="107"/>
      <c r="HD151" s="107"/>
      <c r="HE151" s="107"/>
      <c r="HF151" s="107"/>
      <c r="HG151" s="107"/>
      <c r="HH151" s="107"/>
      <c r="HI151" s="107"/>
      <c r="HJ151" s="107"/>
      <c r="HK151" s="107"/>
      <c r="HL151" s="107"/>
      <c r="HM151" s="107"/>
      <c r="HN151" s="107"/>
      <c r="HO151" s="107"/>
      <c r="HP151" s="107"/>
      <c r="HQ151" s="107"/>
      <c r="HR151" s="107"/>
      <c r="HS151" s="107"/>
      <c r="HT151" s="107"/>
      <c r="HU151" s="107"/>
      <c r="HV151" s="107"/>
      <c r="HW151" s="107"/>
      <c r="HX151" s="107"/>
      <c r="HY151" s="107"/>
      <c r="HZ151" s="107"/>
      <c r="IA151" s="107"/>
      <c r="IB151" s="107"/>
      <c r="IC151" s="107"/>
      <c r="ID151" s="107"/>
      <c r="IE151" s="107"/>
      <c r="IF151" s="107"/>
      <c r="IG151" s="107"/>
      <c r="IH151" s="107"/>
      <c r="II151" s="107"/>
      <c r="IJ151" s="107"/>
      <c r="IK151" s="107"/>
      <c r="IL151" s="107"/>
      <c r="IM151" s="107"/>
      <c r="IN151" s="107"/>
      <c r="IO151" s="107"/>
    </row>
    <row r="152" spans="2:249">
      <c r="B152" s="242" t="str">
        <f>B66</f>
        <v>Child  circumstances</v>
      </c>
      <c r="C152" s="243"/>
      <c r="D152" s="138"/>
      <c r="E152" s="138"/>
      <c r="F152" s="138"/>
      <c r="G152" s="138"/>
      <c r="H152" s="138"/>
      <c r="I152" s="138"/>
      <c r="J152" s="138"/>
      <c r="K152" s="138"/>
      <c r="L152" s="138"/>
      <c r="M152" s="138"/>
      <c r="N152" s="138"/>
      <c r="O152" s="138"/>
      <c r="P152" s="138"/>
      <c r="Q152" s="138"/>
      <c r="R152" s="138"/>
      <c r="S152" s="138"/>
      <c r="T152" s="138"/>
      <c r="U152" s="138"/>
      <c r="V152" s="138"/>
      <c r="W152" s="138"/>
      <c r="X152" s="138"/>
      <c r="Y152" s="138"/>
      <c r="Z152" s="138"/>
      <c r="AA152" s="138"/>
      <c r="AB152" s="138"/>
      <c r="AC152" s="138"/>
      <c r="AD152" s="138"/>
      <c r="AE152" s="138"/>
      <c r="AF152" s="138"/>
      <c r="AG152" s="138"/>
      <c r="AH152" s="138"/>
      <c r="AI152" s="138"/>
      <c r="AJ152" s="138"/>
      <c r="AK152" s="138"/>
      <c r="AL152" s="138"/>
      <c r="AM152" s="138"/>
      <c r="AN152" s="138"/>
      <c r="AO152" s="138"/>
      <c r="AP152" s="138"/>
      <c r="AQ152" s="138"/>
      <c r="AR152" s="138"/>
      <c r="AS152" s="138"/>
      <c r="AT152" s="138"/>
      <c r="AU152" s="138"/>
      <c r="AV152" s="138"/>
      <c r="AW152" s="138"/>
      <c r="AX152" s="138"/>
      <c r="AY152" s="138"/>
      <c r="AZ152" s="138"/>
      <c r="BA152" s="138"/>
      <c r="BB152" s="138"/>
      <c r="BC152" s="138"/>
      <c r="BD152" s="138"/>
      <c r="BE152" s="138"/>
      <c r="BF152" s="138"/>
      <c r="BG152" s="138"/>
      <c r="BH152" s="138"/>
      <c r="BI152" s="138"/>
      <c r="BJ152" s="138"/>
      <c r="BK152" s="138"/>
      <c r="BL152" s="138"/>
      <c r="BM152" s="138"/>
      <c r="BN152" s="138"/>
      <c r="BO152" s="138"/>
      <c r="BP152" s="138"/>
      <c r="BQ152" s="138"/>
      <c r="BR152" s="138"/>
      <c r="BS152" s="138"/>
      <c r="BT152" s="138"/>
      <c r="BU152" s="138"/>
      <c r="BV152" s="138"/>
      <c r="BW152" s="138"/>
      <c r="BX152" s="138"/>
      <c r="BY152" s="138"/>
      <c r="BZ152" s="138"/>
      <c r="CA152" s="138"/>
      <c r="CB152" s="138"/>
      <c r="CC152" s="138"/>
      <c r="CD152" s="138"/>
      <c r="CE152" s="138"/>
      <c r="CF152" s="138"/>
      <c r="CG152" s="138"/>
      <c r="CH152" s="138"/>
      <c r="CI152" s="138"/>
      <c r="CJ152" s="138"/>
      <c r="CK152" s="138"/>
      <c r="CL152" s="138"/>
      <c r="CM152" s="138"/>
      <c r="CN152" s="138"/>
      <c r="CO152" s="138"/>
      <c r="CP152" s="138"/>
      <c r="CQ152" s="138"/>
      <c r="CR152" s="138"/>
      <c r="CS152" s="138"/>
      <c r="CT152" s="138"/>
      <c r="CU152" s="138"/>
      <c r="CV152" s="138"/>
      <c r="CW152" s="138"/>
      <c r="CX152" s="138"/>
      <c r="CY152" s="138"/>
      <c r="CZ152" s="138"/>
      <c r="DA152" s="138"/>
      <c r="DB152" s="138"/>
      <c r="DC152" s="138"/>
      <c r="DD152" s="138"/>
      <c r="DE152" s="138"/>
      <c r="DF152" s="138"/>
      <c r="DG152" s="138"/>
      <c r="DH152" s="138"/>
      <c r="DI152" s="138"/>
      <c r="DJ152" s="138"/>
      <c r="DK152" s="138"/>
      <c r="DL152" s="138"/>
      <c r="DM152" s="138"/>
      <c r="DN152" s="138"/>
      <c r="DO152" s="138"/>
      <c r="DP152" s="138"/>
      <c r="DQ152" s="138"/>
      <c r="DR152" s="138"/>
      <c r="DS152" s="138"/>
      <c r="DT152" s="138"/>
      <c r="DU152" s="138"/>
      <c r="DV152" s="138"/>
      <c r="DW152" s="138"/>
      <c r="DX152" s="138"/>
      <c r="DY152" s="138"/>
      <c r="DZ152" s="138"/>
      <c r="EA152" s="138"/>
      <c r="EB152" s="138"/>
      <c r="EC152" s="138"/>
      <c r="ED152" s="138"/>
      <c r="EE152" s="138"/>
      <c r="EF152" s="138"/>
      <c r="EG152" s="138"/>
      <c r="EH152" s="138"/>
      <c r="EI152" s="138"/>
      <c r="EJ152" s="138"/>
      <c r="EK152" s="138"/>
      <c r="EL152" s="138"/>
      <c r="EM152" s="138"/>
      <c r="EN152" s="138"/>
      <c r="EO152" s="138"/>
      <c r="EP152" s="138"/>
      <c r="EQ152" s="138"/>
      <c r="ER152" s="138"/>
      <c r="ES152" s="138"/>
      <c r="ET152" s="138"/>
      <c r="EU152" s="138"/>
      <c r="EV152" s="138"/>
      <c r="EW152" s="138"/>
      <c r="EX152" s="138"/>
      <c r="EY152" s="138"/>
      <c r="EZ152" s="138"/>
      <c r="FA152" s="138"/>
      <c r="FB152" s="138"/>
      <c r="FC152" s="138"/>
      <c r="FD152" s="138"/>
      <c r="FE152" s="138"/>
      <c r="FF152" s="138"/>
      <c r="FG152" s="138"/>
      <c r="FH152" s="138"/>
      <c r="FI152" s="138"/>
      <c r="FJ152" s="138"/>
      <c r="FK152" s="138"/>
      <c r="FL152" s="138"/>
      <c r="FM152" s="138"/>
      <c r="FN152" s="138"/>
      <c r="FO152" s="138"/>
      <c r="FP152" s="138"/>
      <c r="FQ152" s="138"/>
      <c r="FR152" s="138"/>
      <c r="FS152" s="138"/>
      <c r="FT152" s="138"/>
      <c r="FU152" s="138"/>
      <c r="FV152" s="138"/>
      <c r="FW152" s="138"/>
      <c r="FX152" s="138"/>
      <c r="FY152" s="138"/>
      <c r="FZ152" s="138"/>
      <c r="GA152" s="138"/>
      <c r="GB152" s="138"/>
      <c r="GC152" s="138"/>
      <c r="GD152" s="138"/>
      <c r="GE152" s="138"/>
      <c r="GF152" s="138"/>
      <c r="GG152" s="138"/>
      <c r="GH152" s="138"/>
      <c r="GI152" s="138"/>
      <c r="GJ152" s="138"/>
      <c r="GK152" s="138"/>
      <c r="GL152" s="138"/>
      <c r="GM152" s="138"/>
      <c r="GN152" s="138"/>
      <c r="GO152" s="138"/>
      <c r="GP152" s="138"/>
      <c r="GQ152" s="138"/>
      <c r="GR152" s="138"/>
      <c r="GS152" s="138"/>
      <c r="GT152" s="138"/>
      <c r="GU152" s="138"/>
      <c r="GV152" s="138"/>
      <c r="GW152" s="138"/>
      <c r="GX152" s="138"/>
      <c r="GY152" s="138"/>
      <c r="GZ152" s="138"/>
      <c r="HA152" s="138"/>
      <c r="HB152" s="138"/>
      <c r="HC152" s="138"/>
      <c r="HD152" s="138"/>
      <c r="HE152" s="138"/>
      <c r="HF152" s="138"/>
      <c r="HG152" s="138"/>
      <c r="HH152" s="138"/>
      <c r="HI152" s="138"/>
      <c r="HJ152" s="138"/>
      <c r="HK152" s="138"/>
      <c r="HL152" s="138"/>
      <c r="HM152" s="138"/>
      <c r="HN152" s="138"/>
      <c r="HO152" s="138"/>
      <c r="HP152" s="138"/>
      <c r="HQ152" s="138"/>
      <c r="HR152" s="138"/>
      <c r="HS152" s="138"/>
      <c r="HT152" s="138"/>
      <c r="HU152" s="138"/>
      <c r="HV152" s="138"/>
      <c r="HW152" s="138"/>
      <c r="HX152" s="138"/>
      <c r="HY152" s="138"/>
      <c r="HZ152" s="138"/>
      <c r="IA152" s="138"/>
      <c r="IB152" s="138"/>
      <c r="IC152" s="138"/>
      <c r="ID152" s="138"/>
      <c r="IE152" s="138"/>
      <c r="IF152" s="138"/>
      <c r="IG152" s="138"/>
      <c r="IH152" s="138"/>
      <c r="II152" s="138"/>
      <c r="IJ152" s="138"/>
      <c r="IK152" s="138"/>
      <c r="IL152" s="138"/>
      <c r="IM152" s="138"/>
      <c r="IN152" s="138"/>
      <c r="IO152" s="138"/>
    </row>
    <row r="153" spans="2:249">
      <c r="B153" s="135" t="s">
        <v>451</v>
      </c>
      <c r="C153" s="135"/>
      <c r="D153" s="138"/>
      <c r="E153" s="138"/>
      <c r="F153" s="138"/>
      <c r="G153" s="138"/>
      <c r="H153" s="138"/>
      <c r="I153" s="138"/>
      <c r="J153" s="138"/>
      <c r="K153" s="138"/>
      <c r="L153" s="138"/>
      <c r="M153" s="138"/>
      <c r="N153" s="138"/>
      <c r="O153" s="138"/>
      <c r="P153" s="138"/>
      <c r="Q153" s="138"/>
      <c r="R153" s="138"/>
      <c r="S153" s="138"/>
      <c r="T153" s="138"/>
      <c r="U153" s="138"/>
      <c r="V153" s="138"/>
      <c r="W153" s="138"/>
      <c r="X153" s="138"/>
      <c r="Y153" s="138"/>
      <c r="Z153" s="138"/>
      <c r="AA153" s="138"/>
      <c r="AB153" s="138"/>
      <c r="AC153" s="138"/>
      <c r="AD153" s="138"/>
      <c r="AE153" s="138"/>
      <c r="AF153" s="138"/>
      <c r="AG153" s="138"/>
      <c r="AH153" s="138"/>
      <c r="AI153" s="138"/>
      <c r="AJ153" s="138"/>
      <c r="AK153" s="138"/>
      <c r="AL153" s="138"/>
      <c r="AM153" s="138"/>
      <c r="AN153" s="138"/>
      <c r="AO153" s="138"/>
      <c r="AP153" s="138"/>
      <c r="AQ153" s="138"/>
      <c r="AR153" s="138"/>
      <c r="AS153" s="138"/>
      <c r="AT153" s="138"/>
      <c r="AU153" s="138"/>
      <c r="AV153" s="138"/>
      <c r="AW153" s="138"/>
      <c r="AX153" s="138"/>
      <c r="AY153" s="138"/>
      <c r="AZ153" s="138"/>
      <c r="BA153" s="138"/>
      <c r="BB153" s="138"/>
      <c r="BC153" s="138"/>
      <c r="BD153" s="138"/>
      <c r="BE153" s="138"/>
      <c r="BF153" s="138"/>
      <c r="BG153" s="138"/>
      <c r="BH153" s="138"/>
      <c r="BI153" s="138"/>
      <c r="BJ153" s="138"/>
      <c r="BK153" s="138"/>
      <c r="BL153" s="138"/>
      <c r="BM153" s="138"/>
      <c r="BN153" s="138"/>
      <c r="BO153" s="138"/>
      <c r="BP153" s="138"/>
      <c r="BQ153" s="138"/>
      <c r="BR153" s="138"/>
      <c r="BS153" s="138"/>
      <c r="BT153" s="138"/>
      <c r="BU153" s="138"/>
      <c r="BV153" s="138"/>
      <c r="BW153" s="138"/>
      <c r="BX153" s="138"/>
      <c r="BY153" s="138"/>
      <c r="BZ153" s="138"/>
      <c r="CA153" s="138"/>
      <c r="CB153" s="138"/>
      <c r="CC153" s="138"/>
      <c r="CD153" s="138"/>
      <c r="CE153" s="138"/>
      <c r="CF153" s="138"/>
      <c r="CG153" s="138"/>
      <c r="CH153" s="138"/>
      <c r="CI153" s="138"/>
      <c r="CJ153" s="138"/>
      <c r="CK153" s="138"/>
      <c r="CL153" s="138"/>
      <c r="CM153" s="138"/>
      <c r="CN153" s="138"/>
      <c r="CO153" s="138"/>
      <c r="CP153" s="138"/>
      <c r="CQ153" s="138"/>
      <c r="CR153" s="138"/>
      <c r="CS153" s="138"/>
      <c r="CT153" s="138"/>
      <c r="CU153" s="138"/>
      <c r="CV153" s="138"/>
      <c r="CW153" s="138"/>
      <c r="CX153" s="138"/>
      <c r="CY153" s="138"/>
      <c r="CZ153" s="138"/>
      <c r="DA153" s="138"/>
      <c r="DB153" s="138"/>
      <c r="DC153" s="138"/>
      <c r="DD153" s="138"/>
      <c r="DE153" s="138"/>
      <c r="DF153" s="138"/>
      <c r="DG153" s="138"/>
      <c r="DH153" s="138"/>
      <c r="DI153" s="138"/>
      <c r="DJ153" s="138"/>
      <c r="DK153" s="138"/>
      <c r="DL153" s="138"/>
      <c r="DM153" s="138"/>
      <c r="DN153" s="138"/>
      <c r="DO153" s="138"/>
      <c r="DP153" s="138"/>
      <c r="DQ153" s="138"/>
      <c r="DR153" s="138"/>
      <c r="DS153" s="138"/>
      <c r="DT153" s="138"/>
      <c r="DU153" s="138"/>
      <c r="DV153" s="138"/>
      <c r="DW153" s="138"/>
      <c r="DX153" s="138"/>
      <c r="DY153" s="138"/>
      <c r="DZ153" s="138"/>
      <c r="EA153" s="138"/>
      <c r="EB153" s="138"/>
      <c r="EC153" s="138"/>
      <c r="ED153" s="138"/>
      <c r="EE153" s="138"/>
      <c r="EF153" s="138"/>
      <c r="EG153" s="138"/>
      <c r="EH153" s="138"/>
      <c r="EI153" s="138"/>
      <c r="EJ153" s="138"/>
      <c r="EK153" s="138"/>
      <c r="EL153" s="138"/>
      <c r="EM153" s="138"/>
      <c r="EN153" s="138"/>
      <c r="EO153" s="138"/>
      <c r="EP153" s="138"/>
      <c r="EQ153" s="138"/>
      <c r="ER153" s="138"/>
      <c r="ES153" s="138"/>
      <c r="ET153" s="138"/>
      <c r="EU153" s="138"/>
      <c r="EV153" s="138"/>
      <c r="EW153" s="138"/>
      <c r="EX153" s="138"/>
      <c r="EY153" s="138"/>
      <c r="EZ153" s="138"/>
      <c r="FA153" s="138"/>
      <c r="FB153" s="138"/>
      <c r="FC153" s="138"/>
      <c r="FD153" s="138"/>
      <c r="FE153" s="138"/>
      <c r="FF153" s="138"/>
      <c r="FG153" s="138"/>
      <c r="FH153" s="138"/>
      <c r="FI153" s="138"/>
      <c r="FJ153" s="138"/>
      <c r="FK153" s="138"/>
      <c r="FL153" s="138"/>
      <c r="FM153" s="138"/>
      <c r="FN153" s="138"/>
      <c r="FO153" s="138"/>
      <c r="FP153" s="138"/>
      <c r="FQ153" s="138"/>
      <c r="FR153" s="138"/>
      <c r="FS153" s="138"/>
      <c r="FT153" s="138"/>
      <c r="FU153" s="138"/>
      <c r="FV153" s="138"/>
      <c r="FW153" s="138"/>
      <c r="FX153" s="138"/>
      <c r="FY153" s="138"/>
      <c r="FZ153" s="138"/>
      <c r="GA153" s="138"/>
      <c r="GB153" s="138"/>
      <c r="GC153" s="138"/>
      <c r="GD153" s="138"/>
      <c r="GE153" s="138"/>
      <c r="GF153" s="138"/>
      <c r="GG153" s="138"/>
      <c r="GH153" s="138"/>
      <c r="GI153" s="138"/>
      <c r="GJ153" s="138"/>
      <c r="GK153" s="138"/>
      <c r="GL153" s="138"/>
      <c r="GM153" s="138"/>
      <c r="GN153" s="138"/>
      <c r="GO153" s="138"/>
      <c r="GP153" s="138"/>
      <c r="GQ153" s="138"/>
      <c r="GR153" s="138"/>
      <c r="GS153" s="138"/>
      <c r="GT153" s="138"/>
      <c r="GU153" s="138"/>
      <c r="GV153" s="138"/>
      <c r="GW153" s="138"/>
      <c r="GX153" s="138"/>
      <c r="GY153" s="138"/>
      <c r="GZ153" s="138"/>
      <c r="HA153" s="138"/>
      <c r="HB153" s="138"/>
      <c r="HC153" s="138"/>
      <c r="HD153" s="138"/>
      <c r="HE153" s="138"/>
      <c r="HF153" s="138"/>
      <c r="HG153" s="138"/>
      <c r="HH153" s="138"/>
      <c r="HI153" s="138"/>
      <c r="HJ153" s="138"/>
      <c r="HK153" s="138"/>
      <c r="HL153" s="138"/>
      <c r="HM153" s="138"/>
      <c r="HN153" s="138"/>
      <c r="HO153" s="138"/>
      <c r="HP153" s="138"/>
      <c r="HQ153" s="138"/>
      <c r="HR153" s="138"/>
      <c r="HS153" s="138"/>
      <c r="HT153" s="138"/>
      <c r="HU153" s="138"/>
      <c r="HV153" s="138"/>
      <c r="HW153" s="138"/>
      <c r="HX153" s="138"/>
      <c r="HY153" s="138"/>
      <c r="HZ153" s="138"/>
      <c r="IA153" s="138"/>
      <c r="IB153" s="138"/>
      <c r="IC153" s="138"/>
      <c r="ID153" s="138"/>
      <c r="IE153" s="138"/>
      <c r="IF153" s="138"/>
      <c r="IG153" s="138"/>
      <c r="IH153" s="138"/>
      <c r="II153" s="138"/>
      <c r="IJ153" s="138"/>
      <c r="IK153" s="138"/>
      <c r="IL153" s="138"/>
      <c r="IM153" s="138"/>
      <c r="IN153" s="138"/>
      <c r="IO153" s="138"/>
    </row>
    <row r="154" spans="2:249">
      <c r="B154" s="156"/>
      <c r="C154" s="137" t="str">
        <f>C67</f>
        <v>Number of Child(ren)</v>
      </c>
      <c r="D154" s="107">
        <f t="shared" ref="D154:AK154" si="16">$C$68</f>
        <v>1</v>
      </c>
      <c r="E154" s="107">
        <f t="shared" si="16"/>
        <v>1</v>
      </c>
      <c r="F154" s="107">
        <f t="shared" si="16"/>
        <v>1</v>
      </c>
      <c r="G154" s="107">
        <f t="shared" si="16"/>
        <v>1</v>
      </c>
      <c r="H154" s="107">
        <f t="shared" si="16"/>
        <v>1</v>
      </c>
      <c r="I154" s="107">
        <f t="shared" si="16"/>
        <v>1</v>
      </c>
      <c r="J154" s="107">
        <f t="shared" si="16"/>
        <v>1</v>
      </c>
      <c r="K154" s="107">
        <f t="shared" si="16"/>
        <v>1</v>
      </c>
      <c r="L154" s="107">
        <f t="shared" si="16"/>
        <v>1</v>
      </c>
      <c r="M154" s="107">
        <f t="shared" si="16"/>
        <v>1</v>
      </c>
      <c r="N154" s="107">
        <f t="shared" si="16"/>
        <v>1</v>
      </c>
      <c r="O154" s="107">
        <f t="shared" si="16"/>
        <v>1</v>
      </c>
      <c r="P154" s="107">
        <f t="shared" si="16"/>
        <v>1</v>
      </c>
      <c r="Q154" s="107">
        <f t="shared" si="16"/>
        <v>1</v>
      </c>
      <c r="R154" s="107">
        <f t="shared" si="16"/>
        <v>1</v>
      </c>
      <c r="S154" s="107">
        <f t="shared" si="16"/>
        <v>1</v>
      </c>
      <c r="T154" s="107">
        <f t="shared" si="16"/>
        <v>1</v>
      </c>
      <c r="U154" s="107">
        <f t="shared" si="16"/>
        <v>1</v>
      </c>
      <c r="V154" s="107">
        <f t="shared" si="16"/>
        <v>1</v>
      </c>
      <c r="W154" s="107">
        <f t="shared" si="16"/>
        <v>1</v>
      </c>
      <c r="X154" s="107">
        <f t="shared" si="16"/>
        <v>1</v>
      </c>
      <c r="Y154" s="107">
        <f t="shared" si="16"/>
        <v>1</v>
      </c>
      <c r="Z154" s="107">
        <f t="shared" si="16"/>
        <v>1</v>
      </c>
      <c r="AA154" s="107">
        <f t="shared" si="16"/>
        <v>1</v>
      </c>
      <c r="AB154" s="107">
        <f t="shared" si="16"/>
        <v>1</v>
      </c>
      <c r="AC154" s="107">
        <f t="shared" si="16"/>
        <v>1</v>
      </c>
      <c r="AD154" s="107">
        <f t="shared" si="16"/>
        <v>1</v>
      </c>
      <c r="AE154" s="107">
        <f t="shared" si="16"/>
        <v>1</v>
      </c>
      <c r="AF154" s="107">
        <f t="shared" si="16"/>
        <v>1</v>
      </c>
      <c r="AG154" s="107">
        <f t="shared" si="16"/>
        <v>1</v>
      </c>
      <c r="AH154" s="107">
        <f t="shared" si="16"/>
        <v>1</v>
      </c>
      <c r="AI154" s="107">
        <f t="shared" si="16"/>
        <v>1</v>
      </c>
      <c r="AJ154" s="107">
        <f t="shared" si="16"/>
        <v>1</v>
      </c>
      <c r="AK154" s="107">
        <f t="shared" si="16"/>
        <v>1</v>
      </c>
      <c r="AL154" s="107">
        <f t="shared" ref="AL154:CD154" si="17">$C$68</f>
        <v>1</v>
      </c>
      <c r="AM154" s="107">
        <f t="shared" si="17"/>
        <v>1</v>
      </c>
      <c r="AN154" s="107">
        <f t="shared" si="17"/>
        <v>1</v>
      </c>
      <c r="AO154" s="107">
        <f t="shared" si="17"/>
        <v>1</v>
      </c>
      <c r="AP154" s="107">
        <f t="shared" si="17"/>
        <v>1</v>
      </c>
      <c r="AQ154" s="107">
        <f t="shared" si="17"/>
        <v>1</v>
      </c>
      <c r="AR154" s="107">
        <f t="shared" si="17"/>
        <v>1</v>
      </c>
      <c r="AS154" s="107">
        <f t="shared" si="17"/>
        <v>1</v>
      </c>
      <c r="AT154" s="107">
        <f t="shared" si="17"/>
        <v>1</v>
      </c>
      <c r="AU154" s="107">
        <f t="shared" si="17"/>
        <v>1</v>
      </c>
      <c r="AV154" s="107">
        <f t="shared" si="17"/>
        <v>1</v>
      </c>
      <c r="AW154" s="107">
        <f t="shared" si="17"/>
        <v>1</v>
      </c>
      <c r="AX154" s="107">
        <f t="shared" si="17"/>
        <v>1</v>
      </c>
      <c r="AY154" s="107">
        <f t="shared" si="17"/>
        <v>1</v>
      </c>
      <c r="AZ154" s="107">
        <f t="shared" si="17"/>
        <v>1</v>
      </c>
      <c r="BA154" s="107">
        <f t="shared" si="17"/>
        <v>1</v>
      </c>
      <c r="BB154" s="107">
        <f t="shared" si="17"/>
        <v>1</v>
      </c>
      <c r="BC154" s="107">
        <f t="shared" si="17"/>
        <v>1</v>
      </c>
      <c r="BD154" s="107">
        <f t="shared" si="17"/>
        <v>1</v>
      </c>
      <c r="BE154" s="107">
        <f t="shared" si="17"/>
        <v>1</v>
      </c>
      <c r="BF154" s="107">
        <f t="shared" si="17"/>
        <v>1</v>
      </c>
      <c r="BG154" s="107">
        <f t="shared" si="17"/>
        <v>1</v>
      </c>
      <c r="BH154" s="107">
        <f t="shared" si="17"/>
        <v>1</v>
      </c>
      <c r="BI154" s="107">
        <f t="shared" si="17"/>
        <v>1</v>
      </c>
      <c r="BJ154" s="107">
        <f t="shared" si="17"/>
        <v>1</v>
      </c>
      <c r="BK154" s="107">
        <f t="shared" si="17"/>
        <v>1</v>
      </c>
      <c r="BL154" s="107">
        <f t="shared" si="17"/>
        <v>1</v>
      </c>
      <c r="BM154" s="107">
        <f t="shared" si="17"/>
        <v>1</v>
      </c>
      <c r="BN154" s="107">
        <f t="shared" si="17"/>
        <v>1</v>
      </c>
      <c r="BO154" s="107">
        <f t="shared" si="17"/>
        <v>1</v>
      </c>
      <c r="BP154" s="107">
        <f t="shared" si="17"/>
        <v>1</v>
      </c>
      <c r="BQ154" s="107">
        <f t="shared" si="17"/>
        <v>1</v>
      </c>
      <c r="BR154" s="107">
        <f t="shared" si="17"/>
        <v>1</v>
      </c>
      <c r="BS154" s="107">
        <f t="shared" si="17"/>
        <v>1</v>
      </c>
      <c r="BT154" s="107">
        <f t="shared" si="17"/>
        <v>1</v>
      </c>
      <c r="BU154" s="107">
        <f t="shared" si="17"/>
        <v>1</v>
      </c>
      <c r="BV154" s="107">
        <f t="shared" si="17"/>
        <v>1</v>
      </c>
      <c r="BW154" s="107">
        <f t="shared" si="17"/>
        <v>1</v>
      </c>
      <c r="BX154" s="107">
        <f t="shared" si="17"/>
        <v>1</v>
      </c>
      <c r="BY154" s="107">
        <f t="shared" si="17"/>
        <v>1</v>
      </c>
      <c r="BZ154" s="107">
        <f t="shared" si="17"/>
        <v>1</v>
      </c>
      <c r="CA154" s="107">
        <f t="shared" si="17"/>
        <v>1</v>
      </c>
      <c r="CB154" s="107">
        <f t="shared" si="17"/>
        <v>1</v>
      </c>
      <c r="CC154" s="107">
        <f t="shared" si="17"/>
        <v>1</v>
      </c>
      <c r="CD154" s="107">
        <f t="shared" si="17"/>
        <v>1</v>
      </c>
      <c r="CE154" s="107"/>
      <c r="CF154" s="107"/>
      <c r="CG154" s="107"/>
      <c r="CH154" s="107"/>
      <c r="CI154" s="107"/>
      <c r="CJ154" s="107"/>
      <c r="CK154" s="107"/>
      <c r="CL154" s="107"/>
      <c r="CM154" s="107"/>
      <c r="CN154" s="107"/>
      <c r="CO154" s="107"/>
      <c r="CP154" s="107"/>
      <c r="CQ154" s="107"/>
      <c r="CR154" s="107"/>
      <c r="CS154" s="107"/>
      <c r="CT154" s="107"/>
      <c r="CU154" s="107"/>
      <c r="CV154" s="107"/>
      <c r="CW154" s="107"/>
      <c r="CX154" s="107"/>
      <c r="CY154" s="107"/>
      <c r="CZ154" s="107"/>
      <c r="DA154" s="107"/>
      <c r="DB154" s="107"/>
      <c r="DC154" s="107"/>
      <c r="DD154" s="107"/>
      <c r="DE154" s="107"/>
      <c r="DF154" s="107"/>
      <c r="DG154" s="107"/>
      <c r="DH154" s="107"/>
      <c r="DI154" s="107"/>
      <c r="DJ154" s="107"/>
      <c r="DK154" s="107"/>
      <c r="DL154" s="107"/>
      <c r="DM154" s="107"/>
      <c r="DN154" s="107"/>
      <c r="DO154" s="107"/>
      <c r="DP154" s="107"/>
      <c r="DQ154" s="107"/>
      <c r="DR154" s="107"/>
      <c r="DS154" s="107"/>
      <c r="DT154" s="107"/>
      <c r="DU154" s="107"/>
      <c r="DV154" s="107"/>
      <c r="DW154" s="107"/>
      <c r="DX154" s="107"/>
      <c r="DY154" s="107"/>
      <c r="DZ154" s="107"/>
      <c r="EA154" s="107"/>
      <c r="EB154" s="107"/>
      <c r="EC154" s="107"/>
      <c r="ED154" s="107"/>
      <c r="EE154" s="107"/>
      <c r="EF154" s="107"/>
      <c r="EG154" s="107"/>
      <c r="EH154" s="107"/>
      <c r="EI154" s="107"/>
      <c r="EJ154" s="107"/>
      <c r="EK154" s="107"/>
      <c r="EL154" s="107"/>
      <c r="EM154" s="107"/>
      <c r="EN154" s="107"/>
      <c r="EO154" s="107"/>
      <c r="EP154" s="107"/>
      <c r="EQ154" s="107"/>
      <c r="ER154" s="107"/>
      <c r="ES154" s="107"/>
      <c r="ET154" s="107"/>
      <c r="EU154" s="107"/>
      <c r="EV154" s="107"/>
      <c r="EW154" s="107"/>
      <c r="EX154" s="107"/>
      <c r="EY154" s="107"/>
      <c r="EZ154" s="107"/>
      <c r="FA154" s="107"/>
      <c r="FB154" s="107"/>
      <c r="FC154" s="107"/>
      <c r="FD154" s="107"/>
      <c r="FE154" s="107"/>
      <c r="FF154" s="107"/>
      <c r="FG154" s="107"/>
      <c r="FH154" s="107"/>
      <c r="FI154" s="107"/>
      <c r="FJ154" s="107"/>
      <c r="FK154" s="107"/>
      <c r="FL154" s="107"/>
      <c r="FM154" s="107"/>
      <c r="FN154" s="107"/>
      <c r="FO154" s="107"/>
      <c r="FP154" s="107"/>
      <c r="FQ154" s="107"/>
      <c r="FR154" s="107"/>
      <c r="FS154" s="107"/>
      <c r="FT154" s="107"/>
      <c r="FU154" s="107"/>
      <c r="FV154" s="107"/>
      <c r="FW154" s="107"/>
      <c r="FX154" s="107"/>
      <c r="FY154" s="107"/>
      <c r="FZ154" s="107"/>
      <c r="GA154" s="107"/>
      <c r="GB154" s="107"/>
      <c r="GC154" s="107"/>
      <c r="GD154" s="107"/>
      <c r="GE154" s="107"/>
      <c r="GF154" s="107"/>
      <c r="GG154" s="107"/>
      <c r="GH154" s="107"/>
      <c r="GI154" s="107"/>
      <c r="GJ154" s="107"/>
      <c r="GK154" s="107"/>
      <c r="GL154" s="107"/>
      <c r="GM154" s="107"/>
      <c r="GN154" s="107"/>
      <c r="GO154" s="107"/>
      <c r="GP154" s="107"/>
      <c r="GQ154" s="107"/>
      <c r="GR154" s="107"/>
      <c r="GS154" s="107"/>
      <c r="GT154" s="107"/>
      <c r="GU154" s="107"/>
      <c r="GV154" s="107"/>
      <c r="GW154" s="107"/>
      <c r="GX154" s="107"/>
      <c r="GY154" s="107"/>
      <c r="GZ154" s="107"/>
      <c r="HA154" s="107"/>
      <c r="HB154" s="107"/>
      <c r="HC154" s="107"/>
      <c r="HD154" s="107"/>
      <c r="HE154" s="107"/>
      <c r="HF154" s="107"/>
      <c r="HG154" s="107"/>
      <c r="HH154" s="107"/>
      <c r="HI154" s="107"/>
      <c r="HJ154" s="107"/>
      <c r="HK154" s="107"/>
      <c r="HL154" s="107"/>
      <c r="HM154" s="107"/>
      <c r="HN154" s="107"/>
      <c r="HO154" s="107"/>
      <c r="HP154" s="107"/>
      <c r="HQ154" s="107"/>
      <c r="HR154" s="107"/>
      <c r="HS154" s="107"/>
      <c r="HT154" s="107"/>
      <c r="HU154" s="107"/>
      <c r="HV154" s="107"/>
      <c r="HW154" s="107"/>
      <c r="HX154" s="107"/>
      <c r="HY154" s="107"/>
      <c r="HZ154" s="107"/>
      <c r="IA154" s="107"/>
      <c r="IB154" s="107"/>
      <c r="IC154" s="107"/>
      <c r="ID154" s="107"/>
      <c r="IE154" s="107"/>
      <c r="IF154" s="107"/>
      <c r="IG154" s="107"/>
      <c r="IH154" s="107"/>
      <c r="II154" s="107"/>
      <c r="IJ154" s="107"/>
      <c r="IK154" s="107"/>
      <c r="IL154" s="107"/>
      <c r="IM154" s="107"/>
      <c r="IN154" s="107"/>
      <c r="IO154" s="107"/>
    </row>
    <row r="155" spans="2:249">
      <c r="B155" s="135" t="s">
        <v>452</v>
      </c>
      <c r="C155" s="135"/>
      <c r="D155" s="138"/>
      <c r="E155" s="138"/>
      <c r="F155" s="138"/>
      <c r="G155" s="138"/>
      <c r="H155" s="138"/>
      <c r="I155" s="138"/>
      <c r="J155" s="138"/>
      <c r="K155" s="138"/>
      <c r="L155" s="138"/>
      <c r="M155" s="138"/>
      <c r="N155" s="138"/>
      <c r="O155" s="138"/>
      <c r="P155" s="138"/>
      <c r="Q155" s="138"/>
      <c r="R155" s="138"/>
      <c r="S155" s="138"/>
      <c r="T155" s="138"/>
      <c r="U155" s="138"/>
      <c r="V155" s="138"/>
      <c r="W155" s="138"/>
      <c r="X155" s="138"/>
      <c r="Y155" s="138"/>
      <c r="Z155" s="138"/>
      <c r="AA155" s="138"/>
      <c r="AB155" s="138"/>
      <c r="AC155" s="138"/>
      <c r="AD155" s="138"/>
      <c r="AE155" s="138"/>
      <c r="AF155" s="138"/>
      <c r="AG155" s="138"/>
      <c r="AH155" s="138"/>
      <c r="AI155" s="138"/>
      <c r="AJ155" s="138"/>
      <c r="AK155" s="138"/>
      <c r="AL155" s="138"/>
      <c r="AM155" s="138"/>
      <c r="AN155" s="138"/>
      <c r="AO155" s="138"/>
      <c r="AP155" s="138"/>
      <c r="AQ155" s="138"/>
      <c r="AR155" s="138"/>
      <c r="AS155" s="138"/>
      <c r="AT155" s="138"/>
      <c r="AU155" s="138"/>
      <c r="AV155" s="138"/>
      <c r="AW155" s="138"/>
      <c r="AX155" s="138"/>
      <c r="AY155" s="138"/>
      <c r="AZ155" s="138"/>
      <c r="BA155" s="138"/>
      <c r="BB155" s="138"/>
      <c r="BC155" s="138"/>
      <c r="BD155" s="138"/>
      <c r="BE155" s="138"/>
      <c r="BF155" s="138"/>
      <c r="BG155" s="138"/>
      <c r="BH155" s="138"/>
      <c r="BI155" s="138"/>
      <c r="BJ155" s="138"/>
      <c r="BK155" s="138"/>
      <c r="BL155" s="138"/>
      <c r="BM155" s="138"/>
      <c r="BN155" s="138"/>
      <c r="BO155" s="138"/>
      <c r="BP155" s="138"/>
      <c r="BQ155" s="138"/>
      <c r="BR155" s="138"/>
      <c r="BS155" s="138"/>
      <c r="BT155" s="138"/>
      <c r="BU155" s="138"/>
      <c r="BV155" s="138"/>
      <c r="BW155" s="138"/>
      <c r="BX155" s="138"/>
      <c r="BY155" s="138"/>
      <c r="BZ155" s="138"/>
      <c r="CA155" s="138"/>
      <c r="CB155" s="138"/>
      <c r="CC155" s="138"/>
      <c r="CD155" s="138"/>
      <c r="CE155" s="138"/>
      <c r="CF155" s="138"/>
      <c r="CG155" s="138"/>
      <c r="CH155" s="138"/>
      <c r="CI155" s="138"/>
      <c r="CJ155" s="138"/>
      <c r="CK155" s="138"/>
      <c r="CL155" s="138"/>
      <c r="CM155" s="138"/>
      <c r="CN155" s="138"/>
      <c r="CO155" s="138"/>
      <c r="CP155" s="138"/>
      <c r="CQ155" s="138"/>
      <c r="CR155" s="138"/>
      <c r="CS155" s="138"/>
      <c r="CT155" s="138"/>
      <c r="CU155" s="138"/>
      <c r="CV155" s="138"/>
      <c r="CW155" s="138"/>
      <c r="CX155" s="138"/>
      <c r="CY155" s="138"/>
      <c r="CZ155" s="138"/>
      <c r="DA155" s="138"/>
      <c r="DB155" s="138"/>
      <c r="DC155" s="138"/>
      <c r="DD155" s="138"/>
      <c r="DE155" s="138"/>
      <c r="DF155" s="138"/>
      <c r="DG155" s="138"/>
      <c r="DH155" s="138"/>
      <c r="DI155" s="138"/>
      <c r="DJ155" s="138"/>
      <c r="DK155" s="138"/>
      <c r="DL155" s="138"/>
      <c r="DM155" s="138"/>
      <c r="DN155" s="138"/>
      <c r="DO155" s="138"/>
      <c r="DP155" s="138"/>
      <c r="DQ155" s="138"/>
      <c r="DR155" s="138"/>
      <c r="DS155" s="138"/>
      <c r="DT155" s="138"/>
      <c r="DU155" s="138"/>
      <c r="DV155" s="138"/>
      <c r="DW155" s="138"/>
      <c r="DX155" s="138"/>
      <c r="DY155" s="138"/>
      <c r="DZ155" s="138"/>
      <c r="EA155" s="138"/>
      <c r="EB155" s="138"/>
      <c r="EC155" s="138"/>
      <c r="ED155" s="138"/>
      <c r="EE155" s="138"/>
      <c r="EF155" s="138"/>
      <c r="EG155" s="138"/>
      <c r="EH155" s="138"/>
      <c r="EI155" s="138"/>
      <c r="EJ155" s="138"/>
      <c r="EK155" s="138"/>
      <c r="EL155" s="138"/>
      <c r="EM155" s="138"/>
      <c r="EN155" s="138"/>
      <c r="EO155" s="138"/>
      <c r="EP155" s="138"/>
      <c r="EQ155" s="138"/>
      <c r="ER155" s="138"/>
      <c r="ES155" s="138"/>
      <c r="ET155" s="138"/>
      <c r="EU155" s="138"/>
      <c r="EV155" s="138"/>
      <c r="EW155" s="138"/>
      <c r="EX155" s="138"/>
      <c r="EY155" s="138"/>
      <c r="EZ155" s="138"/>
      <c r="FA155" s="138"/>
      <c r="FB155" s="138"/>
      <c r="FC155" s="138"/>
      <c r="FD155" s="138"/>
      <c r="FE155" s="138"/>
      <c r="FF155" s="138"/>
      <c r="FG155" s="138"/>
      <c r="FH155" s="138"/>
      <c r="FI155" s="138"/>
      <c r="FJ155" s="138"/>
      <c r="FK155" s="138"/>
      <c r="FL155" s="138"/>
      <c r="FM155" s="138"/>
      <c r="FN155" s="138"/>
      <c r="FO155" s="138"/>
      <c r="FP155" s="138"/>
      <c r="FQ155" s="138"/>
      <c r="FR155" s="138"/>
      <c r="FS155" s="138"/>
      <c r="FT155" s="138"/>
      <c r="FU155" s="138"/>
      <c r="FV155" s="138"/>
      <c r="FW155" s="138"/>
      <c r="FX155" s="138"/>
      <c r="FY155" s="138"/>
      <c r="FZ155" s="138"/>
      <c r="GA155" s="138"/>
      <c r="GB155" s="138"/>
      <c r="GC155" s="138"/>
      <c r="GD155" s="138"/>
      <c r="GE155" s="138"/>
      <c r="GF155" s="138"/>
      <c r="GG155" s="138"/>
      <c r="GH155" s="138"/>
      <c r="GI155" s="138"/>
      <c r="GJ155" s="138"/>
      <c r="GK155" s="138"/>
      <c r="GL155" s="138"/>
      <c r="GM155" s="138"/>
      <c r="GN155" s="138"/>
      <c r="GO155" s="138"/>
      <c r="GP155" s="138"/>
      <c r="GQ155" s="138"/>
      <c r="GR155" s="138"/>
      <c r="GS155" s="138"/>
      <c r="GT155" s="138"/>
      <c r="GU155" s="138"/>
      <c r="GV155" s="138"/>
      <c r="GW155" s="138"/>
      <c r="GX155" s="138"/>
      <c r="GY155" s="138"/>
      <c r="GZ155" s="138"/>
      <c r="HA155" s="138"/>
      <c r="HB155" s="138"/>
      <c r="HC155" s="138"/>
      <c r="HD155" s="138"/>
      <c r="HE155" s="138"/>
      <c r="HF155" s="138"/>
      <c r="HG155" s="138"/>
      <c r="HH155" s="138"/>
      <c r="HI155" s="138"/>
      <c r="HJ155" s="138"/>
      <c r="HK155" s="138"/>
      <c r="HL155" s="138"/>
      <c r="HM155" s="138"/>
      <c r="HN155" s="138"/>
      <c r="HO155" s="138"/>
      <c r="HP155" s="138"/>
      <c r="HQ155" s="138"/>
      <c r="HR155" s="138"/>
      <c r="HS155" s="138"/>
      <c r="HT155" s="138"/>
      <c r="HU155" s="138"/>
      <c r="HV155" s="138"/>
      <c r="HW155" s="138"/>
      <c r="HX155" s="138"/>
      <c r="HY155" s="138"/>
      <c r="HZ155" s="138"/>
      <c r="IA155" s="138"/>
      <c r="IB155" s="138"/>
      <c r="IC155" s="138"/>
      <c r="ID155" s="138"/>
      <c r="IE155" s="138"/>
      <c r="IF155" s="138"/>
      <c r="IG155" s="138"/>
      <c r="IH155" s="138"/>
      <c r="II155" s="138"/>
      <c r="IJ155" s="138"/>
      <c r="IK155" s="138"/>
      <c r="IL155" s="138"/>
      <c r="IM155" s="138"/>
      <c r="IN155" s="138"/>
      <c r="IO155" s="138"/>
    </row>
    <row r="156" spans="2:249">
      <c r="B156" s="156"/>
      <c r="C156" s="137" t="str">
        <f>C69</f>
        <v>Age of Child</v>
      </c>
      <c r="D156" s="107" t="str">
        <f t="shared" ref="D156:AK156" si="18">$C$70</f>
        <v>&lt;= 5yr</v>
      </c>
      <c r="E156" s="107" t="str">
        <f t="shared" si="18"/>
        <v>&lt;= 5yr</v>
      </c>
      <c r="F156" s="107" t="str">
        <f t="shared" si="18"/>
        <v>&lt;= 5yr</v>
      </c>
      <c r="G156" s="107" t="str">
        <f t="shared" si="18"/>
        <v>&lt;= 5yr</v>
      </c>
      <c r="H156" s="107" t="str">
        <f t="shared" si="18"/>
        <v>&lt;= 5yr</v>
      </c>
      <c r="I156" s="107" t="str">
        <f t="shared" si="18"/>
        <v>&lt;= 5yr</v>
      </c>
      <c r="J156" s="107" t="str">
        <f t="shared" si="18"/>
        <v>&lt;= 5yr</v>
      </c>
      <c r="K156" s="107" t="str">
        <f t="shared" si="18"/>
        <v>&lt;= 5yr</v>
      </c>
      <c r="L156" s="107" t="str">
        <f t="shared" si="18"/>
        <v>&lt;= 5yr</v>
      </c>
      <c r="M156" s="107" t="str">
        <f t="shared" si="18"/>
        <v>&lt;= 5yr</v>
      </c>
      <c r="N156" s="107" t="str">
        <f t="shared" si="18"/>
        <v>&lt;= 5yr</v>
      </c>
      <c r="O156" s="107" t="str">
        <f t="shared" si="18"/>
        <v>&lt;= 5yr</v>
      </c>
      <c r="P156" s="107" t="str">
        <f t="shared" si="18"/>
        <v>&lt;= 5yr</v>
      </c>
      <c r="Q156" s="107" t="str">
        <f t="shared" si="18"/>
        <v>&lt;= 5yr</v>
      </c>
      <c r="R156" s="107" t="str">
        <f t="shared" si="18"/>
        <v>&lt;= 5yr</v>
      </c>
      <c r="S156" s="107" t="str">
        <f t="shared" si="18"/>
        <v>&lt;= 5yr</v>
      </c>
      <c r="T156" s="107" t="str">
        <f t="shared" si="18"/>
        <v>&lt;= 5yr</v>
      </c>
      <c r="U156" s="107" t="str">
        <f t="shared" si="18"/>
        <v>&lt;= 5yr</v>
      </c>
      <c r="V156" s="107" t="str">
        <f t="shared" si="18"/>
        <v>&lt;= 5yr</v>
      </c>
      <c r="W156" s="107" t="str">
        <f t="shared" si="18"/>
        <v>&lt;= 5yr</v>
      </c>
      <c r="X156" s="107" t="str">
        <f t="shared" si="18"/>
        <v>&lt;= 5yr</v>
      </c>
      <c r="Y156" s="107" t="str">
        <f t="shared" si="18"/>
        <v>&lt;= 5yr</v>
      </c>
      <c r="Z156" s="107" t="str">
        <f t="shared" si="18"/>
        <v>&lt;= 5yr</v>
      </c>
      <c r="AA156" s="107" t="str">
        <f t="shared" si="18"/>
        <v>&lt;= 5yr</v>
      </c>
      <c r="AB156" s="107" t="str">
        <f t="shared" si="18"/>
        <v>&lt;= 5yr</v>
      </c>
      <c r="AC156" s="107" t="str">
        <f t="shared" si="18"/>
        <v>&lt;= 5yr</v>
      </c>
      <c r="AD156" s="107" t="str">
        <f t="shared" si="18"/>
        <v>&lt;= 5yr</v>
      </c>
      <c r="AE156" s="107" t="str">
        <f t="shared" si="18"/>
        <v>&lt;= 5yr</v>
      </c>
      <c r="AF156" s="107" t="str">
        <f t="shared" si="18"/>
        <v>&lt;= 5yr</v>
      </c>
      <c r="AG156" s="107" t="str">
        <f t="shared" si="18"/>
        <v>&lt;= 5yr</v>
      </c>
      <c r="AH156" s="107" t="str">
        <f t="shared" si="18"/>
        <v>&lt;= 5yr</v>
      </c>
      <c r="AI156" s="107" t="str">
        <f t="shared" si="18"/>
        <v>&lt;= 5yr</v>
      </c>
      <c r="AJ156" s="107" t="str">
        <f t="shared" si="18"/>
        <v>&lt;= 5yr</v>
      </c>
      <c r="AK156" s="107" t="str">
        <f t="shared" si="18"/>
        <v>&lt;= 5yr</v>
      </c>
      <c r="AL156" s="107" t="str">
        <f t="shared" ref="AL156:CD156" si="19">$C$70</f>
        <v>&lt;= 5yr</v>
      </c>
      <c r="AM156" s="107" t="str">
        <f t="shared" si="19"/>
        <v>&lt;= 5yr</v>
      </c>
      <c r="AN156" s="107" t="str">
        <f t="shared" si="19"/>
        <v>&lt;= 5yr</v>
      </c>
      <c r="AO156" s="107" t="str">
        <f t="shared" si="19"/>
        <v>&lt;= 5yr</v>
      </c>
      <c r="AP156" s="107" t="str">
        <f t="shared" si="19"/>
        <v>&lt;= 5yr</v>
      </c>
      <c r="AQ156" s="107" t="str">
        <f t="shared" si="19"/>
        <v>&lt;= 5yr</v>
      </c>
      <c r="AR156" s="107" t="str">
        <f t="shared" si="19"/>
        <v>&lt;= 5yr</v>
      </c>
      <c r="AS156" s="107" t="str">
        <f t="shared" si="19"/>
        <v>&lt;= 5yr</v>
      </c>
      <c r="AT156" s="107" t="str">
        <f t="shared" si="19"/>
        <v>&lt;= 5yr</v>
      </c>
      <c r="AU156" s="107" t="str">
        <f t="shared" si="19"/>
        <v>&lt;= 5yr</v>
      </c>
      <c r="AV156" s="107" t="str">
        <f t="shared" si="19"/>
        <v>&lt;= 5yr</v>
      </c>
      <c r="AW156" s="107" t="str">
        <f t="shared" si="19"/>
        <v>&lt;= 5yr</v>
      </c>
      <c r="AX156" s="107" t="str">
        <f t="shared" si="19"/>
        <v>&lt;= 5yr</v>
      </c>
      <c r="AY156" s="107" t="str">
        <f t="shared" si="19"/>
        <v>&lt;= 5yr</v>
      </c>
      <c r="AZ156" s="107" t="str">
        <f t="shared" si="19"/>
        <v>&lt;= 5yr</v>
      </c>
      <c r="BA156" s="107" t="str">
        <f t="shared" si="19"/>
        <v>&lt;= 5yr</v>
      </c>
      <c r="BB156" s="107" t="str">
        <f t="shared" si="19"/>
        <v>&lt;= 5yr</v>
      </c>
      <c r="BC156" s="107" t="str">
        <f t="shared" si="19"/>
        <v>&lt;= 5yr</v>
      </c>
      <c r="BD156" s="107" t="str">
        <f t="shared" si="19"/>
        <v>&lt;= 5yr</v>
      </c>
      <c r="BE156" s="107" t="str">
        <f t="shared" si="19"/>
        <v>&lt;= 5yr</v>
      </c>
      <c r="BF156" s="107" t="str">
        <f t="shared" si="19"/>
        <v>&lt;= 5yr</v>
      </c>
      <c r="BG156" s="107" t="str">
        <f t="shared" si="19"/>
        <v>&lt;= 5yr</v>
      </c>
      <c r="BH156" s="107" t="str">
        <f t="shared" si="19"/>
        <v>&lt;= 5yr</v>
      </c>
      <c r="BI156" s="107" t="str">
        <f t="shared" si="19"/>
        <v>&lt;= 5yr</v>
      </c>
      <c r="BJ156" s="107" t="str">
        <f t="shared" si="19"/>
        <v>&lt;= 5yr</v>
      </c>
      <c r="BK156" s="107" t="str">
        <f t="shared" si="19"/>
        <v>&lt;= 5yr</v>
      </c>
      <c r="BL156" s="107" t="str">
        <f t="shared" si="19"/>
        <v>&lt;= 5yr</v>
      </c>
      <c r="BM156" s="107" t="str">
        <f t="shared" si="19"/>
        <v>&lt;= 5yr</v>
      </c>
      <c r="BN156" s="107" t="str">
        <f t="shared" si="19"/>
        <v>&lt;= 5yr</v>
      </c>
      <c r="BO156" s="107" t="str">
        <f t="shared" si="19"/>
        <v>&lt;= 5yr</v>
      </c>
      <c r="BP156" s="107" t="str">
        <f t="shared" si="19"/>
        <v>&lt;= 5yr</v>
      </c>
      <c r="BQ156" s="107" t="str">
        <f t="shared" si="19"/>
        <v>&lt;= 5yr</v>
      </c>
      <c r="BR156" s="107" t="str">
        <f t="shared" si="19"/>
        <v>&lt;= 5yr</v>
      </c>
      <c r="BS156" s="107" t="str">
        <f t="shared" si="19"/>
        <v>&lt;= 5yr</v>
      </c>
      <c r="BT156" s="107" t="str">
        <f t="shared" si="19"/>
        <v>&lt;= 5yr</v>
      </c>
      <c r="BU156" s="107" t="str">
        <f t="shared" si="19"/>
        <v>&lt;= 5yr</v>
      </c>
      <c r="BV156" s="107" t="str">
        <f t="shared" si="19"/>
        <v>&lt;= 5yr</v>
      </c>
      <c r="BW156" s="107" t="str">
        <f t="shared" si="19"/>
        <v>&lt;= 5yr</v>
      </c>
      <c r="BX156" s="107" t="str">
        <f t="shared" si="19"/>
        <v>&lt;= 5yr</v>
      </c>
      <c r="BY156" s="107" t="str">
        <f t="shared" si="19"/>
        <v>&lt;= 5yr</v>
      </c>
      <c r="BZ156" s="107" t="str">
        <f t="shared" si="19"/>
        <v>&lt;= 5yr</v>
      </c>
      <c r="CA156" s="107" t="str">
        <f t="shared" si="19"/>
        <v>&lt;= 5yr</v>
      </c>
      <c r="CB156" s="107" t="str">
        <f t="shared" si="19"/>
        <v>&lt;= 5yr</v>
      </c>
      <c r="CC156" s="107" t="str">
        <f t="shared" si="19"/>
        <v>&lt;= 5yr</v>
      </c>
      <c r="CD156" s="107" t="str">
        <f t="shared" si="19"/>
        <v>&lt;= 5yr</v>
      </c>
      <c r="CE156" s="107"/>
      <c r="CF156" s="107"/>
      <c r="CG156" s="107"/>
      <c r="CH156" s="107"/>
      <c r="CI156" s="107"/>
      <c r="CJ156" s="107"/>
      <c r="CK156" s="107"/>
      <c r="CL156" s="107"/>
      <c r="CM156" s="107"/>
      <c r="CN156" s="107"/>
      <c r="CO156" s="107"/>
      <c r="CP156" s="107"/>
      <c r="CQ156" s="107"/>
      <c r="CR156" s="107"/>
      <c r="CS156" s="107"/>
      <c r="CT156" s="107"/>
      <c r="CU156" s="107"/>
      <c r="CV156" s="107"/>
      <c r="CW156" s="107"/>
      <c r="CX156" s="107"/>
      <c r="CY156" s="107"/>
      <c r="CZ156" s="107"/>
      <c r="DA156" s="107"/>
      <c r="DB156" s="107"/>
      <c r="DC156" s="107"/>
      <c r="DD156" s="107"/>
      <c r="DE156" s="107"/>
      <c r="DF156" s="107"/>
      <c r="DG156" s="107"/>
      <c r="DH156" s="107"/>
      <c r="DI156" s="107"/>
      <c r="DJ156" s="107"/>
      <c r="DK156" s="107"/>
      <c r="DL156" s="107"/>
      <c r="DM156" s="107"/>
      <c r="DN156" s="107"/>
      <c r="DO156" s="107"/>
      <c r="DP156" s="107"/>
      <c r="DQ156" s="107"/>
      <c r="DR156" s="107"/>
      <c r="DS156" s="107"/>
      <c r="DT156" s="107"/>
      <c r="DU156" s="107"/>
      <c r="DV156" s="107"/>
      <c r="DW156" s="107"/>
      <c r="DX156" s="107"/>
      <c r="DY156" s="107"/>
      <c r="DZ156" s="107"/>
      <c r="EA156" s="107"/>
      <c r="EB156" s="107"/>
      <c r="EC156" s="107"/>
      <c r="ED156" s="107"/>
      <c r="EE156" s="107"/>
      <c r="EF156" s="107"/>
      <c r="EG156" s="107"/>
      <c r="EH156" s="107"/>
      <c r="EI156" s="107"/>
      <c r="EJ156" s="107"/>
      <c r="EK156" s="107"/>
      <c r="EL156" s="107"/>
      <c r="EM156" s="107"/>
      <c r="EN156" s="107"/>
      <c r="EO156" s="107"/>
      <c r="EP156" s="107"/>
      <c r="EQ156" s="107"/>
      <c r="ER156" s="107"/>
      <c r="ES156" s="107"/>
      <c r="ET156" s="107"/>
      <c r="EU156" s="107"/>
      <c r="EV156" s="107"/>
      <c r="EW156" s="107"/>
      <c r="EX156" s="107"/>
      <c r="EY156" s="107"/>
      <c r="EZ156" s="107"/>
      <c r="FA156" s="107"/>
      <c r="FB156" s="107"/>
      <c r="FC156" s="107"/>
      <c r="FD156" s="107"/>
      <c r="FE156" s="107"/>
      <c r="FF156" s="107"/>
      <c r="FG156" s="107"/>
      <c r="FH156" s="107"/>
      <c r="FI156" s="107"/>
      <c r="FJ156" s="107"/>
      <c r="FK156" s="107"/>
      <c r="FL156" s="107"/>
      <c r="FM156" s="107"/>
      <c r="FN156" s="107"/>
      <c r="FO156" s="107"/>
      <c r="FP156" s="107"/>
      <c r="FQ156" s="107"/>
      <c r="FR156" s="107"/>
      <c r="FS156" s="107"/>
      <c r="FT156" s="107"/>
      <c r="FU156" s="107"/>
      <c r="FV156" s="107"/>
      <c r="FW156" s="107"/>
      <c r="FX156" s="107"/>
      <c r="FY156" s="107"/>
      <c r="FZ156" s="107"/>
      <c r="GA156" s="107"/>
      <c r="GB156" s="107"/>
      <c r="GC156" s="107"/>
      <c r="GD156" s="107"/>
      <c r="GE156" s="107"/>
      <c r="GF156" s="107"/>
      <c r="GG156" s="107"/>
      <c r="GH156" s="107"/>
      <c r="GI156" s="107"/>
      <c r="GJ156" s="107"/>
      <c r="GK156" s="107"/>
      <c r="GL156" s="107"/>
      <c r="GM156" s="107"/>
      <c r="GN156" s="107"/>
      <c r="GO156" s="107"/>
      <c r="GP156" s="107"/>
      <c r="GQ156" s="107"/>
      <c r="GR156" s="107"/>
      <c r="GS156" s="107"/>
      <c r="GT156" s="107"/>
      <c r="GU156" s="107"/>
      <c r="GV156" s="107"/>
      <c r="GW156" s="107"/>
      <c r="GX156" s="107"/>
      <c r="GY156" s="107"/>
      <c r="GZ156" s="107"/>
      <c r="HA156" s="107"/>
      <c r="HB156" s="107"/>
      <c r="HC156" s="107"/>
      <c r="HD156" s="107"/>
      <c r="HE156" s="107"/>
      <c r="HF156" s="107"/>
      <c r="HG156" s="107"/>
      <c r="HH156" s="107"/>
      <c r="HI156" s="107"/>
      <c r="HJ156" s="107"/>
      <c r="HK156" s="107"/>
      <c r="HL156" s="107"/>
      <c r="HM156" s="107"/>
      <c r="HN156" s="107"/>
      <c r="HO156" s="107"/>
      <c r="HP156" s="107"/>
      <c r="HQ156" s="107"/>
      <c r="HR156" s="107"/>
      <c r="HS156" s="107"/>
      <c r="HT156" s="107"/>
      <c r="HU156" s="107"/>
      <c r="HV156" s="107"/>
      <c r="HW156" s="107"/>
      <c r="HX156" s="107"/>
      <c r="HY156" s="107"/>
      <c r="HZ156" s="107"/>
      <c r="IA156" s="107"/>
      <c r="IB156" s="107"/>
      <c r="IC156" s="107"/>
      <c r="ID156" s="107"/>
      <c r="IE156" s="107"/>
      <c r="IF156" s="107"/>
      <c r="IG156" s="107"/>
      <c r="IH156" s="107"/>
      <c r="II156" s="107"/>
      <c r="IJ156" s="107"/>
      <c r="IK156" s="107"/>
      <c r="IL156" s="107"/>
      <c r="IM156" s="107"/>
      <c r="IN156" s="107"/>
      <c r="IO156" s="107"/>
    </row>
    <row r="157" spans="2:249">
      <c r="B157" s="135" t="s">
        <v>453</v>
      </c>
      <c r="C157" s="135"/>
      <c r="D157" s="138"/>
      <c r="E157" s="138"/>
      <c r="F157" s="138"/>
      <c r="G157" s="138"/>
      <c r="H157" s="138"/>
      <c r="I157" s="138"/>
      <c r="J157" s="138"/>
      <c r="K157" s="138"/>
      <c r="L157" s="138"/>
      <c r="M157" s="138"/>
      <c r="N157" s="138"/>
      <c r="O157" s="138"/>
      <c r="P157" s="138"/>
      <c r="Q157" s="138"/>
      <c r="R157" s="138"/>
      <c r="S157" s="138"/>
      <c r="T157" s="138"/>
      <c r="U157" s="138"/>
      <c r="V157" s="138"/>
      <c r="W157" s="138"/>
      <c r="X157" s="138"/>
      <c r="Y157" s="138"/>
      <c r="Z157" s="138"/>
      <c r="AA157" s="138"/>
      <c r="AB157" s="138"/>
      <c r="AC157" s="138"/>
      <c r="AD157" s="138"/>
      <c r="AE157" s="138"/>
      <c r="AF157" s="138"/>
      <c r="AG157" s="138"/>
      <c r="AH157" s="138"/>
      <c r="AI157" s="138"/>
      <c r="AJ157" s="138"/>
      <c r="AK157" s="138"/>
      <c r="AL157" s="138"/>
      <c r="AM157" s="138"/>
      <c r="AN157" s="138"/>
      <c r="AO157" s="138"/>
      <c r="AP157" s="138"/>
      <c r="AQ157" s="138"/>
      <c r="AR157" s="138"/>
      <c r="AS157" s="138"/>
      <c r="AT157" s="138"/>
      <c r="AU157" s="138"/>
      <c r="AV157" s="138"/>
      <c r="AW157" s="138"/>
      <c r="AX157" s="138"/>
      <c r="AY157" s="138"/>
      <c r="AZ157" s="138"/>
      <c r="BA157" s="138"/>
      <c r="BB157" s="138"/>
      <c r="BC157" s="138"/>
      <c r="BD157" s="138"/>
      <c r="BE157" s="138"/>
      <c r="BF157" s="138"/>
      <c r="BG157" s="138"/>
      <c r="BH157" s="138"/>
      <c r="BI157" s="138"/>
      <c r="BJ157" s="138"/>
      <c r="BK157" s="138"/>
      <c r="BL157" s="138"/>
      <c r="BM157" s="138"/>
      <c r="BN157" s="138"/>
      <c r="BO157" s="138"/>
      <c r="BP157" s="138"/>
      <c r="BQ157" s="138"/>
      <c r="BR157" s="138"/>
      <c r="BS157" s="138"/>
      <c r="BT157" s="138"/>
      <c r="BU157" s="138"/>
      <c r="BV157" s="138"/>
      <c r="BW157" s="138"/>
      <c r="BX157" s="138"/>
      <c r="BY157" s="138"/>
      <c r="BZ157" s="138"/>
      <c r="CA157" s="138"/>
      <c r="CB157" s="138"/>
      <c r="CC157" s="138"/>
      <c r="CD157" s="138"/>
      <c r="CE157" s="138"/>
      <c r="CF157" s="138"/>
      <c r="CG157" s="138"/>
      <c r="CH157" s="138"/>
      <c r="CI157" s="138"/>
      <c r="CJ157" s="138"/>
      <c r="CK157" s="138"/>
      <c r="CL157" s="138"/>
      <c r="CM157" s="138"/>
      <c r="CN157" s="138"/>
      <c r="CO157" s="138"/>
      <c r="CP157" s="138"/>
      <c r="CQ157" s="138"/>
      <c r="CR157" s="138"/>
      <c r="CS157" s="138"/>
      <c r="CT157" s="138"/>
      <c r="CU157" s="138"/>
      <c r="CV157" s="138"/>
      <c r="CW157" s="138"/>
      <c r="CX157" s="138"/>
      <c r="CY157" s="138"/>
      <c r="CZ157" s="138"/>
      <c r="DA157" s="138"/>
      <c r="DB157" s="138"/>
      <c r="DC157" s="138"/>
      <c r="DD157" s="138"/>
      <c r="DE157" s="138"/>
      <c r="DF157" s="138"/>
      <c r="DG157" s="138"/>
      <c r="DH157" s="138"/>
      <c r="DI157" s="138"/>
      <c r="DJ157" s="138"/>
      <c r="DK157" s="138"/>
      <c r="DL157" s="138"/>
      <c r="DM157" s="138"/>
      <c r="DN157" s="138"/>
      <c r="DO157" s="138"/>
      <c r="DP157" s="138"/>
      <c r="DQ157" s="138"/>
      <c r="DR157" s="138"/>
      <c r="DS157" s="138"/>
      <c r="DT157" s="138"/>
      <c r="DU157" s="138"/>
      <c r="DV157" s="138"/>
      <c r="DW157" s="138"/>
      <c r="DX157" s="138"/>
      <c r="DY157" s="138"/>
      <c r="DZ157" s="138"/>
      <c r="EA157" s="138"/>
      <c r="EB157" s="138"/>
      <c r="EC157" s="138"/>
      <c r="ED157" s="138"/>
      <c r="EE157" s="138"/>
      <c r="EF157" s="138"/>
      <c r="EG157" s="138"/>
      <c r="EH157" s="138"/>
      <c r="EI157" s="138"/>
      <c r="EJ157" s="138"/>
      <c r="EK157" s="138"/>
      <c r="EL157" s="138"/>
      <c r="EM157" s="138"/>
      <c r="EN157" s="138"/>
      <c r="EO157" s="138"/>
      <c r="EP157" s="138"/>
      <c r="EQ157" s="138"/>
      <c r="ER157" s="138"/>
      <c r="ES157" s="138"/>
      <c r="ET157" s="138"/>
      <c r="EU157" s="138"/>
      <c r="EV157" s="138"/>
      <c r="EW157" s="138"/>
      <c r="EX157" s="138"/>
      <c r="EY157" s="138"/>
      <c r="EZ157" s="138"/>
      <c r="FA157" s="138"/>
      <c r="FB157" s="138"/>
      <c r="FC157" s="138"/>
      <c r="FD157" s="138"/>
      <c r="FE157" s="138"/>
      <c r="FF157" s="138"/>
      <c r="FG157" s="138"/>
      <c r="FH157" s="138"/>
      <c r="FI157" s="138"/>
      <c r="FJ157" s="138"/>
      <c r="FK157" s="138"/>
      <c r="FL157" s="138"/>
      <c r="FM157" s="138"/>
      <c r="FN157" s="138"/>
      <c r="FO157" s="138"/>
      <c r="FP157" s="138"/>
      <c r="FQ157" s="138"/>
      <c r="FR157" s="138"/>
      <c r="FS157" s="138"/>
      <c r="FT157" s="138"/>
      <c r="FU157" s="138"/>
      <c r="FV157" s="138"/>
      <c r="FW157" s="138"/>
      <c r="FX157" s="138"/>
      <c r="FY157" s="138"/>
      <c r="FZ157" s="138"/>
      <c r="GA157" s="138"/>
      <c r="GB157" s="138"/>
      <c r="GC157" s="138"/>
      <c r="GD157" s="138"/>
      <c r="GE157" s="138"/>
      <c r="GF157" s="138"/>
      <c r="GG157" s="138"/>
      <c r="GH157" s="138"/>
      <c r="GI157" s="138"/>
      <c r="GJ157" s="138"/>
      <c r="GK157" s="138"/>
      <c r="GL157" s="138"/>
      <c r="GM157" s="138"/>
      <c r="GN157" s="138"/>
      <c r="GO157" s="138"/>
      <c r="GP157" s="138"/>
      <c r="GQ157" s="138"/>
      <c r="GR157" s="138"/>
      <c r="GS157" s="138"/>
      <c r="GT157" s="138"/>
      <c r="GU157" s="138"/>
      <c r="GV157" s="138"/>
      <c r="GW157" s="138"/>
      <c r="GX157" s="138"/>
      <c r="GY157" s="138"/>
      <c r="GZ157" s="138"/>
      <c r="HA157" s="138"/>
      <c r="HB157" s="138"/>
      <c r="HC157" s="138"/>
      <c r="HD157" s="138"/>
      <c r="HE157" s="138"/>
      <c r="HF157" s="138"/>
      <c r="HG157" s="138"/>
      <c r="HH157" s="138"/>
      <c r="HI157" s="138"/>
      <c r="HJ157" s="138"/>
      <c r="HK157" s="138"/>
      <c r="HL157" s="138"/>
      <c r="HM157" s="138"/>
      <c r="HN157" s="138"/>
      <c r="HO157" s="138"/>
      <c r="HP157" s="138"/>
      <c r="HQ157" s="138"/>
      <c r="HR157" s="138"/>
      <c r="HS157" s="138"/>
      <c r="HT157" s="138"/>
      <c r="HU157" s="138"/>
      <c r="HV157" s="138"/>
      <c r="HW157" s="138"/>
      <c r="HX157" s="138"/>
      <c r="HY157" s="138"/>
      <c r="HZ157" s="138"/>
      <c r="IA157" s="138"/>
      <c r="IB157" s="138"/>
      <c r="IC157" s="138"/>
      <c r="ID157" s="138"/>
      <c r="IE157" s="138"/>
      <c r="IF157" s="138"/>
      <c r="IG157" s="138"/>
      <c r="IH157" s="138"/>
      <c r="II157" s="138"/>
      <c r="IJ157" s="138"/>
      <c r="IK157" s="138"/>
      <c r="IL157" s="138"/>
      <c r="IM157" s="138"/>
      <c r="IN157" s="138"/>
      <c r="IO157" s="138"/>
    </row>
    <row r="158" spans="2:249">
      <c r="B158" s="156"/>
      <c r="C158" s="137" t="str">
        <f>C71</f>
        <v>Principal Care Type</v>
      </c>
      <c r="D158" s="107" t="str">
        <f>IF(D72="Y",$C$72,IF(D73="Y",$C$73,IF(D74="Y",$C$74,IF(D75="Y",$C$75,IF(D76="Y",$C$76,IF(D77="Y",$C$77,"blank"))))))</f>
        <v>Natural Care</v>
      </c>
      <c r="E158" s="107" t="str">
        <f t="shared" ref="E158:BP158" si="20">IF(E72="Y",$C$72,IF(E73="Y",$C$73,IF(E74="Y",$C$74,IF(E75="Y",$C$75,IF(E76="Y",$C$76,IF(E77="Y",$C$77,"blank"))))))</f>
        <v>Natural Care</v>
      </c>
      <c r="F158" s="107" t="str">
        <f t="shared" si="20"/>
        <v>Natural Care</v>
      </c>
      <c r="G158" s="107" t="str">
        <f t="shared" si="20"/>
        <v>Natural Care</v>
      </c>
      <c r="H158" s="107" t="str">
        <f t="shared" si="20"/>
        <v>Natural Care</v>
      </c>
      <c r="I158" s="107" t="str">
        <f t="shared" si="20"/>
        <v>Natural Care</v>
      </c>
      <c r="J158" s="107" t="str">
        <f t="shared" si="20"/>
        <v>Natural Care</v>
      </c>
      <c r="K158" s="107" t="str">
        <f t="shared" si="20"/>
        <v>Natural Care</v>
      </c>
      <c r="L158" s="107" t="str">
        <f t="shared" si="20"/>
        <v>Natural Care</v>
      </c>
      <c r="M158" s="107" t="str">
        <f t="shared" si="20"/>
        <v>Natural Care</v>
      </c>
      <c r="N158" s="107" t="str">
        <f t="shared" si="20"/>
        <v>Natural Care</v>
      </c>
      <c r="O158" s="107" t="str">
        <f t="shared" si="20"/>
        <v>Natural Care</v>
      </c>
      <c r="P158" s="107" t="str">
        <f t="shared" si="20"/>
        <v>Natural Care</v>
      </c>
      <c r="Q158" s="107" t="str">
        <f t="shared" si="20"/>
        <v>Natural Care</v>
      </c>
      <c r="R158" s="107" t="str">
        <f t="shared" si="20"/>
        <v>Natural Care</v>
      </c>
      <c r="S158" s="107" t="str">
        <f t="shared" si="20"/>
        <v>Natural Care</v>
      </c>
      <c r="T158" s="107" t="str">
        <f t="shared" si="20"/>
        <v>Natural Care</v>
      </c>
      <c r="U158" s="107" t="str">
        <f t="shared" si="20"/>
        <v>Natural Care</v>
      </c>
      <c r="V158" s="107" t="str">
        <f t="shared" si="20"/>
        <v>Natural Care</v>
      </c>
      <c r="W158" s="107" t="str">
        <f t="shared" si="20"/>
        <v>Natural Care</v>
      </c>
      <c r="X158" s="107" t="str">
        <f t="shared" si="20"/>
        <v>Natural Care</v>
      </c>
      <c r="Y158" s="107" t="str">
        <f t="shared" si="20"/>
        <v>Natural Care</v>
      </c>
      <c r="Z158" s="107" t="str">
        <f t="shared" si="20"/>
        <v>Natural Care</v>
      </c>
      <c r="AA158" s="107" t="str">
        <f t="shared" si="20"/>
        <v>Natural Care</v>
      </c>
      <c r="AB158" s="107" t="str">
        <f t="shared" si="20"/>
        <v>Natural Care</v>
      </c>
      <c r="AC158" s="107" t="str">
        <f t="shared" si="20"/>
        <v>Natural Care</v>
      </c>
      <c r="AD158" s="107" t="str">
        <f t="shared" si="20"/>
        <v>Natural Care</v>
      </c>
      <c r="AE158" s="107" t="str">
        <f t="shared" si="20"/>
        <v>Natural Care</v>
      </c>
      <c r="AF158" s="107" t="str">
        <f t="shared" si="20"/>
        <v>Natural Care</v>
      </c>
      <c r="AG158" s="107" t="str">
        <f t="shared" si="20"/>
        <v>Natural Care</v>
      </c>
      <c r="AH158" s="107" t="str">
        <f t="shared" si="20"/>
        <v>Natural Care</v>
      </c>
      <c r="AI158" s="107" t="str">
        <f t="shared" si="20"/>
        <v>Natural Care</v>
      </c>
      <c r="AJ158" s="107" t="str">
        <f t="shared" si="20"/>
        <v>Natural Care</v>
      </c>
      <c r="AK158" s="107" t="str">
        <f t="shared" si="20"/>
        <v>Natural Care</v>
      </c>
      <c r="AL158" s="107" t="str">
        <f t="shared" si="20"/>
        <v>Step Parent</v>
      </c>
      <c r="AM158" s="107" t="str">
        <f t="shared" si="20"/>
        <v>Step Parent</v>
      </c>
      <c r="AN158" s="107" t="str">
        <f t="shared" si="20"/>
        <v>Step Parent</v>
      </c>
      <c r="AO158" s="107" t="str">
        <f t="shared" si="20"/>
        <v>Step Parent</v>
      </c>
      <c r="AP158" s="107" t="str">
        <f t="shared" si="20"/>
        <v>Step Parent</v>
      </c>
      <c r="AQ158" s="107" t="str">
        <f t="shared" si="20"/>
        <v xml:space="preserve">Adoptive Parent </v>
      </c>
      <c r="AR158" s="107" t="str">
        <f t="shared" si="20"/>
        <v>Foster carer</v>
      </c>
      <c r="AS158" s="107" t="str">
        <f t="shared" si="20"/>
        <v>Other</v>
      </c>
      <c r="AT158" s="107" t="str">
        <f t="shared" si="20"/>
        <v>GrandParent</v>
      </c>
      <c r="AU158" s="107" t="str">
        <f t="shared" si="20"/>
        <v xml:space="preserve">Adoptive Parent </v>
      </c>
      <c r="AV158" s="107" t="str">
        <f t="shared" si="20"/>
        <v xml:space="preserve">Adoptive Parent </v>
      </c>
      <c r="AW158" s="107" t="str">
        <f t="shared" si="20"/>
        <v xml:space="preserve">Adoptive Parent </v>
      </c>
      <c r="AX158" s="107" t="str">
        <f t="shared" si="20"/>
        <v xml:space="preserve">Adoptive Parent </v>
      </c>
      <c r="AY158" s="107" t="str">
        <f t="shared" si="20"/>
        <v>Step Parent</v>
      </c>
      <c r="AZ158" s="107" t="str">
        <f t="shared" si="20"/>
        <v xml:space="preserve">Adoptive Parent </v>
      </c>
      <c r="BA158" s="107" t="str">
        <f t="shared" si="20"/>
        <v>Foster carer</v>
      </c>
      <c r="BB158" s="107" t="str">
        <f t="shared" si="20"/>
        <v>Other</v>
      </c>
      <c r="BC158" s="107" t="str">
        <f t="shared" si="20"/>
        <v>GrandParent</v>
      </c>
      <c r="BD158" s="107" t="str">
        <f t="shared" si="20"/>
        <v>Foster carer</v>
      </c>
      <c r="BE158" s="107" t="str">
        <f t="shared" si="20"/>
        <v>Foster carer</v>
      </c>
      <c r="BF158" s="107" t="str">
        <f t="shared" si="20"/>
        <v>Foster carer</v>
      </c>
      <c r="BG158" s="107" t="str">
        <f t="shared" si="20"/>
        <v>Foster carer</v>
      </c>
      <c r="BH158" s="107" t="str">
        <f t="shared" si="20"/>
        <v>Step Parent</v>
      </c>
      <c r="BI158" s="107" t="str">
        <f t="shared" si="20"/>
        <v xml:space="preserve">Adoptive Parent </v>
      </c>
      <c r="BJ158" s="107" t="str">
        <f t="shared" si="20"/>
        <v>Foster carer</v>
      </c>
      <c r="BK158" s="107" t="str">
        <f t="shared" si="20"/>
        <v>Other</v>
      </c>
      <c r="BL158" s="107" t="str">
        <f t="shared" si="20"/>
        <v>GrandParent</v>
      </c>
      <c r="BM158" s="107" t="str">
        <f t="shared" si="20"/>
        <v>Other</v>
      </c>
      <c r="BN158" s="107" t="str">
        <f t="shared" si="20"/>
        <v>Other</v>
      </c>
      <c r="BO158" s="107" t="str">
        <f t="shared" si="20"/>
        <v>Other</v>
      </c>
      <c r="BP158" s="107" t="str">
        <f t="shared" si="20"/>
        <v>Other</v>
      </c>
      <c r="BQ158" s="107" t="str">
        <f t="shared" ref="BQ158:CD158" si="21">IF(BQ72="Y",$C$72,IF(BQ73="Y",$C$73,IF(BQ74="Y",$C$74,IF(BQ75="Y",$C$75,IF(BQ76="Y",$C$76,IF(BQ77="Y",$C$77,"blank"))))))</f>
        <v>Step Parent</v>
      </c>
      <c r="BR158" s="107" t="str">
        <f t="shared" si="21"/>
        <v xml:space="preserve">Adoptive Parent </v>
      </c>
      <c r="BS158" s="107" t="str">
        <f t="shared" si="21"/>
        <v>Foster carer</v>
      </c>
      <c r="BT158" s="107" t="str">
        <f t="shared" si="21"/>
        <v>Other</v>
      </c>
      <c r="BU158" s="107" t="str">
        <f t="shared" si="21"/>
        <v>GrandParent</v>
      </c>
      <c r="BV158" s="107" t="str">
        <f t="shared" si="21"/>
        <v>GrandParent</v>
      </c>
      <c r="BW158" s="107" t="str">
        <f t="shared" si="21"/>
        <v>GrandParent</v>
      </c>
      <c r="BX158" s="107" t="str">
        <f t="shared" si="21"/>
        <v>GrandParent</v>
      </c>
      <c r="BY158" s="107" t="str">
        <f t="shared" si="21"/>
        <v>GrandParent</v>
      </c>
      <c r="BZ158" s="107" t="str">
        <f t="shared" si="21"/>
        <v>Step Parent</v>
      </c>
      <c r="CA158" s="107" t="str">
        <f t="shared" si="21"/>
        <v xml:space="preserve">Adoptive Parent </v>
      </c>
      <c r="CB158" s="107" t="str">
        <f t="shared" si="21"/>
        <v>Foster carer</v>
      </c>
      <c r="CC158" s="107" t="str">
        <f t="shared" si="21"/>
        <v>Other</v>
      </c>
      <c r="CD158" s="107" t="str">
        <f t="shared" si="21"/>
        <v>GrandParent</v>
      </c>
      <c r="CE158" s="107"/>
      <c r="CF158" s="107"/>
      <c r="CG158" s="107"/>
      <c r="CH158" s="107"/>
      <c r="CI158" s="107"/>
      <c r="CJ158" s="107"/>
      <c r="CK158" s="107"/>
      <c r="CL158" s="107"/>
      <c r="CM158" s="107"/>
      <c r="CN158" s="107"/>
      <c r="CO158" s="107"/>
      <c r="CP158" s="107"/>
      <c r="CQ158" s="107"/>
      <c r="CR158" s="107"/>
      <c r="CS158" s="107"/>
      <c r="CT158" s="107"/>
      <c r="CU158" s="107"/>
      <c r="CV158" s="107"/>
      <c r="CW158" s="107"/>
      <c r="CX158" s="107"/>
      <c r="CY158" s="107"/>
      <c r="CZ158" s="107"/>
      <c r="DA158" s="107"/>
      <c r="DB158" s="107"/>
      <c r="DC158" s="107"/>
      <c r="DD158" s="107"/>
      <c r="DE158" s="107"/>
      <c r="DF158" s="107"/>
      <c r="DG158" s="107"/>
      <c r="DH158" s="107"/>
      <c r="DI158" s="107"/>
      <c r="DJ158" s="107"/>
      <c r="DK158" s="107"/>
      <c r="DL158" s="107"/>
      <c r="DM158" s="107"/>
      <c r="DN158" s="107"/>
      <c r="DO158" s="107"/>
      <c r="DP158" s="107"/>
      <c r="DQ158" s="107"/>
      <c r="DR158" s="107"/>
      <c r="DS158" s="107"/>
      <c r="DT158" s="107"/>
      <c r="DU158" s="107"/>
      <c r="DV158" s="107"/>
      <c r="DW158" s="107"/>
      <c r="DX158" s="107"/>
      <c r="DY158" s="107"/>
      <c r="DZ158" s="107"/>
      <c r="EA158" s="107"/>
      <c r="EB158" s="107"/>
      <c r="EC158" s="107"/>
      <c r="ED158" s="107"/>
      <c r="EE158" s="107"/>
      <c r="EF158" s="107"/>
      <c r="EG158" s="107"/>
      <c r="EH158" s="107"/>
      <c r="EI158" s="107"/>
      <c r="EJ158" s="107"/>
      <c r="EK158" s="107"/>
      <c r="EL158" s="107"/>
      <c r="EM158" s="107"/>
      <c r="EN158" s="107"/>
      <c r="EO158" s="107"/>
      <c r="EP158" s="107"/>
      <c r="EQ158" s="107"/>
      <c r="ER158" s="107"/>
      <c r="ES158" s="107"/>
      <c r="ET158" s="107"/>
      <c r="EU158" s="107"/>
      <c r="EV158" s="107"/>
      <c r="EW158" s="107"/>
      <c r="EX158" s="107"/>
      <c r="EY158" s="107"/>
      <c r="EZ158" s="107"/>
      <c r="FA158" s="107"/>
      <c r="FB158" s="107"/>
      <c r="FC158" s="107"/>
      <c r="FD158" s="107"/>
      <c r="FE158" s="107"/>
      <c r="FF158" s="107"/>
      <c r="FG158" s="107"/>
      <c r="FH158" s="107"/>
      <c r="FI158" s="107"/>
      <c r="FJ158" s="107"/>
      <c r="FK158" s="107"/>
      <c r="FL158" s="107"/>
      <c r="FM158" s="107"/>
      <c r="FN158" s="107"/>
      <c r="FO158" s="107"/>
      <c r="FP158" s="107"/>
      <c r="FQ158" s="107"/>
      <c r="FR158" s="107"/>
      <c r="FS158" s="107"/>
      <c r="FT158" s="107"/>
      <c r="FU158" s="107"/>
      <c r="FV158" s="107"/>
      <c r="FW158" s="107"/>
      <c r="FX158" s="107"/>
      <c r="FY158" s="107"/>
      <c r="FZ158" s="107"/>
      <c r="GA158" s="107"/>
      <c r="GB158" s="107"/>
      <c r="GC158" s="107"/>
      <c r="GD158" s="107"/>
      <c r="GE158" s="107"/>
      <c r="GF158" s="107"/>
      <c r="GG158" s="107"/>
      <c r="GH158" s="107"/>
      <c r="GI158" s="107"/>
      <c r="GJ158" s="107"/>
      <c r="GK158" s="107"/>
      <c r="GL158" s="107"/>
      <c r="GM158" s="107"/>
      <c r="GN158" s="107"/>
      <c r="GO158" s="107"/>
      <c r="GP158" s="107"/>
      <c r="GQ158" s="107"/>
      <c r="GR158" s="107"/>
      <c r="GS158" s="107"/>
      <c r="GT158" s="107"/>
      <c r="GU158" s="107"/>
      <c r="GV158" s="107"/>
      <c r="GW158" s="107"/>
      <c r="GX158" s="107"/>
      <c r="GY158" s="107"/>
      <c r="GZ158" s="107"/>
      <c r="HA158" s="107"/>
      <c r="HB158" s="107"/>
      <c r="HC158" s="107"/>
      <c r="HD158" s="107"/>
      <c r="HE158" s="107"/>
      <c r="HF158" s="107"/>
      <c r="HG158" s="107"/>
      <c r="HH158" s="107"/>
      <c r="HI158" s="107"/>
      <c r="HJ158" s="107"/>
      <c r="HK158" s="107"/>
      <c r="HL158" s="107"/>
      <c r="HM158" s="107"/>
      <c r="HN158" s="107"/>
      <c r="HO158" s="107"/>
      <c r="HP158" s="107"/>
      <c r="HQ158" s="107"/>
      <c r="HR158" s="107"/>
      <c r="HS158" s="107"/>
      <c r="HT158" s="107"/>
      <c r="HU158" s="107"/>
      <c r="HV158" s="107"/>
      <c r="HW158" s="107"/>
      <c r="HX158" s="107"/>
      <c r="HY158" s="107"/>
      <c r="HZ158" s="107"/>
      <c r="IA158" s="107"/>
      <c r="IB158" s="107"/>
      <c r="IC158" s="107"/>
      <c r="ID158" s="107"/>
      <c r="IE158" s="107"/>
      <c r="IF158" s="107"/>
      <c r="IG158" s="107"/>
      <c r="IH158" s="107"/>
      <c r="II158" s="107"/>
      <c r="IJ158" s="107"/>
      <c r="IK158" s="107"/>
      <c r="IL158" s="107"/>
      <c r="IM158" s="107"/>
      <c r="IN158" s="107"/>
      <c r="IO158" s="107"/>
    </row>
    <row r="159" spans="2:249">
      <c r="B159" s="135" t="s">
        <v>468</v>
      </c>
      <c r="C159" s="135"/>
      <c r="D159" s="138"/>
      <c r="E159" s="138"/>
      <c r="F159" s="138"/>
      <c r="G159" s="138"/>
      <c r="H159" s="138"/>
      <c r="I159" s="138"/>
      <c r="J159" s="138"/>
      <c r="K159" s="138"/>
      <c r="L159" s="138"/>
      <c r="M159" s="138"/>
      <c r="N159" s="138"/>
      <c r="O159" s="138"/>
      <c r="P159" s="138"/>
      <c r="Q159" s="138"/>
      <c r="R159" s="138"/>
      <c r="S159" s="138"/>
      <c r="T159" s="138"/>
      <c r="U159" s="138"/>
      <c r="V159" s="138"/>
      <c r="W159" s="138"/>
      <c r="X159" s="138"/>
      <c r="Y159" s="138"/>
      <c r="Z159" s="138"/>
      <c r="AA159" s="138"/>
      <c r="AB159" s="138"/>
      <c r="AC159" s="138"/>
      <c r="AD159" s="138"/>
      <c r="AE159" s="138"/>
      <c r="AF159" s="138"/>
      <c r="AG159" s="138"/>
      <c r="AH159" s="138"/>
      <c r="AI159" s="138"/>
      <c r="AJ159" s="138"/>
      <c r="AK159" s="138"/>
      <c r="AL159" s="138"/>
      <c r="AM159" s="138"/>
      <c r="AN159" s="138"/>
      <c r="AO159" s="138"/>
      <c r="AP159" s="138"/>
      <c r="AQ159" s="138"/>
      <c r="AR159" s="138"/>
      <c r="AS159" s="138"/>
      <c r="AT159" s="138"/>
      <c r="AU159" s="138"/>
      <c r="AV159" s="138"/>
      <c r="AW159" s="138"/>
      <c r="AX159" s="138"/>
      <c r="AY159" s="138"/>
      <c r="AZ159" s="138"/>
      <c r="BA159" s="138"/>
      <c r="BB159" s="138"/>
      <c r="BC159" s="138"/>
      <c r="BD159" s="138"/>
      <c r="BE159" s="138"/>
      <c r="BF159" s="138"/>
      <c r="BG159" s="138"/>
      <c r="BH159" s="138"/>
      <c r="BI159" s="138"/>
      <c r="BJ159" s="138"/>
      <c r="BK159" s="138"/>
      <c r="BL159" s="138"/>
      <c r="BM159" s="138"/>
      <c r="BN159" s="138"/>
      <c r="BO159" s="138"/>
      <c r="BP159" s="138"/>
      <c r="BQ159" s="138"/>
      <c r="BR159" s="138"/>
      <c r="BS159" s="138"/>
      <c r="BT159" s="138"/>
      <c r="BU159" s="138"/>
      <c r="BV159" s="138"/>
      <c r="BW159" s="138"/>
      <c r="BX159" s="138"/>
      <c r="BY159" s="138"/>
      <c r="BZ159" s="138"/>
      <c r="CA159" s="138"/>
      <c r="CB159" s="138"/>
      <c r="CC159" s="138"/>
      <c r="CD159" s="138"/>
      <c r="CE159" s="138"/>
      <c r="CF159" s="138"/>
      <c r="CG159" s="138"/>
      <c r="CH159" s="138"/>
      <c r="CI159" s="138"/>
      <c r="CJ159" s="138"/>
      <c r="CK159" s="138"/>
      <c r="CL159" s="138"/>
      <c r="CM159" s="138"/>
      <c r="CN159" s="138"/>
      <c r="CO159" s="138"/>
      <c r="CP159" s="138"/>
      <c r="CQ159" s="138"/>
      <c r="CR159" s="138"/>
      <c r="CS159" s="138"/>
      <c r="CT159" s="138"/>
      <c r="CU159" s="138"/>
      <c r="CV159" s="138"/>
      <c r="CW159" s="138"/>
      <c r="CX159" s="138"/>
      <c r="CY159" s="138"/>
      <c r="CZ159" s="138"/>
      <c r="DA159" s="138"/>
      <c r="DB159" s="138"/>
      <c r="DC159" s="138"/>
      <c r="DD159" s="138"/>
      <c r="DE159" s="138"/>
      <c r="DF159" s="138"/>
      <c r="DG159" s="138"/>
      <c r="DH159" s="138"/>
      <c r="DI159" s="138"/>
      <c r="DJ159" s="138"/>
      <c r="DK159" s="138"/>
      <c r="DL159" s="138"/>
      <c r="DM159" s="138"/>
      <c r="DN159" s="138"/>
      <c r="DO159" s="138"/>
      <c r="DP159" s="138"/>
      <c r="DQ159" s="138"/>
      <c r="DR159" s="138"/>
      <c r="DS159" s="138"/>
      <c r="DT159" s="138"/>
      <c r="DU159" s="138"/>
      <c r="DV159" s="138"/>
      <c r="DW159" s="138"/>
      <c r="DX159" s="138"/>
      <c r="DY159" s="138"/>
      <c r="DZ159" s="138"/>
      <c r="EA159" s="138"/>
      <c r="EB159" s="138"/>
      <c r="EC159" s="138"/>
      <c r="ED159" s="138"/>
      <c r="EE159" s="138"/>
      <c r="EF159" s="138"/>
      <c r="EG159" s="138"/>
      <c r="EH159" s="138"/>
      <c r="EI159" s="138"/>
      <c r="EJ159" s="138"/>
      <c r="EK159" s="138"/>
      <c r="EL159" s="138"/>
      <c r="EM159" s="138"/>
      <c r="EN159" s="138"/>
      <c r="EO159" s="138"/>
      <c r="EP159" s="138"/>
      <c r="EQ159" s="138"/>
      <c r="ER159" s="138"/>
      <c r="ES159" s="138"/>
      <c r="ET159" s="138"/>
      <c r="EU159" s="138"/>
      <c r="EV159" s="138"/>
      <c r="EW159" s="138"/>
      <c r="EX159" s="138"/>
      <c r="EY159" s="138"/>
      <c r="EZ159" s="138"/>
      <c r="FA159" s="138"/>
      <c r="FB159" s="138"/>
      <c r="FC159" s="138"/>
      <c r="FD159" s="138"/>
      <c r="FE159" s="138"/>
      <c r="FF159" s="138"/>
      <c r="FG159" s="138"/>
      <c r="FH159" s="138"/>
      <c r="FI159" s="138"/>
      <c r="FJ159" s="138"/>
      <c r="FK159" s="138"/>
      <c r="FL159" s="138"/>
      <c r="FM159" s="138"/>
      <c r="FN159" s="138"/>
      <c r="FO159" s="138"/>
      <c r="FP159" s="138"/>
      <c r="FQ159" s="138"/>
      <c r="FR159" s="138"/>
      <c r="FS159" s="138"/>
      <c r="FT159" s="138"/>
      <c r="FU159" s="138"/>
      <c r="FV159" s="138"/>
      <c r="FW159" s="138"/>
      <c r="FX159" s="138"/>
      <c r="FY159" s="138"/>
      <c r="FZ159" s="138"/>
      <c r="GA159" s="138"/>
      <c r="GB159" s="138"/>
      <c r="GC159" s="138"/>
      <c r="GD159" s="138"/>
      <c r="GE159" s="138"/>
      <c r="GF159" s="138"/>
      <c r="GG159" s="138"/>
      <c r="GH159" s="138"/>
      <c r="GI159" s="138"/>
      <c r="GJ159" s="138"/>
      <c r="GK159" s="138"/>
      <c r="GL159" s="138"/>
      <c r="GM159" s="138"/>
      <c r="GN159" s="138"/>
      <c r="GO159" s="138"/>
      <c r="GP159" s="138"/>
      <c r="GQ159" s="138"/>
      <c r="GR159" s="138"/>
      <c r="GS159" s="138"/>
      <c r="GT159" s="138"/>
      <c r="GU159" s="138"/>
      <c r="GV159" s="138"/>
      <c r="GW159" s="138"/>
      <c r="GX159" s="138"/>
      <c r="GY159" s="138"/>
      <c r="GZ159" s="138"/>
      <c r="HA159" s="138"/>
      <c r="HB159" s="138"/>
      <c r="HC159" s="138"/>
      <c r="HD159" s="138"/>
      <c r="HE159" s="138"/>
      <c r="HF159" s="138"/>
      <c r="HG159" s="138"/>
      <c r="HH159" s="138"/>
      <c r="HI159" s="138"/>
      <c r="HJ159" s="138"/>
      <c r="HK159" s="138"/>
      <c r="HL159" s="138"/>
      <c r="HM159" s="138"/>
      <c r="HN159" s="138"/>
      <c r="HO159" s="138"/>
      <c r="HP159" s="138"/>
      <c r="HQ159" s="138"/>
      <c r="HR159" s="138"/>
      <c r="HS159" s="138"/>
      <c r="HT159" s="138"/>
      <c r="HU159" s="138"/>
      <c r="HV159" s="138"/>
      <c r="HW159" s="138"/>
      <c r="HX159" s="138"/>
      <c r="HY159" s="138"/>
      <c r="HZ159" s="138"/>
      <c r="IA159" s="138"/>
      <c r="IB159" s="138"/>
      <c r="IC159" s="138"/>
      <c r="ID159" s="138"/>
      <c r="IE159" s="138"/>
      <c r="IF159" s="138"/>
      <c r="IG159" s="138"/>
      <c r="IH159" s="138"/>
      <c r="II159" s="138"/>
      <c r="IJ159" s="138"/>
      <c r="IK159" s="138"/>
      <c r="IL159" s="138"/>
      <c r="IM159" s="138"/>
      <c r="IN159" s="138"/>
      <c r="IO159" s="138"/>
    </row>
    <row r="160" spans="2:249">
      <c r="B160" s="156"/>
      <c r="C160" s="137" t="str">
        <f>C78</f>
        <v>Care Percentage</v>
      </c>
      <c r="D160" s="107" t="str">
        <f t="shared" ref="D160:AK160" si="22">$C$79</f>
        <v>100% of Customer's care</v>
      </c>
      <c r="E160" s="107" t="str">
        <f t="shared" si="22"/>
        <v>100% of Customer's care</v>
      </c>
      <c r="F160" s="107" t="str">
        <f t="shared" si="22"/>
        <v>100% of Customer's care</v>
      </c>
      <c r="G160" s="107" t="str">
        <f t="shared" si="22"/>
        <v>100% of Customer's care</v>
      </c>
      <c r="H160" s="107" t="str">
        <f t="shared" si="22"/>
        <v>100% of Customer's care</v>
      </c>
      <c r="I160" s="107" t="str">
        <f t="shared" si="22"/>
        <v>100% of Customer's care</v>
      </c>
      <c r="J160" s="107" t="str">
        <f t="shared" si="22"/>
        <v>100% of Customer's care</v>
      </c>
      <c r="K160" s="107" t="str">
        <f t="shared" si="22"/>
        <v>100% of Customer's care</v>
      </c>
      <c r="L160" s="107" t="str">
        <f t="shared" si="22"/>
        <v>100% of Customer's care</v>
      </c>
      <c r="M160" s="107" t="str">
        <f t="shared" si="22"/>
        <v>100% of Customer's care</v>
      </c>
      <c r="N160" s="107" t="str">
        <f t="shared" si="22"/>
        <v>100% of Customer's care</v>
      </c>
      <c r="O160" s="107" t="str">
        <f t="shared" si="22"/>
        <v>100% of Customer's care</v>
      </c>
      <c r="P160" s="107" t="str">
        <f t="shared" si="22"/>
        <v>100% of Customer's care</v>
      </c>
      <c r="Q160" s="107" t="str">
        <f t="shared" si="22"/>
        <v>100% of Customer's care</v>
      </c>
      <c r="R160" s="107" t="str">
        <f t="shared" si="22"/>
        <v>100% of Customer's care</v>
      </c>
      <c r="S160" s="107" t="str">
        <f t="shared" si="22"/>
        <v>100% of Customer's care</v>
      </c>
      <c r="T160" s="107" t="str">
        <f t="shared" si="22"/>
        <v>100% of Customer's care</v>
      </c>
      <c r="U160" s="107" t="str">
        <f t="shared" si="22"/>
        <v>100% of Customer's care</v>
      </c>
      <c r="V160" s="107" t="str">
        <f t="shared" si="22"/>
        <v>100% of Customer's care</v>
      </c>
      <c r="W160" s="107" t="str">
        <f t="shared" si="22"/>
        <v>100% of Customer's care</v>
      </c>
      <c r="X160" s="107" t="str">
        <f t="shared" si="22"/>
        <v>100% of Customer's care</v>
      </c>
      <c r="Y160" s="107" t="str">
        <f t="shared" si="22"/>
        <v>100% of Customer's care</v>
      </c>
      <c r="Z160" s="107" t="str">
        <f t="shared" si="22"/>
        <v>100% of Customer's care</v>
      </c>
      <c r="AA160" s="107" t="str">
        <f t="shared" si="22"/>
        <v>100% of Customer's care</v>
      </c>
      <c r="AB160" s="107" t="str">
        <f t="shared" si="22"/>
        <v>100% of Customer's care</v>
      </c>
      <c r="AC160" s="107" t="str">
        <f t="shared" si="22"/>
        <v>100% of Customer's care</v>
      </c>
      <c r="AD160" s="107" t="str">
        <f t="shared" si="22"/>
        <v>100% of Customer's care</v>
      </c>
      <c r="AE160" s="107" t="str">
        <f t="shared" si="22"/>
        <v>100% of Customer's care</v>
      </c>
      <c r="AF160" s="107" t="str">
        <f t="shared" si="22"/>
        <v>100% of Customer's care</v>
      </c>
      <c r="AG160" s="107" t="str">
        <f t="shared" si="22"/>
        <v>100% of Customer's care</v>
      </c>
      <c r="AH160" s="107" t="str">
        <f t="shared" si="22"/>
        <v>100% of Customer's care</v>
      </c>
      <c r="AI160" s="107" t="str">
        <f t="shared" si="22"/>
        <v>100% of Customer's care</v>
      </c>
      <c r="AJ160" s="107" t="str">
        <f t="shared" si="22"/>
        <v>100% of Customer's care</v>
      </c>
      <c r="AK160" s="107" t="str">
        <f t="shared" si="22"/>
        <v>100% of Customer's care</v>
      </c>
      <c r="AL160" s="107" t="str">
        <f t="shared" ref="AL160:CD160" si="23">$C$79</f>
        <v>100% of Customer's care</v>
      </c>
      <c r="AM160" s="107" t="str">
        <f t="shared" si="23"/>
        <v>100% of Customer's care</v>
      </c>
      <c r="AN160" s="107" t="str">
        <f t="shared" si="23"/>
        <v>100% of Customer's care</v>
      </c>
      <c r="AO160" s="107" t="str">
        <f t="shared" si="23"/>
        <v>100% of Customer's care</v>
      </c>
      <c r="AP160" s="107" t="str">
        <f t="shared" si="23"/>
        <v>100% of Customer's care</v>
      </c>
      <c r="AQ160" s="107" t="str">
        <f t="shared" si="23"/>
        <v>100% of Customer's care</v>
      </c>
      <c r="AR160" s="107" t="str">
        <f t="shared" si="23"/>
        <v>100% of Customer's care</v>
      </c>
      <c r="AS160" s="107" t="str">
        <f t="shared" si="23"/>
        <v>100% of Customer's care</v>
      </c>
      <c r="AT160" s="107" t="str">
        <f t="shared" si="23"/>
        <v>100% of Customer's care</v>
      </c>
      <c r="AU160" s="107" t="str">
        <f t="shared" si="23"/>
        <v>100% of Customer's care</v>
      </c>
      <c r="AV160" s="107" t="str">
        <f t="shared" si="23"/>
        <v>100% of Customer's care</v>
      </c>
      <c r="AW160" s="107" t="str">
        <f t="shared" si="23"/>
        <v>100% of Customer's care</v>
      </c>
      <c r="AX160" s="107" t="str">
        <f t="shared" si="23"/>
        <v>100% of Customer's care</v>
      </c>
      <c r="AY160" s="107" t="str">
        <f t="shared" si="23"/>
        <v>100% of Customer's care</v>
      </c>
      <c r="AZ160" s="107" t="str">
        <f t="shared" si="23"/>
        <v>100% of Customer's care</v>
      </c>
      <c r="BA160" s="107" t="str">
        <f t="shared" si="23"/>
        <v>100% of Customer's care</v>
      </c>
      <c r="BB160" s="107" t="str">
        <f t="shared" si="23"/>
        <v>100% of Customer's care</v>
      </c>
      <c r="BC160" s="107" t="str">
        <f t="shared" si="23"/>
        <v>100% of Customer's care</v>
      </c>
      <c r="BD160" s="107" t="str">
        <f t="shared" si="23"/>
        <v>100% of Customer's care</v>
      </c>
      <c r="BE160" s="107" t="str">
        <f t="shared" si="23"/>
        <v>100% of Customer's care</v>
      </c>
      <c r="BF160" s="107" t="str">
        <f t="shared" si="23"/>
        <v>100% of Customer's care</v>
      </c>
      <c r="BG160" s="107" t="str">
        <f t="shared" si="23"/>
        <v>100% of Customer's care</v>
      </c>
      <c r="BH160" s="107" t="str">
        <f t="shared" si="23"/>
        <v>100% of Customer's care</v>
      </c>
      <c r="BI160" s="107" t="str">
        <f t="shared" si="23"/>
        <v>100% of Customer's care</v>
      </c>
      <c r="BJ160" s="107" t="str">
        <f t="shared" si="23"/>
        <v>100% of Customer's care</v>
      </c>
      <c r="BK160" s="107" t="str">
        <f t="shared" si="23"/>
        <v>100% of Customer's care</v>
      </c>
      <c r="BL160" s="107" t="str">
        <f t="shared" si="23"/>
        <v>100% of Customer's care</v>
      </c>
      <c r="BM160" s="107" t="str">
        <f t="shared" si="23"/>
        <v>100% of Customer's care</v>
      </c>
      <c r="BN160" s="107" t="str">
        <f t="shared" si="23"/>
        <v>100% of Customer's care</v>
      </c>
      <c r="BO160" s="107" t="str">
        <f t="shared" si="23"/>
        <v>100% of Customer's care</v>
      </c>
      <c r="BP160" s="107" t="str">
        <f t="shared" si="23"/>
        <v>100% of Customer's care</v>
      </c>
      <c r="BQ160" s="107" t="str">
        <f t="shared" si="23"/>
        <v>100% of Customer's care</v>
      </c>
      <c r="BR160" s="107" t="str">
        <f t="shared" si="23"/>
        <v>100% of Customer's care</v>
      </c>
      <c r="BS160" s="107" t="str">
        <f t="shared" si="23"/>
        <v>100% of Customer's care</v>
      </c>
      <c r="BT160" s="107" t="str">
        <f t="shared" si="23"/>
        <v>100% of Customer's care</v>
      </c>
      <c r="BU160" s="107" t="str">
        <f t="shared" si="23"/>
        <v>100% of Customer's care</v>
      </c>
      <c r="BV160" s="107" t="str">
        <f t="shared" si="23"/>
        <v>100% of Customer's care</v>
      </c>
      <c r="BW160" s="107" t="str">
        <f t="shared" si="23"/>
        <v>100% of Customer's care</v>
      </c>
      <c r="BX160" s="107" t="str">
        <f t="shared" si="23"/>
        <v>100% of Customer's care</v>
      </c>
      <c r="BY160" s="107" t="str">
        <f t="shared" si="23"/>
        <v>100% of Customer's care</v>
      </c>
      <c r="BZ160" s="107" t="str">
        <f t="shared" si="23"/>
        <v>100% of Customer's care</v>
      </c>
      <c r="CA160" s="107" t="str">
        <f t="shared" si="23"/>
        <v>100% of Customer's care</v>
      </c>
      <c r="CB160" s="107" t="str">
        <f t="shared" si="23"/>
        <v>100% of Customer's care</v>
      </c>
      <c r="CC160" s="107" t="str">
        <f t="shared" si="23"/>
        <v>100% of Customer's care</v>
      </c>
      <c r="CD160" s="107" t="str">
        <f t="shared" si="23"/>
        <v>100% of Customer's care</v>
      </c>
      <c r="CE160" s="107"/>
      <c r="CF160" s="107"/>
      <c r="CG160" s="107"/>
      <c r="CH160" s="107"/>
      <c r="CI160" s="107"/>
      <c r="CJ160" s="107"/>
      <c r="CK160" s="107"/>
      <c r="CL160" s="107"/>
      <c r="CM160" s="107"/>
      <c r="CN160" s="107"/>
      <c r="CO160" s="107"/>
      <c r="CP160" s="107"/>
      <c r="CQ160" s="107"/>
      <c r="CR160" s="107"/>
      <c r="CS160" s="107"/>
      <c r="CT160" s="107"/>
      <c r="CU160" s="107"/>
      <c r="CV160" s="107"/>
      <c r="CW160" s="107"/>
      <c r="CX160" s="107"/>
      <c r="CY160" s="107"/>
      <c r="CZ160" s="107"/>
      <c r="DA160" s="107"/>
      <c r="DB160" s="107"/>
      <c r="DC160" s="107"/>
      <c r="DD160" s="107"/>
      <c r="DE160" s="107"/>
      <c r="DF160" s="107"/>
      <c r="DG160" s="107"/>
      <c r="DH160" s="107"/>
      <c r="DI160" s="107"/>
      <c r="DJ160" s="107"/>
      <c r="DK160" s="107"/>
      <c r="DL160" s="107"/>
      <c r="DM160" s="107"/>
      <c r="DN160" s="107"/>
      <c r="DO160" s="107"/>
      <c r="DP160" s="107"/>
      <c r="DQ160" s="107"/>
      <c r="DR160" s="107"/>
      <c r="DS160" s="107"/>
      <c r="DT160" s="107"/>
      <c r="DU160" s="107"/>
      <c r="DV160" s="107"/>
      <c r="DW160" s="107"/>
      <c r="DX160" s="107"/>
      <c r="DY160" s="107"/>
      <c r="DZ160" s="107"/>
      <c r="EA160" s="107"/>
      <c r="EB160" s="107"/>
      <c r="EC160" s="107"/>
      <c r="ED160" s="107"/>
      <c r="EE160" s="107"/>
      <c r="EF160" s="107"/>
      <c r="EG160" s="107"/>
      <c r="EH160" s="107"/>
      <c r="EI160" s="107"/>
      <c r="EJ160" s="107"/>
      <c r="EK160" s="107"/>
      <c r="EL160" s="107"/>
      <c r="EM160" s="107"/>
      <c r="EN160" s="107"/>
      <c r="EO160" s="107"/>
      <c r="EP160" s="107"/>
      <c r="EQ160" s="107"/>
      <c r="ER160" s="107"/>
      <c r="ES160" s="107"/>
      <c r="ET160" s="107"/>
      <c r="EU160" s="107"/>
      <c r="EV160" s="107"/>
      <c r="EW160" s="107"/>
      <c r="EX160" s="107"/>
      <c r="EY160" s="107"/>
      <c r="EZ160" s="107"/>
      <c r="FA160" s="107"/>
      <c r="FB160" s="107"/>
      <c r="FC160" s="107"/>
      <c r="FD160" s="107"/>
      <c r="FE160" s="107"/>
      <c r="FF160" s="107"/>
      <c r="FG160" s="107"/>
      <c r="FH160" s="107"/>
      <c r="FI160" s="107"/>
      <c r="FJ160" s="107"/>
      <c r="FK160" s="107"/>
      <c r="FL160" s="107"/>
      <c r="FM160" s="107"/>
      <c r="FN160" s="107"/>
      <c r="FO160" s="107"/>
      <c r="FP160" s="107"/>
      <c r="FQ160" s="107"/>
      <c r="FR160" s="107"/>
      <c r="FS160" s="107"/>
      <c r="FT160" s="107"/>
      <c r="FU160" s="107"/>
      <c r="FV160" s="107"/>
      <c r="FW160" s="107"/>
      <c r="FX160" s="107"/>
      <c r="FY160" s="107"/>
      <c r="FZ160" s="107"/>
      <c r="GA160" s="107"/>
      <c r="GB160" s="107"/>
      <c r="GC160" s="107"/>
      <c r="GD160" s="107"/>
      <c r="GE160" s="107"/>
      <c r="GF160" s="107"/>
      <c r="GG160" s="107"/>
      <c r="GH160" s="107"/>
      <c r="GI160" s="107"/>
      <c r="GJ160" s="107"/>
      <c r="GK160" s="107"/>
      <c r="GL160" s="107"/>
      <c r="GM160" s="107"/>
      <c r="GN160" s="107"/>
      <c r="GO160" s="107"/>
      <c r="GP160" s="107"/>
      <c r="GQ160" s="107"/>
      <c r="GR160" s="107"/>
      <c r="GS160" s="107"/>
      <c r="GT160" s="107"/>
      <c r="GU160" s="107"/>
      <c r="GV160" s="107"/>
      <c r="GW160" s="107"/>
      <c r="GX160" s="107"/>
      <c r="GY160" s="107"/>
      <c r="GZ160" s="107"/>
      <c r="HA160" s="107"/>
      <c r="HB160" s="107"/>
      <c r="HC160" s="107"/>
      <c r="HD160" s="107"/>
      <c r="HE160" s="107"/>
      <c r="HF160" s="107"/>
      <c r="HG160" s="107"/>
      <c r="HH160" s="107"/>
      <c r="HI160" s="107"/>
      <c r="HJ160" s="107"/>
      <c r="HK160" s="107"/>
      <c r="HL160" s="107"/>
      <c r="HM160" s="107"/>
      <c r="HN160" s="107"/>
      <c r="HO160" s="107"/>
      <c r="HP160" s="107"/>
      <c r="HQ160" s="107"/>
      <c r="HR160" s="107"/>
      <c r="HS160" s="107"/>
      <c r="HT160" s="107"/>
      <c r="HU160" s="107"/>
      <c r="HV160" s="107"/>
      <c r="HW160" s="107"/>
      <c r="HX160" s="107"/>
      <c r="HY160" s="107"/>
      <c r="HZ160" s="107"/>
      <c r="IA160" s="107"/>
      <c r="IB160" s="107"/>
      <c r="IC160" s="107"/>
      <c r="ID160" s="107"/>
      <c r="IE160" s="107"/>
      <c r="IF160" s="107"/>
      <c r="IG160" s="107"/>
      <c r="IH160" s="107"/>
      <c r="II160" s="107"/>
      <c r="IJ160" s="107"/>
      <c r="IK160" s="107"/>
      <c r="IL160" s="107"/>
      <c r="IM160" s="107"/>
      <c r="IN160" s="107"/>
      <c r="IO160" s="107"/>
    </row>
    <row r="161" spans="2:249">
      <c r="B161" s="90"/>
      <c r="C161" s="118"/>
      <c r="D161" s="119"/>
      <c r="E161" s="119"/>
      <c r="F161" s="119"/>
      <c r="G161" s="119"/>
      <c r="H161" s="119"/>
      <c r="I161" s="119"/>
      <c r="J161" s="119"/>
      <c r="K161" s="119"/>
      <c r="L161" s="119"/>
      <c r="M161" s="119"/>
      <c r="N161" s="119"/>
      <c r="O161" s="119"/>
      <c r="P161" s="119"/>
      <c r="Q161" s="119"/>
      <c r="R161" s="119"/>
      <c r="S161" s="119"/>
      <c r="T161" s="119"/>
      <c r="U161" s="119"/>
      <c r="V161" s="119"/>
      <c r="W161" s="119"/>
      <c r="X161" s="119"/>
      <c r="Y161" s="119"/>
      <c r="Z161" s="119"/>
      <c r="AA161" s="119"/>
      <c r="AB161" s="119"/>
      <c r="AC161" s="119"/>
      <c r="AD161" s="119"/>
      <c r="AE161" s="119"/>
      <c r="AF161" s="119"/>
      <c r="AG161" s="119"/>
      <c r="AH161" s="119"/>
      <c r="AI161" s="119"/>
      <c r="AJ161" s="119"/>
      <c r="AK161" s="119"/>
      <c r="AL161" s="119"/>
      <c r="AM161" s="119"/>
      <c r="AN161" s="119"/>
      <c r="AO161" s="119"/>
      <c r="AP161" s="119"/>
      <c r="AQ161" s="119"/>
      <c r="AR161" s="119"/>
      <c r="AS161" s="119"/>
      <c r="AT161" s="119"/>
      <c r="AU161" s="119"/>
      <c r="AV161" s="119"/>
      <c r="AW161" s="119"/>
      <c r="AX161" s="119"/>
      <c r="AY161" s="119"/>
      <c r="AZ161" s="119"/>
      <c r="BA161" s="119"/>
      <c r="BB161" s="119"/>
      <c r="BC161" s="119"/>
      <c r="BD161" s="119"/>
      <c r="BE161" s="119"/>
      <c r="BF161" s="119"/>
      <c r="BG161" s="119"/>
      <c r="BH161" s="119"/>
      <c r="BI161" s="119"/>
      <c r="BJ161" s="119"/>
      <c r="BK161" s="119"/>
      <c r="BL161" s="119"/>
      <c r="BM161" s="119"/>
      <c r="BN161" s="119"/>
      <c r="BO161" s="119"/>
      <c r="BP161" s="119"/>
      <c r="BQ161" s="119"/>
      <c r="BR161" s="119"/>
      <c r="BS161" s="119"/>
      <c r="BT161" s="119"/>
      <c r="BU161" s="119"/>
      <c r="BV161" s="119"/>
      <c r="BW161" s="119"/>
      <c r="BX161" s="119"/>
      <c r="BY161" s="119"/>
      <c r="BZ161" s="119"/>
      <c r="CA161" s="119"/>
      <c r="CB161" s="119"/>
      <c r="CC161" s="119"/>
      <c r="CD161" s="119"/>
      <c r="CE161" s="119"/>
      <c r="CF161" s="119"/>
      <c r="CG161" s="119"/>
      <c r="CH161" s="119"/>
      <c r="CI161" s="119"/>
      <c r="CJ161" s="119"/>
      <c r="CK161" s="119"/>
      <c r="CL161" s="119"/>
      <c r="CM161" s="119"/>
      <c r="CN161" s="119"/>
      <c r="CO161" s="119"/>
      <c r="CP161" s="119"/>
      <c r="CQ161" s="119"/>
      <c r="CR161" s="119"/>
      <c r="CS161" s="119"/>
      <c r="CT161" s="119"/>
      <c r="CU161" s="119"/>
      <c r="CV161" s="119"/>
      <c r="CW161" s="119"/>
      <c r="CX161" s="119"/>
      <c r="CY161" s="119"/>
      <c r="CZ161" s="119"/>
      <c r="DA161" s="119"/>
      <c r="DB161" s="119"/>
      <c r="DC161" s="119"/>
      <c r="DD161" s="119"/>
      <c r="DE161" s="119"/>
      <c r="DF161" s="119"/>
      <c r="DG161" s="119"/>
      <c r="DH161" s="119"/>
      <c r="DI161" s="119"/>
      <c r="DJ161" s="119"/>
      <c r="DK161" s="119"/>
      <c r="DL161" s="119"/>
      <c r="DM161" s="119"/>
      <c r="DN161" s="119"/>
      <c r="DO161" s="119"/>
      <c r="DP161" s="119"/>
      <c r="DQ161" s="119"/>
      <c r="DR161" s="119"/>
      <c r="DS161" s="119"/>
      <c r="DT161" s="119"/>
      <c r="DU161" s="119"/>
      <c r="DV161" s="119"/>
      <c r="DW161" s="119"/>
      <c r="DX161" s="119"/>
      <c r="DY161" s="119"/>
      <c r="DZ161" s="119"/>
      <c r="EA161" s="119"/>
      <c r="EB161" s="119"/>
      <c r="EC161" s="119"/>
      <c r="ED161" s="119"/>
      <c r="EE161" s="119"/>
      <c r="EF161" s="119"/>
      <c r="EG161" s="119"/>
      <c r="EH161" s="119"/>
      <c r="EI161" s="119"/>
      <c r="EJ161" s="119"/>
      <c r="EK161" s="119"/>
      <c r="EL161" s="119"/>
      <c r="EM161" s="119"/>
      <c r="EN161" s="119"/>
      <c r="EO161" s="119"/>
      <c r="EP161" s="119"/>
      <c r="EQ161" s="119"/>
      <c r="ER161" s="119"/>
      <c r="ES161" s="119"/>
      <c r="ET161" s="119"/>
      <c r="EU161" s="119"/>
      <c r="EV161" s="119"/>
      <c r="EW161" s="119"/>
      <c r="EX161" s="119"/>
      <c r="EY161" s="119"/>
      <c r="EZ161" s="119"/>
      <c r="FA161" s="119"/>
      <c r="FB161" s="119"/>
      <c r="FC161" s="119"/>
      <c r="FD161" s="119"/>
      <c r="FE161" s="119"/>
      <c r="FF161" s="119"/>
      <c r="FG161" s="119"/>
      <c r="FH161" s="119"/>
      <c r="FI161" s="119"/>
      <c r="FJ161" s="119"/>
      <c r="FK161" s="119"/>
      <c r="FL161" s="119"/>
      <c r="FM161" s="119"/>
      <c r="FN161" s="119"/>
      <c r="FO161" s="119"/>
      <c r="FP161" s="119"/>
      <c r="FQ161" s="119"/>
      <c r="FR161" s="119"/>
      <c r="FS161" s="119"/>
      <c r="FT161" s="119"/>
      <c r="FU161" s="119"/>
      <c r="FV161" s="119"/>
      <c r="FW161" s="119"/>
      <c r="FX161" s="119"/>
      <c r="FY161" s="119"/>
      <c r="FZ161" s="119"/>
      <c r="GA161" s="119"/>
      <c r="GB161" s="119"/>
      <c r="GC161" s="119"/>
      <c r="GD161" s="119"/>
      <c r="GE161" s="119"/>
      <c r="GF161" s="119"/>
      <c r="GG161" s="119"/>
      <c r="GH161" s="119"/>
      <c r="GI161" s="119"/>
      <c r="GJ161" s="119"/>
      <c r="GK161" s="119"/>
      <c r="GL161" s="119"/>
      <c r="GM161" s="119"/>
      <c r="GN161" s="119"/>
      <c r="GO161" s="119"/>
      <c r="GP161" s="119"/>
      <c r="GQ161" s="119"/>
      <c r="GR161" s="119"/>
      <c r="GS161" s="119"/>
      <c r="GT161" s="119"/>
      <c r="GU161" s="119"/>
      <c r="GV161" s="119"/>
      <c r="GW161" s="119"/>
      <c r="GX161" s="119"/>
      <c r="GY161" s="119"/>
      <c r="GZ161" s="119"/>
      <c r="HA161" s="119"/>
      <c r="HB161" s="119"/>
      <c r="HC161" s="119"/>
      <c r="HD161" s="119"/>
      <c r="HE161" s="119"/>
      <c r="HF161" s="119"/>
      <c r="HG161" s="119"/>
      <c r="HH161" s="119"/>
      <c r="HI161" s="119"/>
      <c r="HJ161" s="119"/>
      <c r="HK161" s="119"/>
      <c r="HL161" s="119"/>
      <c r="HM161" s="119"/>
      <c r="HN161" s="119"/>
      <c r="HO161" s="119"/>
      <c r="HP161" s="119"/>
      <c r="HQ161" s="119"/>
      <c r="HR161" s="119"/>
      <c r="HS161" s="119"/>
      <c r="HT161" s="119"/>
      <c r="HU161" s="119"/>
      <c r="HV161" s="119"/>
      <c r="HW161" s="119"/>
      <c r="HX161" s="119"/>
      <c r="HY161" s="119"/>
      <c r="HZ161" s="119"/>
      <c r="IA161" s="119"/>
      <c r="IB161" s="119"/>
      <c r="IC161" s="119"/>
      <c r="ID161" s="119"/>
      <c r="IE161" s="119"/>
      <c r="IF161" s="119"/>
      <c r="IG161" s="119"/>
      <c r="IH161" s="119"/>
      <c r="II161" s="119"/>
      <c r="IJ161" s="119"/>
      <c r="IK161" s="119"/>
      <c r="IL161" s="119"/>
      <c r="IM161" s="119"/>
      <c r="IN161" s="119"/>
      <c r="IO161" s="119"/>
    </row>
    <row r="162" spans="2:249" ht="215.25" customHeight="1">
      <c r="B162" s="156"/>
      <c r="C162" s="137" t="s">
        <v>532</v>
      </c>
      <c r="D162" s="160" t="str">
        <f xml:space="preserve"> CONCATENATE("&lt;BR&gt;","&lt;BR&gt;","&lt;B&gt;",$B$127,"&lt;/B&gt;","&lt;BR&gt;", $C$129, " = ",D129,"&lt;BR&gt;", $C$131, " = ",D131,"&lt;BR&gt;", $C$133, " = ",D133,"&lt;BR&gt;", $C$135, " = ",D135,"&lt;BR&gt;","&lt;BR&gt;","&lt;B&gt;",$B$138,"&lt;/B&gt;","&lt;BR&gt;", $C$140, " = ",D140,"&lt;BR&gt;", $C$142, " = ",D142,"&lt;BR&gt;", $C$144, " = ",D144,"&lt;BR&gt;", "&lt;BR&gt;","&lt;B&gt;",$B$145,"&lt;/B&gt;","&lt;BR&gt;", $C$147, " = ",D147,"&lt;BR&gt;", $C$149, " = ",D149,"&lt;BR&gt;", $C$151, " = ",D151,"&lt;BR&gt;","&lt;BR&gt;","&lt;B&gt;",$B$152,"&lt;/B&gt;","&lt;BR&gt;", $C$154, " = ",D154,"&lt;BR&gt;", $C$156, " = ",D156,"&lt;BR&gt;", $C158, " = ",D158,"&lt;BR&gt;", $C$160, " = ",D160)</f>
        <v>&lt;BR&gt;&lt;BR&gt;&lt;B&gt;Customer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E162" s="160" t="str">
        <f t="shared" ref="E162:AJ162" si="24" xml:space="preserve"> CONCATENATE("&lt;BR&gt;","&lt;BR&gt;","&lt;B&gt;",$B$127,"&lt;/B&gt;","&lt;BR&gt;", $C$129, " = ",E129,"&lt;BR&gt;", $C$131, " = ",E131,"&lt;BR&gt;", $C$133, " = ",E133,"&lt;BR&gt;", $C$135, " = ",E135,"&lt;BR&gt;","&lt;BR&gt;","&lt;B&gt;",$B$138,"&lt;/B&gt;","&lt;BR&gt;", $C$140, " = ",E140,"&lt;BR&gt;", $C$142, " = ",E142,"&lt;BR&gt;", $C$144, " = ",E144,"&lt;BR&gt;", "&lt;BR&gt;","&lt;B&gt;",$B$145,"&lt;/B&gt;","&lt;BR&gt;", $C$147, " = ",E147,"&lt;BR&gt;", $C$149, " = ",E149,"&lt;BR&gt;", $C$151, " = ",E151,"&lt;BR&gt;","&lt;BR&gt;","&lt;B&gt;",$B$152,"&lt;/B&gt;","&lt;BR&gt;", $C$154, " = ",E154,"&lt;BR&gt;", $C$156, " = ",E156,"&lt;BR&gt;", $C158, " = ",E158,"&lt;BR&gt;", $C$160, " = ",E160)</f>
        <v>&lt;BR&gt;&lt;BR&gt;&lt;B&gt;Customer  circumstances&lt;/B&gt;&lt;BR&gt;Residential Qualification = AU citizen&lt;BR&gt;Direct Credit details   = Coded Exemption - FNG&lt;BR&gt;TFN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F162" s="160" t="str">
        <f t="shared" si="24"/>
        <v>&lt;BR&gt;&lt;BR&gt;&lt;B&gt;Customer  circumstances&lt;/B&gt;&lt;BR&gt;Residential Qualification = AU citizen&lt;BR&gt;Direct Credit details   = Not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G162" s="160" t="str">
        <f t="shared" si="24"/>
        <v>&lt;BR&gt;&lt;BR&gt;&lt;B&gt;Customer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 Exemption - PVI&lt;BR&gt;Primary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H162" s="160" t="str">
        <f t="shared" si="24"/>
        <v>&lt;BR&gt;&lt;BR&gt;&lt;B&gt;Customer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 Exemption - PUC&lt;BR&gt;Primary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I162" s="160" t="str">
        <f t="shared" si="24"/>
        <v>&lt;BR&gt;&lt;BR&gt;&lt;B&gt;Customer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Not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J162" s="160" t="str">
        <f t="shared" si="24"/>
        <v>&lt;BR&gt;&lt;BR&gt;&lt;B&gt;Customer  circumstances&lt;/B&gt;&lt;BR&gt;Residential Qualification = AU citizen&lt;BR&gt;Direct Credit details   = Coded&lt;BR&gt;TFN details = Not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K162" s="160" t="str">
        <f t="shared" si="24"/>
        <v>&lt;BR&gt;&lt;BR&gt;&lt;B&gt;Customer  circumstances&lt;/B&gt;&lt;BR&gt;Residential Qualification = AU citizen&lt;BR&gt;Direct Credit details   = Coded&lt;BR&gt;TFN details = Not Coded&lt;BR&gt;Secondary Earner income = Less than $21,499&lt;BR&gt;&lt;BR&gt;&lt;B&gt;Partner  circumstances&lt;/B&gt;&lt;BR&gt;Residential Qualification = AU citizen&lt;BR&gt;TFN details = Coded Exemption - PVI&lt;BR&gt;Primary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L162" s="160" t="str">
        <f t="shared" si="24"/>
        <v>&lt;BR&gt;&lt;BR&gt;&lt;B&gt;Customer  circumstances&lt;/B&gt;&lt;BR&gt;Residential Qualification = AU citizen&lt;BR&gt;Direct Credit details   = Coded&lt;BR&gt;TFN details = Not Coded&lt;BR&gt;Secondary Earner income = Less than $21,499&lt;BR&gt;&lt;BR&gt;&lt;B&gt;Partner  circumstances&lt;/B&gt;&lt;BR&gt;Residential Qualification = AU citizen&lt;BR&gt;TFN details = Coded Exemption - PUC&lt;BR&gt;Primary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M162" s="160" t="str">
        <f t="shared" si="24"/>
        <v>&lt;BR&gt;&lt;BR&gt;&lt;B&gt;Customer  circumstances&lt;/B&gt;&lt;BR&gt;Residential Qualification = AU citizen&lt;BR&gt;Direct Credit details   = Coded&lt;BR&gt;TFN details = Not Coded&lt;BR&gt;Secondary Earner income = Less than $21,499&lt;BR&gt;&lt;BR&gt;&lt;B&gt;Partner  circumstances&lt;/B&gt;&lt;BR&gt;Residential Qualification = AU citizen&lt;BR&gt;TFN details = Not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N162" s="160" t="str">
        <f t="shared" si="24"/>
        <v>&lt;BR&gt;&lt;BR&gt;&lt;B&gt;Customer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More than $99,414 per yr&lt;BR&gt;&lt;BR&gt;&lt;B&gt;Child  circumstances&lt;/B&gt;&lt;BR&gt;Number of Child(ren) = 1&lt;BR&gt;Age of Child = &lt;= 5yr&lt;BR&gt;Principal Care Type = Natural Care&lt;BR&gt;Care Percentage = 100% of Customer's care</v>
      </c>
      <c r="O162" s="160" t="str">
        <f t="shared" si="24"/>
        <v>&lt;BR&gt;&lt;BR&gt;&lt;B&gt;Customer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More than $100,000&lt;BR&gt;&lt;BR&gt;&lt;B&gt;Customer and Partner common circumstances&lt;/B&gt;&lt;BR&gt;Home ownership code = Home owner - HOM&lt;BR&gt;Relationship Qualifier = Blank&lt;BR&gt;Combined Income Limit = More than $99,414 per yr&lt;BR&gt;&lt;BR&gt;&lt;B&gt;Child  circumstances&lt;/B&gt;&lt;BR&gt;Number of Child(ren) = 1&lt;BR&gt;Age of Child = &lt;= 5yr&lt;BR&gt;Principal Care Type = Natural Care&lt;BR&gt;Care Percentage = 100% of Customer's care</v>
      </c>
      <c r="P162" s="160" t="str">
        <f t="shared" si="24"/>
        <v>&lt;BR&gt;&lt;BR&gt;&lt;B&gt;Customer  circumstances&lt;/B&gt;&lt;BR&gt;Residential Qualification = AU citizen&lt;BR&gt;Direct Credit details   = Coded&lt;BR&gt;TFN details = Coded&lt;BR&gt;Secondary Earner income = More than $ 27,613&lt;BR&gt;&lt;BR&gt;&lt;B&gt;Partner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Q162" s="160" t="str">
        <f t="shared" si="24"/>
        <v>&lt;BR&gt;&lt;BR&gt;&lt;B&gt;Customer  circumstances&lt;/B&gt;&lt;BR&gt;Residential Qualification = AU citizen&lt;BR&gt;Direct Credit details   = Coded&lt;BR&gt;TFN details = Coded&lt;BR&gt;Secondary Earner income = More than $ 27,613&lt;BR&gt;&lt;BR&gt;&lt;B&gt;Partner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More than $99,414 per yr&lt;BR&gt;&lt;BR&gt;&lt;B&gt;Child  circumstances&lt;/B&gt;&lt;BR&gt;Number of Child(ren) = 1&lt;BR&gt;Age of Child = &lt;= 5yr&lt;BR&gt;Principal Care Type = Natural Care&lt;BR&gt;Care Percentage = 100% of Customer's care</v>
      </c>
      <c r="R162" s="160" t="str">
        <f t="shared" si="24"/>
        <v>&lt;BR&gt;&lt;BR&gt;&lt;B&gt;Customer  circumstances&lt;/B&gt;&lt;BR&gt;Residential Qualification = AU citizen&lt;BR&gt;Direct Credit details   = Coded&lt;BR&gt;TFN details = Coded&lt;BR&gt;Secondary Earner income = More than $ 27,613&lt;BR&gt;&lt;BR&gt;&lt;B&gt;Partner  circumstances&lt;/B&gt;&lt;BR&gt;Residential Qualification = AU citizen&lt;BR&gt;TFN details = Coded&lt;BR&gt;Primary Earner income = More than $100,000&lt;BR&gt;&lt;BR&gt;&lt;B&gt;Customer and Partner common circumstances&lt;/B&gt;&lt;BR&gt;Home ownership code = Home owner - HOM&lt;BR&gt;Relationship Qualifier = Blank&lt;BR&gt;Combined Income Limit = More than $99,414 per yr&lt;BR&gt;&lt;BR&gt;&lt;B&gt;Child  circumstances&lt;/B&gt;&lt;BR&gt;Number of Child(ren) = 1&lt;BR&gt;Age of Child = &lt;= 5yr&lt;BR&gt;Principal Care Type = Natural Care&lt;BR&gt;Care Percentage = 100% of Customer's care</v>
      </c>
      <c r="S162" s="160" t="str">
        <f t="shared" si="24"/>
        <v>&lt;BR&gt;&lt;BR&gt;&lt;B&gt;Customer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ILB&lt;BR&gt;Combined Income Limit = Less than $99,414 per yr&lt;BR&gt;&lt;BR&gt;&lt;B&gt;Child  circumstances&lt;/B&gt;&lt;BR&gt;Number of Child(ren) = 1&lt;BR&gt;Age of Child = &lt;= 5yr&lt;BR&gt;Principal Care Type = Natural Care&lt;BR&gt;Care Percentage = 100% of Customer's care</v>
      </c>
      <c r="T162" s="160" t="str">
        <f t="shared" si="24"/>
        <v>&lt;BR&gt;&lt;BR&gt;&lt;B&gt;Customer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ILC&lt;BR&gt;Combined Income Limit = Less than $99,414 per yr&lt;BR&gt;&lt;BR&gt;&lt;B&gt;Child  circumstances&lt;/B&gt;&lt;BR&gt;Number of Child(ren) = 1&lt;BR&gt;Age of Child = &lt;= 5yr&lt;BR&gt;Principal Care Type = Natural Care&lt;BR&gt;Care Percentage = 100% of Customer's care</v>
      </c>
      <c r="U162" s="160" t="str">
        <f t="shared" si="24"/>
        <v>&lt;BR&gt;&lt;BR&gt;&lt;B&gt;Customer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ILP&lt;BR&gt;Combined Income Limit = Less than $99,414 per yr&lt;BR&gt;&lt;BR&gt;&lt;B&gt;Child  circumstances&lt;/B&gt;&lt;BR&gt;Number of Child(ren) = 1&lt;BR&gt;Age of Child = &lt;= 5yr&lt;BR&gt;Principal Care Type = Natural Care&lt;BR&gt;Care Percentage = 100% of Customer's care</v>
      </c>
      <c r="V162" s="160" t="str">
        <f t="shared" si="24"/>
        <v>&lt;BR&gt;&lt;BR&gt;&lt;B&gt;Customer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0&lt;BR&gt;Combined Income Limit = Less than $99,414 per yr&lt;BR&gt;&lt;BR&gt;&lt;B&gt;Child  circumstances&lt;/B&gt;&lt;BR&gt;Number of Child(ren) = 1&lt;BR&gt;Age of Child = &lt;= 5yr&lt;BR&gt;Principal Care Type = Natural Care&lt;BR&gt;Care Percentage = 100% of Customer's care</v>
      </c>
      <c r="W162" s="160" t="str">
        <f t="shared" si="24"/>
        <v>&lt;BR&gt;&lt;BR&gt;&lt;B&gt;Customer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TEC&lt;BR&gt;Combined Income Limit = Less than $99,414 per yr&lt;BR&gt;&lt;BR&gt;&lt;B&gt;Child  circumstances&lt;/B&gt;&lt;BR&gt;Number of Child(ren) = 1&lt;BR&gt;Age of Child = &lt;= 5yr&lt;BR&gt;Principal Care Type = Natural Care&lt;BR&gt;Care Percentage = 100% of Customer's care</v>
      </c>
      <c r="X162" s="160" t="str">
        <f t="shared" si="24"/>
        <v>&lt;BR&gt;&lt;BR&gt;&lt;B&gt;Customer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TEP&lt;BR&gt;Combined Income Limit = Less than $99,414 per yr&lt;BR&gt;&lt;BR&gt;&lt;B&gt;Child  circumstances&lt;/B&gt;&lt;BR&gt;Number of Child(ren) = 1&lt;BR&gt;Age of Child = &lt;= 5yr&lt;BR&gt;Principal Care Type = Natural Care&lt;BR&gt;Care Percentage = 100% of Customer's care</v>
      </c>
      <c r="Y162" s="160" t="str">
        <f t="shared" si="24"/>
        <v>&lt;BR&gt;&lt;BR&gt;&lt;B&gt;Customer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GAC&lt;BR&gt;Combined Income Limit = Less than $99,414 per yr&lt;BR&gt;&lt;BR&gt;&lt;B&gt;Child  circumstances&lt;/B&gt;&lt;BR&gt;Number of Child(ren) = 1&lt;BR&gt;Age of Child = &lt;= 5yr&lt;BR&gt;Principal Care Type = Natural Care&lt;BR&gt;Care Percentage = 100% of Customer's care</v>
      </c>
      <c r="Z162" s="160" t="str">
        <f t="shared" si="24"/>
        <v>&lt;BR&gt;&lt;BR&gt;&lt;B&gt;Customer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GAP&lt;BR&gt;Combined Income Limit = Less than $99,414 per yr&lt;BR&gt;&lt;BR&gt;&lt;B&gt;Child  circumstances&lt;/B&gt;&lt;BR&gt;Number of Child(ren) = 1&lt;BR&gt;Age of Child = &lt;= 5yr&lt;BR&gt;Principal Care Type = Natural Care&lt;BR&gt;Care Percentage = 100% of Customer's care</v>
      </c>
      <c r="AA162" s="160" t="str">
        <f t="shared" si="24"/>
        <v>&lt;BR&gt;&lt;BR&gt;&lt;B&gt;Customer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PSB&lt;BR&gt;Combined Income Limit = Less than $99,414 per yr&lt;BR&gt;&lt;BR&gt;&lt;B&gt;Child  circumstances&lt;/B&gt;&lt;BR&gt;Number of Child(ren) = 1&lt;BR&gt;Age of Child = &lt;= 5yr&lt;BR&gt;Principal Care Type = Natural Care&lt;BR&gt;Care Percentage = 100% of Customer's care</v>
      </c>
      <c r="AB162" s="160" t="str">
        <f t="shared" si="24"/>
        <v>&lt;BR&gt;&lt;BR&gt;&lt;B&gt;Customer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PSC&lt;BR&gt;Combined Income Limit = Less than $99,414 per yr&lt;BR&gt;&lt;BR&gt;&lt;B&gt;Child  circumstances&lt;/B&gt;&lt;BR&gt;Number of Child(ren) = 1&lt;BR&gt;Age of Child = &lt;= 5yr&lt;BR&gt;Principal Care Type = Natural Care&lt;BR&gt;Care Percentage = 100% of Customer's care</v>
      </c>
      <c r="AC162" s="160" t="str">
        <f t="shared" si="24"/>
        <v>&lt;BR&gt;&lt;BR&gt;&lt;B&gt;Customer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PSP&lt;BR&gt;Combined Income Limit = Less than $99,414 per yr&lt;BR&gt;&lt;BR&gt;&lt;B&gt;Child  circumstances&lt;/B&gt;&lt;BR&gt;Number of Child(ren) = 1&lt;BR&gt;Age of Child = &lt;= 5yr&lt;BR&gt;Principal Care Type = Natural Care&lt;BR&gt;Care Percentage = 100% of Customer's care</v>
      </c>
      <c r="AD162" s="160" t="str">
        <f t="shared" si="24"/>
        <v>&lt;BR&gt;&lt;BR&gt;&lt;B&gt;Customer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REC&lt;BR&gt;Combined Income Limit = Less than $99,414 per yr&lt;BR&gt;&lt;BR&gt;&lt;B&gt;Child  circumstances&lt;/B&gt;&lt;BR&gt;Number of Child(ren) = 1&lt;BR&gt;Age of Child = &lt;= 5yr&lt;BR&gt;Principal Care Type = Natural Care&lt;BR&gt;Care Percentage = 100% of Customer's care</v>
      </c>
      <c r="AE162" s="160" t="str">
        <f t="shared" si="24"/>
        <v>&lt;BR&gt;&lt;BR&gt;&lt;B&gt;Customer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REP&lt;BR&gt;Combined Income Limit = Less than $99,414 per yr&lt;BR&gt;&lt;BR&gt;&lt;B&gt;Child  circumstances&lt;/B&gt;&lt;BR&gt;Number of Child(ren) = 1&lt;BR&gt;Age of Child = &lt;= 5yr&lt;BR&gt;Principal Care Type = Natural Care&lt;BR&gt;Care Percentage = 100% of Customer's care</v>
      </c>
      <c r="AF162" s="160" t="str">
        <f t="shared" si="24"/>
        <v>&lt;BR&gt;&lt;BR&gt;&lt;B&gt;Customer  circumstances&lt;/B&gt;&lt;BR&gt;Residential Qualification = AU citizen&lt;BR&gt;Direct Credit details   = Coded&lt;BR&gt;TFN details = Coded&lt;BR&gt;Secondary Earner income = Less than $21,499&lt;BR&gt;&lt;BR&gt;&lt;B&gt;Partner  circumstances&lt;/B&gt;&lt;BR&gt;Residential Qualification = Spouse/Partner Visa Class&lt;BR&gt;TFN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AG162" s="160" t="str">
        <f t="shared" si="24"/>
        <v>&lt;BR&gt;&lt;BR&gt;&lt;B&gt;Customer  circumstances&lt;/B&gt;&lt;BR&gt;Residential Qualification = AU citizen&lt;BR&gt;Direct Credit details   = Coded&lt;BR&gt;TFN details = Coded&lt;BR&gt;Secondary Earner income = Less than $21,499&lt;BR&gt;&lt;BR&gt;&lt;B&gt;Partner  circumstances&lt;/B&gt;&lt;BR&gt;Residential Qualification = Temporary Visa Class&lt;BR&gt;TFN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AH162" s="160" t="str">
        <f t="shared" si="24"/>
        <v>&lt;BR&gt;&lt;BR&gt;&lt;B&gt;Customer  circumstances&lt;/B&gt;&lt;BR&gt;Residential Qualification = Spouse/Partner Visa Class&lt;BR&gt;Direct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AI162" s="160" t="str">
        <f t="shared" si="24"/>
        <v>&lt;BR&gt;&lt;BR&gt;&lt;B&gt;Customer  circumstances&lt;/B&gt;&lt;BR&gt;Residential Qualification = Temporary Visa Class&lt;BR&gt;Direct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AJ162" s="160" t="str">
        <f t="shared" si="24"/>
        <v>&lt;BR&gt;&lt;BR&gt;&lt;B&gt;Customer  circumstances&lt;/B&gt;&lt;BR&gt;Residential Qualification = Spouse/Partner Visa Class&lt;BR&gt;Direct Credit details   = Coded&lt;BR&gt;TFN details = Coded&lt;BR&gt;Secondary Earner income = Less than $21,499&lt;BR&gt;&lt;BR&gt;&lt;B&gt;Partner  circumstances&lt;/B&gt;&lt;BR&gt;Residential Qualification = Temporary Visa Class&lt;BR&gt;TFN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AK162" s="160" t="str">
        <f xml:space="preserve"> CONCATENATE("&lt;BR&gt;","&lt;BR&gt;","&lt;B&gt;",$B$127,"&lt;/B&gt;","&lt;BR&gt;", $C$129, " = ",AK129,"&lt;BR&gt;", $C$131, " = ",AK131,"&lt;BR&gt;", $C$133, " = ",AK133,"&lt;BR&gt;", $C$135, " = ",AK135,"&lt;BR&gt;","&lt;BR&gt;","&lt;B&gt;",$B$138,"&lt;/B&gt;","&lt;BR&gt;", $C$140, " = ",AK140,"&lt;BR&gt;", $C$142, " = ",AK142,"&lt;BR&gt;", $C$144, " = ",AK144,"&lt;BR&gt;", "&lt;BR&gt;","&lt;B&gt;",$B$145,"&lt;/B&gt;","&lt;BR&gt;", $C$147, " = ",AK147,"&lt;BR&gt;", $C$149, " = ",AK149,"&lt;BR&gt;", $C$151, " = ",AK151,"&lt;BR&gt;","&lt;BR&gt;","&lt;B&gt;",$B$152,"&lt;/B&gt;","&lt;BR&gt;", $C$154, " = ",AK154,"&lt;BR&gt;", $C$156, " = ",AK156,"&lt;BR&gt;", $C158, " = ",AK158,"&lt;BR&gt;", $C$160, " = ",AK160)</f>
        <v>&lt;BR&gt;&lt;BR&gt;&lt;B&gt;Customer  circumstances&lt;/B&gt;&lt;BR&gt;Residential Qualification = Temporary Visa Class&lt;BR&gt;Direct Credit details   = Coded&lt;BR&gt;TFN details = Coded&lt;BR&gt;Secondary Earner income = Less than $21,499&lt;BR&gt;&lt;BR&gt;&lt;B&gt;Partner  circumstances&lt;/B&gt;&lt;BR&gt;Residential Qualification = Spouse/Partner Visa Class&lt;BR&gt;TFN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AL162" s="160" t="str">
        <f xml:space="preserve"> CONCATENATE("&lt;BR&gt;","&lt;BR&gt;","&lt;B&gt;",$B$127,"&lt;/B&gt;","&lt;BR&gt;", $C$129, " = ",AL129,"&lt;BR&gt;", $C$131, " = ",AL131,"&lt;BR&gt;", $C$133, " = ",AL133,"&lt;BR&gt;", $C$135, " = ",AL135,"&lt;BR&gt;", $C$137, " = ",AL137,"&lt;BR&gt;","&lt;BR&gt;","&lt;BR&gt;","&lt;B&gt;",$B$152,"&lt;/B&gt;","&lt;BR&gt;", $C$154, " = ",AL154,"&lt;BR&gt;", $C$156, " = ",AL156,"&lt;BR&gt;", $C158, " = ",AL158,"&lt;BR&gt;", $C$160, " = ",AL160)</f>
        <v>&lt;BR&gt;&lt;BR&gt;&lt;B&gt;Customer  circumstances&lt;/B&gt;&lt;BR&gt;Residential Qualification = AU citizen&lt;BR&gt;Direct Credit details   =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AM162" s="160" t="str">
        <f t="shared" ref="AM162:CD162" si="25" xml:space="preserve"> CONCATENATE("&lt;BR&gt;","&lt;BR&gt;","&lt;B&gt;",$B$127,"&lt;/B&gt;","&lt;BR&gt;", $C$129, " = ",AM129,"&lt;BR&gt;", $C$131, " = ",AM131,"&lt;BR&gt;", $C$133, " = ",AM133,"&lt;BR&gt;", $C$135, " = ",AM135,"&lt;BR&gt;", $C$137, " = ",AM137,"&lt;BR&gt;","&lt;BR&gt;","&lt;BR&gt;","&lt;B&gt;",$B$152,"&lt;/B&gt;","&lt;BR&gt;", $C$154, " = ",AM154,"&lt;BR&gt;", $C$156, " = ",AM156,"&lt;BR&gt;", $C158, " = ",AM158,"&lt;BR&gt;", $C$160, " = ",AM160)</f>
        <v>&lt;BR&gt;&lt;BR&gt;&lt;B&gt;Customer  circumstances&lt;/B&gt;&lt;BR&gt;Residential Qualification = AU citizen&lt;BR&gt;Direct Credit details   = Coded Exemption - FNG&lt;BR&gt;TFN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AN162" s="160" t="str">
        <f t="shared" si="25"/>
        <v>&lt;BR&gt;&lt;BR&gt;&lt;B&gt;Customer  circumstances&lt;/B&gt;&lt;BR&gt;Residential Qualification = AU citizen&lt;BR&gt;Direct Credit details   = Not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AO162" s="160" t="str">
        <f t="shared" si="25"/>
        <v>&lt;BR&gt;&lt;BR&gt;&lt;B&gt;Customer  circumstances&lt;/B&gt;&lt;BR&gt;Residential Qualification = AU citizen&lt;BR&gt;Direct Credit details   = Coded&lt;BR&gt;TFN details = Not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AP162" s="160" t="str">
        <f t="shared" si="25"/>
        <v>&lt;BR&gt;&lt;BR&gt;&lt;B&gt;Customer  circumstances&lt;/B&gt;&lt;BR&gt;Residential Qualification = AU citizen&lt;BR&gt;Direct Credit details   = Coded&lt;BR&gt;TFN details = Coded&lt;BR&gt;Secondary Earner income = More than $ 27,613&lt;BR&gt;Home ownership code = Home owner - HOM&lt;BR&gt;&lt;BR&gt;&lt;BR&gt;&lt;B&gt;Child  circumstances&lt;/B&gt;&lt;BR&gt;Number of Child(ren) = 1&lt;BR&gt;Age of Child = &lt;= 5yr&lt;BR&gt;Principal Care Type = Step Parent&lt;BR&gt;Care Percentage = 100% of Customer's care</v>
      </c>
      <c r="AQ162" s="160" t="str">
        <f t="shared" si="25"/>
        <v>&lt;BR&gt;&lt;BR&gt;&lt;B&gt;Customer  circumstances&lt;/B&gt;&lt;BR&gt;Residential Qualification = AU citizen&lt;BR&gt;Direct Credit details   =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AR162" s="160" t="str">
        <f t="shared" si="25"/>
        <v>&lt;BR&gt;&lt;BR&gt;&lt;B&gt;Customer  circumstances&lt;/B&gt;&lt;BR&gt;Residential Qualification = AU citizen&lt;BR&gt;Direct Credit details   =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AS162" s="160" t="str">
        <f t="shared" si="25"/>
        <v>&lt;BR&gt;&lt;BR&gt;&lt;B&gt;Customer  circumstances&lt;/B&gt;&lt;BR&gt;Residential Qualification = AU citizen&lt;BR&gt;Direct Credit details   =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v>
      </c>
      <c r="AT162" s="160" t="str">
        <f t="shared" si="25"/>
        <v>&lt;BR&gt;&lt;BR&gt;&lt;B&gt;Customer  circumstances&lt;/B&gt;&lt;BR&gt;Residential Qualification = AU citizen&lt;BR&gt;Direct Credit details   =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AU162" s="160" t="str">
        <f t="shared" si="25"/>
        <v>&lt;BR&gt;&lt;BR&gt;&lt;B&gt;Customer  circumstances&lt;/B&gt;&lt;BR&gt;Residential Qualification = Permanent Resident Visa Class&lt;BR&gt;Direct Credit details   = Coded Exemption - FNG&lt;BR&gt;TFN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AV162" s="160" t="str">
        <f t="shared" si="25"/>
        <v>&lt;BR&gt;&lt;BR&gt;&lt;B&gt;Customer  circumstances&lt;/B&gt;&lt;BR&gt;Residential Qualification = Permanent Resident Visa Class&lt;BR&gt;Direct Credit details   = Not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AW162" s="160" t="str">
        <f t="shared" si="25"/>
        <v>&lt;BR&gt;&lt;BR&gt;&lt;B&gt;Customer  circumstances&lt;/B&gt;&lt;BR&gt;Residential Qualification = Permanent Resident Visa Class&lt;BR&gt;Direct Credit details   = Coded&lt;BR&gt;TFN details = Not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AX162" s="160" t="str">
        <f t="shared" si="25"/>
        <v>&lt;BR&gt;&lt;BR&gt;&lt;B&gt;Customer  circumstances&lt;/B&gt;&lt;BR&gt;Residential Qualification = Permanent Resident Visa Class&lt;BR&gt;Direct Credit details   = Coded&lt;BR&gt;TFN details = Coded&lt;BR&gt;Secondary Earner income = More than $ 27,613&lt;BR&gt;Home ownership code = Home owner - HOM&lt;BR&gt;&lt;BR&gt;&lt;BR&gt;&lt;B&gt;Child  circumstances&lt;/B&gt;&lt;BR&gt;Number of Child(ren) = 1&lt;BR&gt;Age of Child = &lt;= 5yr&lt;BR&gt;Principal Care Type = Adoptive Parent &lt;BR&gt;Care Percentage = 100% of Customer's care</v>
      </c>
      <c r="AY162" s="160" t="str">
        <f t="shared" si="25"/>
        <v>&lt;BR&gt;&lt;BR&gt;&lt;B&gt;Customer  circumstances&lt;/B&gt;&lt;BR&gt;Residential Qualification = Permanent Resident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AZ162" s="160" t="str">
        <f t="shared" si="25"/>
        <v>&lt;BR&gt;&lt;BR&gt;&lt;B&gt;Customer  circumstances&lt;/B&gt;&lt;BR&gt;Residential Qualification = Permanent Resident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BA162" s="160" t="str">
        <f t="shared" si="25"/>
        <v>&lt;BR&gt;&lt;BR&gt;&lt;B&gt;Customer  circumstances&lt;/B&gt;&lt;BR&gt;Residential Qualification = Permanent Resident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BB162" s="160" t="str">
        <f t="shared" si="25"/>
        <v>&lt;BR&gt;&lt;BR&gt;&lt;B&gt;Customer  circumstances&lt;/B&gt;&lt;BR&gt;Residential Qualification = Permanent Resident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v>
      </c>
      <c r="BC162" s="160" t="str">
        <f t="shared" si="25"/>
        <v>&lt;BR&gt;&lt;BR&gt;&lt;B&gt;Customer  circumstances&lt;/B&gt;&lt;BR&gt;Residential Qualification = Permanent Resident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BD162" s="160" t="str">
        <f t="shared" si="25"/>
        <v>&lt;BR&gt;&lt;BR&gt;&lt;B&gt;Customer  circumstances&lt;/B&gt;&lt;BR&gt;Residential Qualification = Spouse/Partner Visa Class&lt;BR&gt;Direct Credit details   = Coded Exemption - FNG&lt;BR&gt;TFN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BE162" s="160" t="str">
        <f t="shared" si="25"/>
        <v>&lt;BR&gt;&lt;BR&gt;&lt;B&gt;Customer  circumstances&lt;/B&gt;&lt;BR&gt;Residential Qualification = Spouse/Partner Visa Class&lt;BR&gt;Direct Credit details   = Not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BF162" s="160" t="str">
        <f t="shared" si="25"/>
        <v>&lt;BR&gt;&lt;BR&gt;&lt;B&gt;Customer  circumstances&lt;/B&gt;&lt;BR&gt;Residential Qualification = Spouse/Partner Visa Class&lt;BR&gt;Direct Credit details   = Coded&lt;BR&gt;TFN details = Not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BG162" s="160" t="str">
        <f t="shared" si="25"/>
        <v>&lt;BR&gt;&lt;BR&gt;&lt;B&gt;Customer  circumstances&lt;/B&gt;&lt;BR&gt;Residential Qualification = Spouse/Partner Visa Class&lt;BR&gt;Direct Credit details   = Coded&lt;BR&gt;TFN details = Coded&lt;BR&gt;Secondary Earner income = More than $ 27,613&lt;BR&gt;Home ownership code = Home owner - HOM&lt;BR&gt;&lt;BR&gt;&lt;BR&gt;&lt;B&gt;Child  circumstances&lt;/B&gt;&lt;BR&gt;Number of Child(ren) = 1&lt;BR&gt;Age of Child = &lt;= 5yr&lt;BR&gt;Principal Care Type = Foster carer&lt;BR&gt;Care Percentage = 100% of Customer's care</v>
      </c>
      <c r="BH162" s="160" t="str">
        <f t="shared" si="25"/>
        <v>&lt;BR&gt;&lt;BR&gt;&lt;B&gt;Customer  circumstances&lt;/B&gt;&lt;BR&gt;Residential Qualification = Spouse/Partner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BI162" s="160" t="str">
        <f t="shared" si="25"/>
        <v>&lt;BR&gt;&lt;BR&gt;&lt;B&gt;Customer  circumstances&lt;/B&gt;&lt;BR&gt;Residential Qualification = Spouse/Partner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BJ162" s="160" t="str">
        <f t="shared" si="25"/>
        <v>&lt;BR&gt;&lt;BR&gt;&lt;B&gt;Customer  circumstances&lt;/B&gt;&lt;BR&gt;Residential Qualification = Spouse/Partner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BK162" s="160" t="str">
        <f t="shared" si="25"/>
        <v>&lt;BR&gt;&lt;BR&gt;&lt;B&gt;Customer  circumstances&lt;/B&gt;&lt;BR&gt;Residential Qualification = Spouse/Partner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v>
      </c>
      <c r="BL162" s="160" t="str">
        <f t="shared" si="25"/>
        <v>&lt;BR&gt;&lt;BR&gt;&lt;B&gt;Customer  circumstances&lt;/B&gt;&lt;BR&gt;Residential Qualification = Spouse/Partner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BM162" s="160" t="str">
        <f t="shared" si="25"/>
        <v>&lt;BR&gt;&lt;BR&gt;&lt;B&gt;Customer  circumstances&lt;/B&gt;&lt;BR&gt;Residential Qualification = Temporary Visa Class&lt;BR&gt;Direct Credit details   = Coded Exemption - FNG&lt;BR&gt;TFN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v>
      </c>
      <c r="BN162" s="160" t="str">
        <f t="shared" si="25"/>
        <v>&lt;BR&gt;&lt;BR&gt;&lt;B&gt;Customer  circumstances&lt;/B&gt;&lt;BR&gt;Residential Qualification = Temporary Visa Class&lt;BR&gt;Direct Credit details   = Not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v>
      </c>
      <c r="BO162" s="160" t="str">
        <f t="shared" si="25"/>
        <v>&lt;BR&gt;&lt;BR&gt;&lt;B&gt;Customer  circumstances&lt;/B&gt;&lt;BR&gt;Residential Qualification = Temporary Visa Class&lt;BR&gt;Direct Credit details   = Coded&lt;BR&gt;TFN details = Not Coded&lt;BR&gt;Secondary Earner income = Less than $21,499&lt;BR&gt;Home ownership code = Home owner - HOM&lt;BR&gt;&lt;BR&gt;&lt;BR&gt;&lt;B&gt;Child  circumstances&lt;/B&gt;&lt;BR&gt;Number of Child(ren) = 1&lt;BR&gt;Age of Child = &lt;= 5yr&lt;BR&gt;Principal Care Type = Other&lt;BR&gt;Care Percentage = 100% of Customer's care</v>
      </c>
      <c r="BP162" s="160" t="str">
        <f t="shared" si="25"/>
        <v>&lt;BR&gt;&lt;BR&gt;&lt;B&gt;Customer  circumstances&lt;/B&gt;&lt;BR&gt;Residential Qualification = Temporary Visa Class&lt;BR&gt;Direct Credit details   = Coded&lt;BR&gt;TFN details = Coded&lt;BR&gt;Secondary Earner income = More than $ 27,613&lt;BR&gt;Home ownership code = Home owner - HOM&lt;BR&gt;&lt;BR&gt;&lt;BR&gt;&lt;B&gt;Child  circumstances&lt;/B&gt;&lt;BR&gt;Number of Child(ren) = 1&lt;BR&gt;Age of Child = &lt;= 5yr&lt;BR&gt;Principal Care Type = Other&lt;BR&gt;Care Percentage = 100% of Customer's care</v>
      </c>
      <c r="BQ162" s="160" t="str">
        <f t="shared" si="25"/>
        <v>&lt;BR&gt;&lt;BR&gt;&lt;B&gt;Customer  circumstances&lt;/B&gt;&lt;BR&gt;Residential Qualification = Temporary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BR162" s="160" t="str">
        <f t="shared" si="25"/>
        <v>&lt;BR&gt;&lt;BR&gt;&lt;B&gt;Customer  circumstances&lt;/B&gt;&lt;BR&gt;Residential Qualification = Temporary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BS162" s="160" t="str">
        <f t="shared" si="25"/>
        <v>&lt;BR&gt;&lt;BR&gt;&lt;B&gt;Customer  circumstances&lt;/B&gt;&lt;BR&gt;Residential Qualification = Temporary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BT162" s="160" t="str">
        <f t="shared" si="25"/>
        <v>&lt;BR&gt;&lt;BR&gt;&lt;B&gt;Customer  circumstances&lt;/B&gt;&lt;BR&gt;Residential Qualification = Temporary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v>
      </c>
      <c r="BU162" s="160" t="str">
        <f t="shared" si="25"/>
        <v>&lt;BR&gt;&lt;BR&gt;&lt;B&gt;Customer  circumstances&lt;/B&gt;&lt;BR&gt;Residential Qualification = Temporary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BV162" s="160" t="str">
        <f t="shared" si="25"/>
        <v>&lt;BR&gt;&lt;BR&gt;&lt;B&gt;Customer  circumstances&lt;/B&gt;&lt;BR&gt;Residential Qualification = Special Category Visa Class&lt;BR&gt;Direct Credit details   = Coded Exemption - FNG&lt;BR&gt;TFN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BW162" s="160" t="str">
        <f t="shared" si="25"/>
        <v>&lt;BR&gt;&lt;BR&gt;&lt;B&gt;Customer  circumstances&lt;/B&gt;&lt;BR&gt;Residential Qualification = Special Category Visa Class&lt;BR&gt;Direct Credit details   = Not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BX162" s="160" t="str">
        <f t="shared" si="25"/>
        <v>&lt;BR&gt;&lt;BR&gt;&lt;B&gt;Customer  circumstances&lt;/B&gt;&lt;BR&gt;Residential Qualification = Special Category Visa Class&lt;BR&gt;Direct Credit details   = Coded&lt;BR&gt;TFN details = Not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BY162" s="160" t="str">
        <f t="shared" si="25"/>
        <v>&lt;BR&gt;&lt;BR&gt;&lt;B&gt;Customer  circumstances&lt;/B&gt;&lt;BR&gt;Residential Qualification = Special Category Visa Class&lt;BR&gt;Direct Credit details   = Coded&lt;BR&gt;TFN details = Coded&lt;BR&gt;Secondary Earner income = More than $ 27,613&lt;BR&gt;Home ownership code = Home owner - HOM&lt;BR&gt;&lt;BR&gt;&lt;BR&gt;&lt;B&gt;Child  circumstances&lt;/B&gt;&lt;BR&gt;Number of Child(ren) = 1&lt;BR&gt;Age of Child = &lt;= 5yr&lt;BR&gt;Principal Care Type = GrandParent&lt;BR&gt;Care Percentage = 100% of Customer's care</v>
      </c>
      <c r="BZ162" s="160" t="str">
        <f t="shared" si="25"/>
        <v>&lt;BR&gt;&lt;BR&gt;&lt;B&gt;Customer  circumstances&lt;/B&gt;&lt;BR&gt;Residential Qualification = Special Category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CA162" s="160" t="str">
        <f t="shared" si="25"/>
        <v>&lt;BR&gt;&lt;BR&gt;&lt;B&gt;Customer  circumstances&lt;/B&gt;&lt;BR&gt;Residential Qualification = Special Category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CB162" s="160" t="str">
        <f t="shared" si="25"/>
        <v>&lt;BR&gt;&lt;BR&gt;&lt;B&gt;Customer  circumstances&lt;/B&gt;&lt;BR&gt;Residential Qualification = Special Category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CC162" s="160" t="str">
        <f t="shared" si="25"/>
        <v>&lt;BR&gt;&lt;BR&gt;&lt;B&gt;Customer  circumstances&lt;/B&gt;&lt;BR&gt;Residential Qualification = Special Category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v>
      </c>
      <c r="CD162" s="160" t="str">
        <f t="shared" si="25"/>
        <v>&lt;BR&gt;&lt;BR&gt;&lt;B&gt;Customer  circumstances&lt;/B&gt;&lt;BR&gt;Residential Qualification = Special Category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CE162" s="160"/>
      <c r="CF162" s="160"/>
      <c r="CG162" s="160"/>
      <c r="CH162" s="160"/>
      <c r="CI162" s="160"/>
      <c r="CJ162" s="160"/>
      <c r="CK162" s="160"/>
      <c r="CL162" s="160"/>
      <c r="CM162" s="160"/>
      <c r="CN162" s="160"/>
      <c r="CO162" s="160"/>
      <c r="CP162" s="160"/>
      <c r="CQ162" s="160"/>
      <c r="CR162" s="160"/>
      <c r="CS162" s="160"/>
      <c r="CT162" s="160"/>
      <c r="CU162" s="160"/>
      <c r="CV162" s="160"/>
      <c r="CW162" s="160"/>
      <c r="CX162" s="160"/>
      <c r="CY162" s="160"/>
      <c r="CZ162" s="160"/>
      <c r="DA162" s="160"/>
      <c r="DB162" s="160"/>
      <c r="DC162" s="160"/>
      <c r="DD162" s="160"/>
      <c r="DE162" s="160"/>
      <c r="DF162" s="160"/>
      <c r="DG162" s="160"/>
      <c r="DH162" s="160"/>
      <c r="DI162" s="160"/>
      <c r="DJ162" s="160"/>
      <c r="DK162" s="160"/>
      <c r="DL162" s="160"/>
      <c r="DM162" s="160"/>
      <c r="DN162" s="160"/>
      <c r="DO162" s="160"/>
      <c r="DP162" s="160"/>
      <c r="DQ162" s="160"/>
      <c r="DR162" s="160"/>
      <c r="DS162" s="160"/>
      <c r="DT162" s="160"/>
      <c r="DU162" s="160"/>
      <c r="DV162" s="160"/>
      <c r="DW162" s="160"/>
      <c r="DX162" s="160"/>
      <c r="DY162" s="160"/>
      <c r="DZ162" s="160"/>
      <c r="EA162" s="160"/>
      <c r="EB162" s="160"/>
      <c r="EC162" s="160"/>
      <c r="ED162" s="160"/>
      <c r="EE162" s="160"/>
      <c r="EF162" s="160"/>
      <c r="EG162" s="160"/>
      <c r="EH162" s="160"/>
      <c r="EI162" s="160"/>
      <c r="EJ162" s="160"/>
      <c r="EK162" s="160"/>
      <c r="EL162" s="160"/>
      <c r="EM162" s="160"/>
      <c r="EN162" s="160"/>
      <c r="EO162" s="160"/>
      <c r="EP162" s="160"/>
      <c r="EQ162" s="160"/>
      <c r="ER162" s="160"/>
      <c r="ES162" s="160"/>
      <c r="ET162" s="160"/>
      <c r="EU162" s="160"/>
      <c r="EV162" s="160"/>
      <c r="EW162" s="160"/>
      <c r="EX162" s="160"/>
      <c r="EY162" s="160"/>
      <c r="EZ162" s="160"/>
      <c r="FA162" s="160"/>
      <c r="FB162" s="160"/>
      <c r="FC162" s="160"/>
      <c r="FD162" s="160"/>
      <c r="FE162" s="160"/>
      <c r="FF162" s="160"/>
      <c r="FG162" s="160"/>
      <c r="FH162" s="160"/>
      <c r="FI162" s="160"/>
      <c r="FJ162" s="160"/>
      <c r="FK162" s="160"/>
      <c r="FL162" s="160"/>
      <c r="FM162" s="160"/>
      <c r="FN162" s="160"/>
      <c r="FO162" s="160"/>
      <c r="FP162" s="160"/>
      <c r="FQ162" s="160"/>
      <c r="FR162" s="160"/>
      <c r="FS162" s="160"/>
      <c r="FT162" s="160"/>
      <c r="FU162" s="160"/>
      <c r="FV162" s="160"/>
      <c r="FW162" s="160"/>
      <c r="FX162" s="160"/>
      <c r="FY162" s="160"/>
      <c r="FZ162" s="160"/>
      <c r="GA162" s="160"/>
      <c r="GB162" s="160"/>
      <c r="GC162" s="160"/>
      <c r="GD162" s="160"/>
      <c r="GE162" s="160"/>
      <c r="GF162" s="160"/>
      <c r="GG162" s="160"/>
      <c r="GH162" s="160"/>
      <c r="GI162" s="160"/>
      <c r="GJ162" s="160"/>
      <c r="GK162" s="160"/>
      <c r="GL162" s="160"/>
      <c r="GM162" s="160"/>
      <c r="GN162" s="160"/>
      <c r="GO162" s="160"/>
      <c r="GP162" s="160"/>
      <c r="GQ162" s="160"/>
      <c r="GR162" s="160"/>
      <c r="GS162" s="160"/>
      <c r="GT162" s="160"/>
      <c r="GU162" s="160"/>
      <c r="GV162" s="160"/>
      <c r="GW162" s="160"/>
      <c r="GX162" s="160"/>
      <c r="GY162" s="160"/>
      <c r="GZ162" s="160"/>
      <c r="HA162" s="160"/>
      <c r="HB162" s="160"/>
      <c r="HC162" s="160"/>
      <c r="HD162" s="160"/>
      <c r="HE162" s="160"/>
      <c r="HF162" s="160"/>
      <c r="HG162" s="160"/>
      <c r="HH162" s="160"/>
      <c r="HI162" s="160"/>
      <c r="HJ162" s="160"/>
      <c r="HK162" s="160"/>
      <c r="HL162" s="160"/>
      <c r="HM162" s="160"/>
      <c r="HN162" s="160"/>
      <c r="HO162" s="160"/>
      <c r="HP162" s="160"/>
      <c r="HQ162" s="160"/>
      <c r="HR162" s="160"/>
      <c r="HS162" s="160"/>
      <c r="HT162" s="160"/>
      <c r="HU162" s="160"/>
      <c r="HV162" s="160"/>
      <c r="HW162" s="160"/>
      <c r="HX162" s="160"/>
      <c r="HY162" s="160"/>
      <c r="HZ162" s="160"/>
      <c r="IA162" s="160"/>
      <c r="IB162" s="160"/>
      <c r="IC162" s="160"/>
      <c r="ID162" s="160"/>
      <c r="IE162" s="160"/>
      <c r="IF162" s="160"/>
      <c r="IG162" s="160"/>
      <c r="IH162" s="160"/>
      <c r="II162" s="160"/>
      <c r="IJ162" s="160"/>
      <c r="IK162" s="160"/>
      <c r="IL162" s="160"/>
      <c r="IM162" s="160"/>
      <c r="IN162" s="160"/>
      <c r="IO162" s="160"/>
    </row>
    <row r="163" spans="2:249">
      <c r="B163" s="90"/>
      <c r="C163" s="118"/>
      <c r="D163" s="119"/>
      <c r="E163" s="119"/>
      <c r="F163" s="119"/>
      <c r="G163" s="119"/>
      <c r="H163" s="119"/>
      <c r="I163" s="119"/>
      <c r="J163" s="119"/>
      <c r="K163" s="119"/>
      <c r="L163" s="119"/>
      <c r="M163" s="119"/>
      <c r="N163" s="119"/>
      <c r="O163" s="119"/>
      <c r="P163" s="119"/>
      <c r="Q163" s="119"/>
      <c r="R163" s="119"/>
      <c r="S163" s="119"/>
      <c r="T163" s="119"/>
      <c r="U163" s="119"/>
      <c r="V163" s="119"/>
      <c r="W163" s="119"/>
      <c r="X163" s="119"/>
      <c r="Y163" s="119"/>
      <c r="Z163" s="119"/>
      <c r="AA163" s="119"/>
      <c r="AB163" s="119"/>
      <c r="AC163" s="119"/>
      <c r="AD163" s="119"/>
      <c r="AE163" s="119"/>
      <c r="AF163" s="119"/>
      <c r="AG163" s="119"/>
      <c r="AH163" s="119"/>
      <c r="AI163" s="119"/>
      <c r="AJ163" s="119"/>
      <c r="AK163" s="119"/>
      <c r="AL163" s="119"/>
      <c r="AM163" s="119"/>
      <c r="AN163" s="119"/>
      <c r="AO163" s="119"/>
      <c r="AP163" s="119"/>
      <c r="AQ163" s="119"/>
      <c r="AR163" s="119"/>
      <c r="AS163" s="119"/>
      <c r="AT163" s="119"/>
      <c r="AU163" s="119"/>
      <c r="AV163" s="119"/>
      <c r="AW163" s="119"/>
      <c r="AX163" s="119"/>
      <c r="AY163" s="119"/>
      <c r="AZ163" s="119"/>
      <c r="BA163" s="119"/>
      <c r="BB163" s="119"/>
      <c r="BC163" s="119"/>
      <c r="BD163" s="119"/>
      <c r="BE163" s="119"/>
      <c r="BF163" s="119"/>
      <c r="BG163" s="119"/>
      <c r="BH163" s="119"/>
      <c r="BI163" s="119"/>
      <c r="BJ163" s="119"/>
      <c r="BK163" s="119"/>
      <c r="BL163" s="119"/>
      <c r="BM163" s="119"/>
      <c r="BN163" s="119"/>
      <c r="BO163" s="119"/>
      <c r="BP163" s="119"/>
      <c r="BQ163" s="119"/>
      <c r="BR163" s="119"/>
      <c r="BS163" s="119"/>
      <c r="BT163" s="119"/>
      <c r="BU163" s="119"/>
      <c r="BV163" s="119"/>
      <c r="BW163" s="119"/>
      <c r="BX163" s="119"/>
      <c r="BY163" s="119"/>
      <c r="BZ163" s="119"/>
      <c r="CA163" s="119"/>
      <c r="CB163" s="119"/>
      <c r="CC163" s="119"/>
      <c r="CD163" s="119"/>
      <c r="CE163" s="119"/>
      <c r="CF163" s="119"/>
      <c r="CG163" s="119"/>
      <c r="CH163" s="119"/>
      <c r="CI163" s="119"/>
      <c r="CJ163" s="119"/>
      <c r="CK163" s="119"/>
      <c r="CL163" s="119"/>
      <c r="CM163" s="119"/>
      <c r="CN163" s="119"/>
      <c r="CO163" s="119"/>
      <c r="CP163" s="119"/>
      <c r="CQ163" s="119"/>
      <c r="CR163" s="119"/>
      <c r="CS163" s="119"/>
      <c r="CT163" s="119"/>
      <c r="CU163" s="119"/>
      <c r="CV163" s="119"/>
      <c r="CW163" s="119"/>
      <c r="CX163" s="119"/>
      <c r="CY163" s="119"/>
      <c r="CZ163" s="119"/>
      <c r="DA163" s="119"/>
      <c r="DB163" s="119"/>
      <c r="DC163" s="119"/>
      <c r="DD163" s="119"/>
      <c r="DE163" s="119"/>
      <c r="DF163" s="119"/>
      <c r="DG163" s="119"/>
      <c r="DH163" s="119"/>
      <c r="DI163" s="119"/>
      <c r="DJ163" s="119"/>
      <c r="DK163" s="119"/>
      <c r="DL163" s="119"/>
      <c r="DM163" s="119"/>
      <c r="DN163" s="119"/>
      <c r="DO163" s="119"/>
      <c r="DP163" s="119"/>
      <c r="DQ163" s="119"/>
      <c r="DR163" s="119"/>
      <c r="DS163" s="119"/>
      <c r="DT163" s="119"/>
      <c r="DU163" s="119"/>
      <c r="DV163" s="119"/>
      <c r="DW163" s="119"/>
      <c r="DX163" s="119"/>
      <c r="DY163" s="119"/>
      <c r="DZ163" s="119"/>
      <c r="EA163" s="119"/>
      <c r="EB163" s="119"/>
      <c r="EC163" s="119"/>
      <c r="ED163" s="119"/>
      <c r="EE163" s="119"/>
      <c r="EF163" s="119"/>
      <c r="EG163" s="119"/>
      <c r="EH163" s="119"/>
      <c r="EI163" s="119"/>
      <c r="EJ163" s="119"/>
      <c r="EK163" s="119"/>
      <c r="EL163" s="119"/>
      <c r="EM163" s="119"/>
      <c r="EN163" s="119"/>
      <c r="EO163" s="119"/>
      <c r="EP163" s="119"/>
      <c r="EQ163" s="119"/>
      <c r="ER163" s="119"/>
      <c r="ES163" s="119"/>
      <c r="ET163" s="119"/>
      <c r="EU163" s="119"/>
      <c r="EV163" s="119"/>
      <c r="EW163" s="119"/>
      <c r="EX163" s="119"/>
      <c r="EY163" s="119"/>
      <c r="EZ163" s="119"/>
      <c r="FA163" s="119"/>
      <c r="FB163" s="119"/>
      <c r="FC163" s="119"/>
      <c r="FD163" s="119"/>
      <c r="FE163" s="119"/>
      <c r="FF163" s="119"/>
      <c r="FG163" s="119"/>
      <c r="FH163" s="119"/>
      <c r="FI163" s="119"/>
      <c r="FJ163" s="119"/>
      <c r="FK163" s="119"/>
      <c r="FL163" s="119"/>
      <c r="FM163" s="119"/>
      <c r="FN163" s="119"/>
      <c r="FO163" s="119"/>
      <c r="FP163" s="119"/>
      <c r="FQ163" s="119"/>
      <c r="FR163" s="119"/>
      <c r="FS163" s="119"/>
      <c r="FT163" s="119"/>
      <c r="FU163" s="119"/>
      <c r="FV163" s="119"/>
      <c r="FW163" s="119"/>
      <c r="FX163" s="119"/>
      <c r="FY163" s="119"/>
      <c r="FZ163" s="119"/>
      <c r="GA163" s="119"/>
      <c r="GB163" s="119"/>
      <c r="GC163" s="119"/>
      <c r="GD163" s="119"/>
      <c r="GE163" s="119"/>
      <c r="GF163" s="119"/>
      <c r="GG163" s="119"/>
      <c r="GH163" s="119"/>
      <c r="GI163" s="119"/>
      <c r="GJ163" s="119"/>
      <c r="GK163" s="119"/>
      <c r="GL163" s="119"/>
      <c r="GM163" s="119"/>
      <c r="GN163" s="119"/>
      <c r="GO163" s="119"/>
      <c r="GP163" s="119"/>
      <c r="GQ163" s="119"/>
      <c r="GR163" s="119"/>
      <c r="GS163" s="119"/>
      <c r="GT163" s="119"/>
      <c r="GU163" s="119"/>
      <c r="GV163" s="119"/>
      <c r="GW163" s="119"/>
      <c r="GX163" s="119"/>
      <c r="GY163" s="119"/>
      <c r="GZ163" s="119"/>
      <c r="HA163" s="119"/>
      <c r="HB163" s="119"/>
      <c r="HC163" s="119"/>
      <c r="HD163" s="119"/>
      <c r="HE163" s="119"/>
      <c r="HF163" s="119"/>
      <c r="HG163" s="119"/>
      <c r="HH163" s="119"/>
      <c r="HI163" s="119"/>
      <c r="HJ163" s="119"/>
      <c r="HK163" s="119"/>
      <c r="HL163" s="119"/>
      <c r="HM163" s="119"/>
      <c r="HN163" s="119"/>
      <c r="HO163" s="119"/>
      <c r="HP163" s="119"/>
      <c r="HQ163" s="119"/>
      <c r="HR163" s="119"/>
      <c r="HS163" s="119"/>
      <c r="HT163" s="119"/>
      <c r="HU163" s="119"/>
      <c r="HV163" s="119"/>
      <c r="HW163" s="119"/>
      <c r="HX163" s="119"/>
      <c r="HY163" s="119"/>
      <c r="HZ163" s="119"/>
      <c r="IA163" s="119"/>
      <c r="IB163" s="119"/>
      <c r="IC163" s="119"/>
      <c r="ID163" s="119"/>
      <c r="IE163" s="119"/>
      <c r="IF163" s="119"/>
      <c r="IG163" s="119"/>
      <c r="IH163" s="119"/>
      <c r="II163" s="119"/>
      <c r="IJ163" s="119"/>
      <c r="IK163" s="119"/>
      <c r="IL163" s="119"/>
      <c r="IM163" s="119"/>
      <c r="IN163" s="119"/>
      <c r="IO163" s="119"/>
    </row>
    <row r="165" spans="2:249" ht="25.5">
      <c r="B165" s="139" t="s">
        <v>460</v>
      </c>
      <c r="C165" s="139" t="s">
        <v>466</v>
      </c>
      <c r="D165" s="122"/>
      <c r="E165" s="122"/>
      <c r="F165" s="122"/>
      <c r="G165" s="122"/>
      <c r="H165" s="122"/>
      <c r="I165" s="122"/>
      <c r="J165" s="122"/>
      <c r="K165" s="122"/>
      <c r="L165" s="122"/>
      <c r="M165" s="122"/>
      <c r="N165" s="122"/>
      <c r="O165" s="122"/>
      <c r="P165" s="122"/>
      <c r="Q165" s="122"/>
      <c r="R165" s="122"/>
      <c r="S165" s="122"/>
      <c r="T165" s="122"/>
      <c r="U165" s="122"/>
      <c r="V165" s="122"/>
      <c r="W165" s="122"/>
      <c r="X165" s="122"/>
      <c r="Y165" s="122"/>
      <c r="Z165" s="122"/>
      <c r="AA165" s="122"/>
      <c r="AB165" s="122"/>
      <c r="AC165" s="122"/>
      <c r="AD165" s="122"/>
      <c r="AE165" s="122"/>
      <c r="AF165" s="122"/>
      <c r="AG165" s="122"/>
      <c r="AH165" s="122"/>
      <c r="AI165" s="122"/>
      <c r="AJ165" s="122"/>
      <c r="AK165" s="122"/>
      <c r="AL165" s="122"/>
      <c r="AM165" s="122"/>
      <c r="AN165" s="122"/>
      <c r="AO165" s="122"/>
      <c r="AP165" s="122"/>
      <c r="AQ165" s="122"/>
      <c r="AR165" s="122"/>
      <c r="AS165" s="122"/>
      <c r="AT165" s="122"/>
      <c r="AU165" s="122"/>
      <c r="AV165" s="122"/>
      <c r="AW165" s="122"/>
      <c r="AX165" s="122"/>
      <c r="AY165" s="122"/>
      <c r="AZ165" s="122"/>
      <c r="BA165" s="122"/>
      <c r="BB165" s="122"/>
      <c r="BC165" s="122"/>
      <c r="BD165" s="122"/>
      <c r="BE165" s="122"/>
      <c r="BF165" s="122"/>
      <c r="BG165" s="122"/>
      <c r="BH165" s="122"/>
      <c r="BI165" s="122"/>
      <c r="BJ165" s="122"/>
      <c r="BK165" s="122"/>
      <c r="BL165" s="122"/>
      <c r="BM165" s="122"/>
      <c r="BN165" s="122"/>
      <c r="BO165" s="122"/>
      <c r="BP165" s="122"/>
      <c r="BQ165" s="122"/>
      <c r="BR165" s="122"/>
      <c r="BS165" s="122"/>
      <c r="BT165" s="122"/>
      <c r="BU165" s="122"/>
      <c r="BV165" s="122"/>
      <c r="BW165" s="122"/>
      <c r="BX165" s="122"/>
      <c r="BY165" s="122"/>
      <c r="BZ165" s="122"/>
      <c r="CA165" s="122"/>
      <c r="CB165" s="122"/>
      <c r="CC165" s="122"/>
      <c r="CD165" s="122"/>
      <c r="CE165" s="122"/>
      <c r="CF165" s="122"/>
      <c r="CG165" s="122"/>
      <c r="CH165" s="122"/>
      <c r="CI165" s="122"/>
      <c r="CJ165" s="122"/>
      <c r="CK165" s="122"/>
      <c r="CL165" s="122"/>
      <c r="CM165" s="122"/>
      <c r="CN165" s="122"/>
      <c r="CO165" s="122"/>
      <c r="CP165" s="122"/>
      <c r="CQ165" s="122"/>
      <c r="CR165" s="122"/>
      <c r="CS165" s="122"/>
      <c r="CT165" s="122"/>
      <c r="CU165" s="122"/>
      <c r="CV165" s="122"/>
      <c r="CW165" s="122"/>
      <c r="CX165" s="122"/>
      <c r="CY165" s="122"/>
      <c r="CZ165" s="122"/>
      <c r="DA165" s="122"/>
      <c r="DB165" s="122"/>
      <c r="DC165" s="122"/>
      <c r="DD165" s="122"/>
      <c r="DE165" s="122"/>
      <c r="DF165" s="122"/>
      <c r="DG165" s="122"/>
      <c r="DH165" s="122"/>
      <c r="DI165" s="122"/>
      <c r="DJ165" s="122"/>
      <c r="DK165" s="122"/>
      <c r="DL165" s="122"/>
      <c r="DM165" s="122"/>
      <c r="DN165" s="122"/>
      <c r="DO165" s="122"/>
      <c r="DP165" s="122"/>
      <c r="DQ165" s="122"/>
      <c r="DR165" s="122"/>
      <c r="DS165" s="122"/>
      <c r="DT165" s="122"/>
      <c r="DU165" s="122"/>
      <c r="DV165" s="122"/>
      <c r="DW165" s="122"/>
      <c r="DX165" s="122"/>
      <c r="DY165" s="122"/>
      <c r="DZ165" s="122"/>
      <c r="EA165" s="122"/>
      <c r="EB165" s="122"/>
      <c r="EC165" s="122"/>
      <c r="ED165" s="122"/>
      <c r="EE165" s="122"/>
      <c r="EF165" s="122"/>
      <c r="EG165" s="122"/>
      <c r="EH165" s="122"/>
      <c r="EI165" s="122"/>
      <c r="EJ165" s="122"/>
      <c r="EK165" s="122"/>
      <c r="EL165" s="122"/>
      <c r="EM165" s="122"/>
      <c r="EN165" s="122"/>
      <c r="EO165" s="122"/>
      <c r="EP165" s="122"/>
      <c r="EQ165" s="122"/>
      <c r="ER165" s="122"/>
      <c r="ES165" s="122"/>
      <c r="ET165" s="122"/>
      <c r="EU165" s="122"/>
      <c r="EV165" s="122"/>
      <c r="EW165" s="122"/>
      <c r="EX165" s="122"/>
      <c r="EY165" s="122"/>
      <c r="EZ165" s="122"/>
      <c r="FA165" s="122"/>
      <c r="FB165" s="122"/>
      <c r="FC165" s="122"/>
      <c r="FD165" s="122"/>
      <c r="FE165" s="122"/>
      <c r="FF165" s="122"/>
      <c r="FG165" s="122"/>
      <c r="FH165" s="122"/>
      <c r="FI165" s="122"/>
      <c r="FJ165" s="122"/>
      <c r="FK165" s="122"/>
      <c r="FL165" s="122"/>
      <c r="FM165" s="122"/>
      <c r="FN165" s="122"/>
      <c r="FO165" s="122"/>
      <c r="FP165" s="122"/>
      <c r="FQ165" s="122"/>
      <c r="FR165" s="122"/>
      <c r="FS165" s="122"/>
      <c r="FT165" s="122"/>
      <c r="FU165" s="122"/>
      <c r="FV165" s="122"/>
      <c r="FW165" s="122"/>
      <c r="FX165" s="122"/>
      <c r="FY165" s="122"/>
      <c r="FZ165" s="122"/>
      <c r="GA165" s="122"/>
      <c r="GB165" s="122"/>
      <c r="GC165" s="122"/>
      <c r="GD165" s="122"/>
      <c r="GE165" s="122"/>
      <c r="GF165" s="122"/>
      <c r="GG165" s="122"/>
      <c r="GH165" s="122"/>
      <c r="GI165" s="122"/>
      <c r="GJ165" s="122"/>
      <c r="GK165" s="122"/>
      <c r="GL165" s="122"/>
      <c r="GM165" s="122"/>
      <c r="GN165" s="122"/>
      <c r="GO165" s="122"/>
      <c r="GP165" s="122"/>
      <c r="GQ165" s="122"/>
      <c r="GR165" s="122"/>
      <c r="GS165" s="122"/>
      <c r="GT165" s="122"/>
      <c r="GU165" s="122"/>
      <c r="GV165" s="122"/>
      <c r="GW165" s="122"/>
      <c r="GX165" s="122"/>
      <c r="GY165" s="122"/>
      <c r="GZ165" s="122"/>
      <c r="HA165" s="122"/>
      <c r="HB165" s="122"/>
      <c r="HC165" s="122"/>
      <c r="HD165" s="122"/>
      <c r="HE165" s="122"/>
      <c r="HF165" s="122"/>
      <c r="HG165" s="122"/>
      <c r="HH165" s="122"/>
      <c r="HI165" s="122"/>
      <c r="HJ165" s="122"/>
      <c r="HK165" s="122"/>
      <c r="HL165" s="122"/>
      <c r="HM165" s="122"/>
      <c r="HN165" s="122"/>
      <c r="HO165" s="122"/>
      <c r="HP165" s="122"/>
      <c r="HQ165" s="122"/>
      <c r="HR165" s="122"/>
      <c r="HS165" s="122"/>
      <c r="HT165" s="122"/>
      <c r="HU165" s="122"/>
      <c r="HV165" s="122"/>
      <c r="HW165" s="122"/>
      <c r="HX165" s="122"/>
      <c r="HY165" s="122"/>
      <c r="HZ165" s="122"/>
      <c r="IA165" s="122"/>
      <c r="IB165" s="122"/>
      <c r="IC165" s="122"/>
      <c r="ID165" s="122"/>
      <c r="IE165" s="122"/>
      <c r="IF165" s="122"/>
      <c r="IG165" s="122"/>
      <c r="IH165" s="122"/>
      <c r="II165" s="122"/>
      <c r="IJ165" s="122"/>
      <c r="IK165" s="122"/>
      <c r="IL165" s="122"/>
      <c r="IM165" s="122"/>
      <c r="IN165" s="122"/>
      <c r="IO165" s="122"/>
    </row>
    <row r="166" spans="2:249">
      <c r="B166" s="140" t="s">
        <v>462</v>
      </c>
      <c r="C166" s="140"/>
      <c r="D166" s="125"/>
      <c r="E166" s="125"/>
      <c r="F166" s="125"/>
      <c r="G166" s="125"/>
      <c r="H166" s="125"/>
      <c r="I166" s="125"/>
      <c r="J166" s="125"/>
      <c r="K166" s="125"/>
      <c r="L166" s="125"/>
      <c r="M166" s="125"/>
      <c r="N166" s="125"/>
      <c r="O166" s="125"/>
      <c r="P166" s="125"/>
      <c r="Q166" s="125"/>
      <c r="R166" s="125"/>
      <c r="S166" s="125"/>
      <c r="T166" s="125"/>
      <c r="U166" s="125"/>
      <c r="V166" s="125"/>
      <c r="W166" s="125"/>
      <c r="X166" s="125"/>
      <c r="Y166" s="125"/>
      <c r="Z166" s="125"/>
      <c r="AA166" s="125"/>
      <c r="AB166" s="125"/>
      <c r="AC166" s="125"/>
      <c r="AD166" s="125"/>
      <c r="AE166" s="125"/>
      <c r="AF166" s="125"/>
      <c r="AG166" s="125"/>
      <c r="AH166" s="125"/>
      <c r="AI166" s="125"/>
      <c r="AJ166" s="125"/>
      <c r="AK166" s="125"/>
      <c r="AL166" s="125"/>
      <c r="AM166" s="125"/>
      <c r="AN166" s="125"/>
      <c r="AO166" s="125"/>
      <c r="AP166" s="125"/>
      <c r="AQ166" s="125"/>
      <c r="AR166" s="125"/>
      <c r="AS166" s="125"/>
      <c r="AT166" s="125"/>
      <c r="AU166" s="125"/>
      <c r="AV166" s="125"/>
      <c r="AW166" s="125"/>
      <c r="AX166" s="125"/>
      <c r="AY166" s="125"/>
      <c r="AZ166" s="125"/>
      <c r="BA166" s="125"/>
      <c r="BB166" s="125"/>
      <c r="BC166" s="125"/>
      <c r="BD166" s="125"/>
      <c r="BE166" s="125"/>
      <c r="BF166" s="125"/>
      <c r="BG166" s="125"/>
      <c r="BH166" s="125"/>
      <c r="BI166" s="125"/>
      <c r="BJ166" s="125"/>
      <c r="BK166" s="125"/>
      <c r="BL166" s="125"/>
      <c r="BM166" s="125"/>
      <c r="BN166" s="125"/>
      <c r="BO166" s="125"/>
      <c r="BP166" s="125"/>
      <c r="BQ166" s="125"/>
      <c r="BR166" s="125"/>
      <c r="BS166" s="125"/>
      <c r="BT166" s="125"/>
      <c r="BU166" s="125"/>
      <c r="BV166" s="125"/>
      <c r="BW166" s="125"/>
      <c r="BX166" s="125"/>
      <c r="BY166" s="125"/>
      <c r="BZ166" s="125"/>
      <c r="CA166" s="125"/>
      <c r="CB166" s="125"/>
      <c r="CC166" s="125"/>
      <c r="CD166" s="125"/>
      <c r="CE166" s="125"/>
      <c r="CF166" s="125"/>
      <c r="CG166" s="125"/>
      <c r="CH166" s="125"/>
      <c r="CI166" s="125"/>
      <c r="CJ166" s="125"/>
      <c r="CK166" s="125"/>
      <c r="CL166" s="125"/>
      <c r="CM166" s="125"/>
      <c r="CN166" s="125"/>
      <c r="CO166" s="125"/>
      <c r="CP166" s="125"/>
      <c r="CQ166" s="125"/>
      <c r="CR166" s="125"/>
      <c r="CS166" s="125"/>
      <c r="CT166" s="125"/>
      <c r="CU166" s="125"/>
      <c r="CV166" s="125"/>
      <c r="CW166" s="125"/>
      <c r="CX166" s="125"/>
      <c r="CY166" s="125"/>
      <c r="CZ166" s="125"/>
      <c r="DA166" s="125"/>
      <c r="DB166" s="125"/>
      <c r="DC166" s="125"/>
      <c r="DD166" s="125"/>
      <c r="DE166" s="125"/>
      <c r="DF166" s="125"/>
      <c r="DG166" s="125"/>
      <c r="DH166" s="125"/>
      <c r="DI166" s="125"/>
      <c r="DJ166" s="125"/>
      <c r="DK166" s="125"/>
      <c r="DL166" s="125"/>
      <c r="DM166" s="125"/>
      <c r="DN166" s="125"/>
      <c r="DO166" s="125"/>
      <c r="DP166" s="125"/>
      <c r="DQ166" s="125"/>
      <c r="DR166" s="125"/>
      <c r="DS166" s="125"/>
      <c r="DT166" s="125"/>
      <c r="DU166" s="125"/>
      <c r="DV166" s="125"/>
      <c r="DW166" s="125"/>
      <c r="DX166" s="125"/>
      <c r="DY166" s="125"/>
      <c r="DZ166" s="125"/>
      <c r="EA166" s="125"/>
      <c r="EB166" s="125"/>
      <c r="EC166" s="125"/>
      <c r="ED166" s="125"/>
      <c r="EE166" s="125"/>
      <c r="EF166" s="125"/>
      <c r="EG166" s="125"/>
      <c r="EH166" s="125"/>
      <c r="EI166" s="125"/>
      <c r="EJ166" s="125"/>
      <c r="EK166" s="125"/>
      <c r="EL166" s="125"/>
      <c r="EM166" s="125"/>
      <c r="EN166" s="125"/>
      <c r="EO166" s="125"/>
      <c r="EP166" s="125"/>
      <c r="EQ166" s="125"/>
      <c r="ER166" s="125"/>
      <c r="ES166" s="125"/>
      <c r="ET166" s="125"/>
      <c r="EU166" s="125"/>
      <c r="EV166" s="125"/>
      <c r="EW166" s="125"/>
      <c r="EX166" s="125"/>
      <c r="EY166" s="125"/>
      <c r="EZ166" s="125"/>
      <c r="FA166" s="125"/>
      <c r="FB166" s="125"/>
      <c r="FC166" s="125"/>
      <c r="FD166" s="125"/>
      <c r="FE166" s="125"/>
      <c r="FF166" s="125"/>
      <c r="FG166" s="125"/>
      <c r="FH166" s="125"/>
      <c r="FI166" s="125"/>
      <c r="FJ166" s="125"/>
      <c r="FK166" s="125"/>
      <c r="FL166" s="125"/>
      <c r="FM166" s="125"/>
      <c r="FN166" s="125"/>
      <c r="FO166" s="125"/>
      <c r="FP166" s="125"/>
      <c r="FQ166" s="125"/>
      <c r="FR166" s="125"/>
      <c r="FS166" s="125"/>
      <c r="FT166" s="125"/>
      <c r="FU166" s="125"/>
      <c r="FV166" s="125"/>
      <c r="FW166" s="125"/>
      <c r="FX166" s="125"/>
      <c r="FY166" s="125"/>
      <c r="FZ166" s="125"/>
      <c r="GA166" s="125"/>
      <c r="GB166" s="125"/>
      <c r="GC166" s="125"/>
      <c r="GD166" s="125"/>
      <c r="GE166" s="125"/>
      <c r="GF166" s="125"/>
      <c r="GG166" s="125"/>
      <c r="GH166" s="125"/>
      <c r="GI166" s="125"/>
      <c r="GJ166" s="125"/>
      <c r="GK166" s="125"/>
      <c r="GL166" s="125"/>
      <c r="GM166" s="125"/>
      <c r="GN166" s="125"/>
      <c r="GO166" s="125"/>
      <c r="GP166" s="125"/>
      <c r="GQ166" s="125"/>
      <c r="GR166" s="125"/>
      <c r="GS166" s="125"/>
      <c r="GT166" s="125"/>
      <c r="GU166" s="125"/>
      <c r="GV166" s="125"/>
      <c r="GW166" s="125"/>
      <c r="GX166" s="125"/>
      <c r="GY166" s="125"/>
      <c r="GZ166" s="125"/>
      <c r="HA166" s="125"/>
      <c r="HB166" s="125"/>
      <c r="HC166" s="125"/>
      <c r="HD166" s="125"/>
      <c r="HE166" s="125"/>
      <c r="HF166" s="125"/>
      <c r="HG166" s="125"/>
      <c r="HH166" s="125"/>
      <c r="HI166" s="125"/>
      <c r="HJ166" s="125"/>
      <c r="HK166" s="125"/>
      <c r="HL166" s="125"/>
      <c r="HM166" s="125"/>
      <c r="HN166" s="125"/>
      <c r="HO166" s="125"/>
      <c r="HP166" s="125"/>
      <c r="HQ166" s="125"/>
      <c r="HR166" s="125"/>
      <c r="HS166" s="125"/>
      <c r="HT166" s="125"/>
      <c r="HU166" s="125"/>
      <c r="HV166" s="125"/>
      <c r="HW166" s="125"/>
      <c r="HX166" s="125"/>
      <c r="HY166" s="125"/>
      <c r="HZ166" s="125"/>
      <c r="IA166" s="125"/>
      <c r="IB166" s="125"/>
      <c r="IC166" s="125"/>
      <c r="ID166" s="125"/>
      <c r="IE166" s="125"/>
      <c r="IF166" s="125"/>
      <c r="IG166" s="125"/>
      <c r="IH166" s="125"/>
      <c r="II166" s="125"/>
      <c r="IJ166" s="125"/>
      <c r="IK166" s="125"/>
      <c r="IL166" s="125"/>
      <c r="IM166" s="125"/>
      <c r="IN166" s="125"/>
      <c r="IO166" s="125"/>
    </row>
    <row r="167" spans="2:249">
      <c r="B167" s="132"/>
      <c r="C167" s="141"/>
      <c r="D167" s="107"/>
      <c r="E167" s="107"/>
      <c r="F167" s="107"/>
      <c r="G167" s="107"/>
      <c r="H167" s="107"/>
      <c r="I167" s="107"/>
      <c r="J167" s="107"/>
      <c r="K167" s="107"/>
      <c r="L167" s="107"/>
      <c r="M167" s="107"/>
      <c r="N167" s="107"/>
      <c r="O167" s="107"/>
      <c r="P167" s="107"/>
      <c r="Q167" s="107"/>
      <c r="R167" s="107"/>
      <c r="S167" s="107"/>
      <c r="T167" s="107"/>
      <c r="U167" s="107"/>
      <c r="V167" s="107"/>
      <c r="W167" s="107"/>
      <c r="X167" s="107"/>
      <c r="Y167" s="107"/>
      <c r="Z167" s="107"/>
      <c r="AA167" s="107"/>
      <c r="AB167" s="107"/>
      <c r="AC167" s="107"/>
      <c r="AD167" s="107"/>
      <c r="AE167" s="107"/>
      <c r="AF167" s="107"/>
      <c r="AG167" s="107"/>
      <c r="AH167" s="107"/>
      <c r="AI167" s="107"/>
      <c r="AJ167" s="107"/>
      <c r="AK167" s="107"/>
      <c r="AL167" s="107"/>
      <c r="AM167" s="107"/>
      <c r="AN167" s="107"/>
      <c r="AO167" s="107"/>
      <c r="AP167" s="107"/>
      <c r="AQ167" s="107"/>
      <c r="AR167" s="107"/>
      <c r="AS167" s="107"/>
      <c r="AT167" s="107"/>
      <c r="AU167" s="107"/>
      <c r="AV167" s="107"/>
      <c r="AW167" s="107"/>
      <c r="AX167" s="107"/>
      <c r="AY167" s="107"/>
      <c r="AZ167" s="107"/>
      <c r="BA167" s="107"/>
      <c r="BB167" s="107"/>
      <c r="BC167" s="107"/>
      <c r="BD167" s="107"/>
      <c r="BE167" s="107"/>
      <c r="BF167" s="107"/>
      <c r="BG167" s="107"/>
      <c r="BH167" s="107"/>
      <c r="BI167" s="107"/>
      <c r="BJ167" s="107"/>
      <c r="BK167" s="107"/>
      <c r="BL167" s="107"/>
      <c r="BM167" s="107"/>
      <c r="BN167" s="107"/>
      <c r="BO167" s="107"/>
      <c r="BP167" s="107"/>
      <c r="BQ167" s="107"/>
      <c r="BR167" s="107"/>
      <c r="BS167" s="107"/>
      <c r="BT167" s="107"/>
      <c r="BU167" s="107"/>
      <c r="BV167" s="107"/>
      <c r="BW167" s="107"/>
      <c r="BX167" s="107"/>
      <c r="BY167" s="107"/>
      <c r="BZ167" s="107"/>
      <c r="CA167" s="107"/>
      <c r="CB167" s="107"/>
      <c r="CC167" s="107"/>
      <c r="CD167" s="107"/>
      <c r="CE167" s="107"/>
      <c r="CF167" s="107"/>
      <c r="CG167" s="107"/>
      <c r="CH167" s="107"/>
      <c r="CI167" s="107"/>
      <c r="CJ167" s="107"/>
      <c r="CK167" s="107"/>
      <c r="CL167" s="107"/>
      <c r="CM167" s="107"/>
      <c r="CN167" s="107"/>
      <c r="CO167" s="107"/>
      <c r="CP167" s="107"/>
      <c r="CQ167" s="107"/>
      <c r="CR167" s="107"/>
      <c r="CS167" s="107"/>
      <c r="CT167" s="107"/>
      <c r="CU167" s="107"/>
      <c r="CV167" s="107"/>
      <c r="CW167" s="107"/>
      <c r="CX167" s="107"/>
      <c r="CY167" s="107"/>
      <c r="CZ167" s="107"/>
      <c r="DA167" s="107"/>
      <c r="DB167" s="107"/>
      <c r="DC167" s="107"/>
      <c r="DD167" s="107"/>
      <c r="DE167" s="107"/>
      <c r="DF167" s="107"/>
      <c r="DG167" s="107"/>
      <c r="DH167" s="107"/>
      <c r="DI167" s="107"/>
      <c r="DJ167" s="107"/>
      <c r="DK167" s="107"/>
      <c r="DL167" s="107"/>
      <c r="DM167" s="107"/>
      <c r="DN167" s="107"/>
      <c r="DO167" s="107"/>
      <c r="DP167" s="107"/>
      <c r="DQ167" s="107"/>
      <c r="DR167" s="107"/>
      <c r="DS167" s="107"/>
      <c r="DT167" s="107"/>
      <c r="DU167" s="107"/>
      <c r="DV167" s="107"/>
      <c r="DW167" s="107"/>
      <c r="DX167" s="107"/>
      <c r="DY167" s="107"/>
      <c r="DZ167" s="107"/>
      <c r="EA167" s="107"/>
      <c r="EB167" s="107"/>
      <c r="EC167" s="107"/>
      <c r="ED167" s="107"/>
      <c r="EE167" s="107"/>
      <c r="EF167" s="107"/>
      <c r="EG167" s="107"/>
      <c r="EH167" s="107"/>
      <c r="EI167" s="107"/>
      <c r="EJ167" s="107"/>
      <c r="EK167" s="107"/>
      <c r="EL167" s="107"/>
      <c r="EM167" s="107"/>
      <c r="EN167" s="107"/>
      <c r="EO167" s="107"/>
      <c r="EP167" s="107"/>
      <c r="EQ167" s="107"/>
      <c r="ER167" s="107"/>
      <c r="ES167" s="107"/>
      <c r="ET167" s="107"/>
      <c r="EU167" s="107"/>
      <c r="EV167" s="107"/>
      <c r="EW167" s="107"/>
      <c r="EX167" s="107"/>
      <c r="EY167" s="107"/>
      <c r="EZ167" s="107"/>
      <c r="FA167" s="107"/>
      <c r="FB167" s="107"/>
      <c r="FC167" s="107"/>
      <c r="FD167" s="107"/>
      <c r="FE167" s="107"/>
      <c r="FF167" s="107"/>
      <c r="FG167" s="107"/>
      <c r="FH167" s="107"/>
      <c r="FI167" s="107"/>
      <c r="FJ167" s="107"/>
      <c r="FK167" s="107"/>
      <c r="FL167" s="107"/>
      <c r="FM167" s="107"/>
      <c r="FN167" s="107"/>
      <c r="FO167" s="107"/>
      <c r="FP167" s="107"/>
      <c r="FQ167" s="107"/>
      <c r="FR167" s="107"/>
      <c r="FS167" s="107"/>
      <c r="FT167" s="107"/>
      <c r="FU167" s="107"/>
      <c r="FV167" s="107"/>
      <c r="FW167" s="107"/>
      <c r="FX167" s="107"/>
      <c r="FY167" s="107"/>
      <c r="FZ167" s="107"/>
      <c r="GA167" s="107"/>
      <c r="GB167" s="107"/>
      <c r="GC167" s="107"/>
      <c r="GD167" s="107"/>
      <c r="GE167" s="107"/>
      <c r="GF167" s="107"/>
      <c r="GG167" s="107"/>
      <c r="GH167" s="107"/>
      <c r="GI167" s="107"/>
      <c r="GJ167" s="107"/>
      <c r="GK167" s="107"/>
      <c r="GL167" s="107"/>
      <c r="GM167" s="107"/>
      <c r="GN167" s="107"/>
      <c r="GO167" s="107"/>
      <c r="GP167" s="107"/>
      <c r="GQ167" s="107"/>
      <c r="GR167" s="107"/>
      <c r="GS167" s="107"/>
      <c r="GT167" s="107"/>
      <c r="GU167" s="107"/>
      <c r="GV167" s="107"/>
      <c r="GW167" s="107"/>
      <c r="GX167" s="107"/>
      <c r="GY167" s="107"/>
      <c r="GZ167" s="107"/>
      <c r="HA167" s="107"/>
      <c r="HB167" s="107"/>
      <c r="HC167" s="107"/>
      <c r="HD167" s="107"/>
      <c r="HE167" s="107"/>
      <c r="HF167" s="107"/>
      <c r="HG167" s="107"/>
      <c r="HH167" s="107"/>
      <c r="HI167" s="107"/>
      <c r="HJ167" s="107"/>
      <c r="HK167" s="107"/>
      <c r="HL167" s="107"/>
      <c r="HM167" s="107"/>
      <c r="HN167" s="107"/>
      <c r="HO167" s="107"/>
      <c r="HP167" s="107"/>
      <c r="HQ167" s="107"/>
      <c r="HR167" s="107"/>
      <c r="HS167" s="107"/>
      <c r="HT167" s="107"/>
      <c r="HU167" s="107"/>
      <c r="HV167" s="107"/>
      <c r="HW167" s="107"/>
      <c r="HX167" s="107"/>
      <c r="HY167" s="107"/>
      <c r="HZ167" s="107"/>
      <c r="IA167" s="107"/>
      <c r="IB167" s="107"/>
      <c r="IC167" s="107"/>
      <c r="ID167" s="107"/>
      <c r="IE167" s="107"/>
      <c r="IF167" s="107"/>
      <c r="IG167" s="107"/>
      <c r="IH167" s="107"/>
      <c r="II167" s="107"/>
      <c r="IJ167" s="107"/>
      <c r="IK167" s="107"/>
      <c r="IL167" s="107"/>
      <c r="IM167" s="107"/>
      <c r="IN167" s="107"/>
      <c r="IO167" s="107"/>
    </row>
    <row r="168" spans="2:249">
      <c r="B168" s="140" t="s">
        <v>479</v>
      </c>
      <c r="C168" s="140"/>
      <c r="D168" s="125"/>
      <c r="E168" s="125"/>
      <c r="F168" s="125"/>
      <c r="G168" s="125"/>
      <c r="H168" s="125"/>
      <c r="I168" s="125"/>
      <c r="J168" s="125"/>
      <c r="K168" s="125"/>
      <c r="L168" s="125"/>
      <c r="M168" s="125"/>
      <c r="N168" s="125"/>
      <c r="O168" s="125"/>
      <c r="P168" s="125"/>
      <c r="Q168" s="125"/>
      <c r="R168" s="125"/>
      <c r="S168" s="125"/>
      <c r="T168" s="125"/>
      <c r="U168" s="125"/>
      <c r="V168" s="125"/>
      <c r="W168" s="125"/>
      <c r="X168" s="125"/>
      <c r="Y168" s="125"/>
      <c r="Z168" s="125"/>
      <c r="AA168" s="125"/>
      <c r="AB168" s="125"/>
      <c r="AC168" s="125"/>
      <c r="AD168" s="125"/>
      <c r="AE168" s="125"/>
      <c r="AF168" s="125"/>
      <c r="AG168" s="125"/>
      <c r="AH168" s="125"/>
      <c r="AI168" s="125"/>
      <c r="AJ168" s="125"/>
      <c r="AK168" s="125"/>
      <c r="AL168" s="125"/>
      <c r="AM168" s="125"/>
      <c r="AN168" s="125"/>
      <c r="AO168" s="125"/>
      <c r="AP168" s="125"/>
      <c r="AQ168" s="125"/>
      <c r="AR168" s="125"/>
      <c r="AS168" s="125"/>
      <c r="AT168" s="125"/>
      <c r="AU168" s="125"/>
      <c r="AV168" s="125"/>
      <c r="AW168" s="125"/>
      <c r="AX168" s="125"/>
      <c r="AY168" s="125"/>
      <c r="AZ168" s="125"/>
      <c r="BA168" s="125"/>
      <c r="BB168" s="125"/>
      <c r="BC168" s="125"/>
      <c r="BD168" s="125"/>
      <c r="BE168" s="125"/>
      <c r="BF168" s="125"/>
      <c r="BG168" s="125"/>
      <c r="BH168" s="125"/>
      <c r="BI168" s="125"/>
      <c r="BJ168" s="125"/>
      <c r="BK168" s="125"/>
      <c r="BL168" s="125"/>
      <c r="BM168" s="125"/>
      <c r="BN168" s="125"/>
      <c r="BO168" s="125"/>
      <c r="BP168" s="125"/>
      <c r="BQ168" s="125"/>
      <c r="BR168" s="125"/>
      <c r="BS168" s="125"/>
      <c r="BT168" s="125"/>
      <c r="BU168" s="125"/>
      <c r="BV168" s="125"/>
      <c r="BW168" s="125"/>
      <c r="BX168" s="125"/>
      <c r="BY168" s="125"/>
      <c r="BZ168" s="125"/>
      <c r="CA168" s="125"/>
      <c r="CB168" s="125"/>
      <c r="CC168" s="125"/>
      <c r="CD168" s="125"/>
      <c r="CE168" s="125"/>
      <c r="CF168" s="125"/>
      <c r="CG168" s="125"/>
      <c r="CH168" s="125"/>
      <c r="CI168" s="125"/>
      <c r="CJ168" s="125"/>
      <c r="CK168" s="125"/>
      <c r="CL168" s="125"/>
      <c r="CM168" s="125"/>
      <c r="CN168" s="125"/>
      <c r="CO168" s="125"/>
      <c r="CP168" s="125"/>
      <c r="CQ168" s="125"/>
      <c r="CR168" s="125"/>
      <c r="CS168" s="125"/>
      <c r="CT168" s="125"/>
      <c r="CU168" s="125"/>
      <c r="CV168" s="125"/>
      <c r="CW168" s="125"/>
      <c r="CX168" s="125"/>
      <c r="CY168" s="125"/>
      <c r="CZ168" s="125"/>
      <c r="DA168" s="125"/>
      <c r="DB168" s="125"/>
      <c r="DC168" s="125"/>
      <c r="DD168" s="125"/>
      <c r="DE168" s="125"/>
      <c r="DF168" s="125"/>
      <c r="DG168" s="125"/>
      <c r="DH168" s="125"/>
      <c r="DI168" s="125"/>
      <c r="DJ168" s="125"/>
      <c r="DK168" s="125"/>
      <c r="DL168" s="125"/>
      <c r="DM168" s="125"/>
      <c r="DN168" s="125"/>
      <c r="DO168" s="125"/>
      <c r="DP168" s="125"/>
      <c r="DQ168" s="125"/>
      <c r="DR168" s="125"/>
      <c r="DS168" s="125"/>
      <c r="DT168" s="125"/>
      <c r="DU168" s="125"/>
      <c r="DV168" s="125"/>
      <c r="DW168" s="125"/>
      <c r="DX168" s="125"/>
      <c r="DY168" s="125"/>
      <c r="DZ168" s="125"/>
      <c r="EA168" s="125"/>
      <c r="EB168" s="125"/>
      <c r="EC168" s="125"/>
      <c r="ED168" s="125"/>
      <c r="EE168" s="125"/>
      <c r="EF168" s="125"/>
      <c r="EG168" s="125"/>
      <c r="EH168" s="125"/>
      <c r="EI168" s="125"/>
      <c r="EJ168" s="125"/>
      <c r="EK168" s="125"/>
      <c r="EL168" s="125"/>
      <c r="EM168" s="125"/>
      <c r="EN168" s="125"/>
      <c r="EO168" s="125"/>
      <c r="EP168" s="125"/>
      <c r="EQ168" s="125"/>
      <c r="ER168" s="125"/>
      <c r="ES168" s="125"/>
      <c r="ET168" s="125"/>
      <c r="EU168" s="125"/>
      <c r="EV168" s="125"/>
      <c r="EW168" s="125"/>
      <c r="EX168" s="125"/>
      <c r="EY168" s="125"/>
      <c r="EZ168" s="125"/>
      <c r="FA168" s="125"/>
      <c r="FB168" s="125"/>
      <c r="FC168" s="125"/>
      <c r="FD168" s="125"/>
      <c r="FE168" s="125"/>
      <c r="FF168" s="125"/>
      <c r="FG168" s="125"/>
      <c r="FH168" s="125"/>
      <c r="FI168" s="125"/>
      <c r="FJ168" s="125"/>
      <c r="FK168" s="125"/>
      <c r="FL168" s="125"/>
      <c r="FM168" s="125"/>
      <c r="FN168" s="125"/>
      <c r="FO168" s="125"/>
      <c r="FP168" s="125"/>
      <c r="FQ168" s="125"/>
      <c r="FR168" s="125"/>
      <c r="FS168" s="125"/>
      <c r="FT168" s="125"/>
      <c r="FU168" s="125"/>
      <c r="FV168" s="125"/>
      <c r="FW168" s="125"/>
      <c r="FX168" s="125"/>
      <c r="FY168" s="125"/>
      <c r="FZ168" s="125"/>
      <c r="GA168" s="125"/>
      <c r="GB168" s="125"/>
      <c r="GC168" s="125"/>
      <c r="GD168" s="125"/>
      <c r="GE168" s="125"/>
      <c r="GF168" s="125"/>
      <c r="GG168" s="125"/>
      <c r="GH168" s="125"/>
      <c r="GI168" s="125"/>
      <c r="GJ168" s="125"/>
      <c r="GK168" s="125"/>
      <c r="GL168" s="125"/>
      <c r="GM168" s="125"/>
      <c r="GN168" s="125"/>
      <c r="GO168" s="125"/>
      <c r="GP168" s="125"/>
      <c r="GQ168" s="125"/>
      <c r="GR168" s="125"/>
      <c r="GS168" s="125"/>
      <c r="GT168" s="125"/>
      <c r="GU168" s="125"/>
      <c r="GV168" s="125"/>
      <c r="GW168" s="125"/>
      <c r="GX168" s="125"/>
      <c r="GY168" s="125"/>
      <c r="GZ168" s="125"/>
      <c r="HA168" s="125"/>
      <c r="HB168" s="125"/>
      <c r="HC168" s="125"/>
      <c r="HD168" s="125"/>
      <c r="HE168" s="125"/>
      <c r="HF168" s="125"/>
      <c r="HG168" s="125"/>
      <c r="HH168" s="125"/>
      <c r="HI168" s="125"/>
      <c r="HJ168" s="125"/>
      <c r="HK168" s="125"/>
      <c r="HL168" s="125"/>
      <c r="HM168" s="125"/>
      <c r="HN168" s="125"/>
      <c r="HO168" s="125"/>
      <c r="HP168" s="125"/>
      <c r="HQ168" s="125"/>
      <c r="HR168" s="125"/>
      <c r="HS168" s="125"/>
      <c r="HT168" s="125"/>
      <c r="HU168" s="125"/>
      <c r="HV168" s="125"/>
      <c r="HW168" s="125"/>
      <c r="HX168" s="125"/>
      <c r="HY168" s="125"/>
      <c r="HZ168" s="125"/>
      <c r="IA168" s="125"/>
      <c r="IB168" s="125"/>
      <c r="IC168" s="125"/>
      <c r="ID168" s="125"/>
      <c r="IE168" s="125"/>
      <c r="IF168" s="125"/>
      <c r="IG168" s="125"/>
      <c r="IH168" s="125"/>
      <c r="II168" s="125"/>
      <c r="IJ168" s="125"/>
      <c r="IK168" s="125"/>
      <c r="IL168" s="125"/>
      <c r="IM168" s="125"/>
      <c r="IN168" s="125"/>
      <c r="IO168" s="125"/>
    </row>
    <row r="169" spans="2:249" ht="280.5" customHeight="1">
      <c r="B169" s="132"/>
      <c r="C169" s="141" t="s">
        <v>480</v>
      </c>
      <c r="D169" s="157" t="str">
        <f>CONCATENATE("The purpose of the test is to verify ","&lt;BR&gt;", "&lt;BR&gt;",D190,"&lt;BR&gt;","&lt;BR&gt;"," for below input circumstances",D162)</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E169" s="157" t="str">
        <f t="shared" ref="E169:AJ169" si="26">CONCATENATE("The purpose of the test is to verify ","&lt;BR&gt;", "&lt;BR&gt;",E190,"&lt;BR&gt;","&lt;BR&gt;"," for below input circumstances",E162)</f>
        <v>The purpose of the test is to verify &lt;BR&gt;&lt;BR&gt;&lt;BR&gt;&lt;BR&gt;Benefit Status=CUR&lt;BR&gt;Review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AU citizen&lt;BR&gt;Direct Credit details   = Coded Exemption - FNG&lt;BR&gt;TFN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F169" s="157" t="str">
        <f t="shared" si="26"/>
        <v>The purpose of the test is to verify &lt;BR&gt;&lt;BR&gt;&lt;BR&gt;&lt;BR&gt;Benefit Status=NEF-BAN&lt;BR&gt;Review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AU citizen&lt;BR&gt;Direct Credit details   = Not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G169" s="157" t="str">
        <f t="shared" si="26"/>
        <v>The purpose of the test is to verify &lt;BR&gt;&lt;BR&gt;&lt;BR&gt;&lt;BR&gt;Benefit Status=CUR&lt;BR&gt;Review created on FAL screen=TFN - EXEMPTION REVIEW (TEX)&lt;BR&gt;Customer FTB (A) Status=CUR&lt;BR&gt;Customer FTB (B) Status=NULL&lt;BR&gt;Customer RA Status=N-NULL&lt;BR&gt;Child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 Exemption - PVI&lt;BR&gt;Primary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H169" s="157" t="str">
        <f t="shared" si="26"/>
        <v>The purpose of the test is to verify &lt;BR&gt;&lt;BR&gt;&lt;BR&gt;&lt;BR&gt;Benefit Status=CUR&lt;BR&gt;Review created on FAL screen=TFN - EXEMPTION REVIEW (TEX)&lt;BR&gt;Customer FTB (A) Status=CUR&lt;BR&gt;Customer FTB (B) Status=NULL&lt;BR&gt;Customer RA Status=N-NULL&lt;BR&gt;Child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 Exemption - PUC&lt;BR&gt;Primary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I169" s="157" t="str">
        <f t="shared" si="26"/>
        <v>The purpose of the test is to verify &lt;BR&gt;&lt;BR&gt;&lt;BR&gt;&lt;BR&gt;Benefit Status=NEF-NTP&lt;BR&gt;Review created on FAL screen=No Review&lt;BR&gt;Customer FTB (A) Status=NEF-NTP&lt;BR&gt;Customer FTB (B) Status=NEF-NTP&lt;BR&gt;Customer RA Status=N-NULL&lt;BR&gt;Child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Not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J169" s="157" t="str">
        <f t="shared" si="26"/>
        <v>The purpose of the test is to verify &lt;BR&gt;&lt;BR&gt;&lt;BR&gt;&lt;BR&gt;Benefit Status=NEF-NTC&lt;BR&gt;Review created on FAL screen=TFN - EXEMPTION REVIEW (TEX)&lt;BR&gt;Customer FTB (A) Status=NULL&lt;BR&gt;Customer FTB (B) Status=NULL&lt;BR&gt;Customer RA Status=N-NULL&lt;BR&gt;Child Eligibility FTB(A)=Y&lt;BR&gt;Child Eligibility FTB(B)=Y&lt;BR&gt;&lt;BR&gt; for below input circumstances&lt;BR&gt;&lt;BR&gt;&lt;B&gt;Customer  circumstances&lt;/B&gt;&lt;BR&gt;Residential Qualification = AU citizen&lt;BR&gt;Direct Credit details   = Coded&lt;BR&gt;TFN details = Not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K169" s="157" t="str">
        <f t="shared" si="26"/>
        <v>The purpose of the test is to verify &lt;BR&gt;&lt;BR&gt;&lt;BR&gt;&lt;BR&gt;Benefit Status=NEF-NTC&lt;BR&gt;Review created on FAL screen=TFN - EXEMPTION REVIEW (TEX)&lt;BR&gt;Customer FTB (A) Status=NULL&lt;BR&gt;Customer FTB (B) Status=NULL&lt;BR&gt;Customer RA Status=N-NULL&lt;BR&gt;Child Eligibility FTB(A)=Y&lt;BR&gt;Child Eligibility FTB(B)=Y&lt;BR&gt;&lt;BR&gt; for below input circumstances&lt;BR&gt;&lt;BR&gt;&lt;B&gt;Customer  circumstances&lt;/B&gt;&lt;BR&gt;Residential Qualification = AU citizen&lt;BR&gt;Direct Credit details   = Coded&lt;BR&gt;TFN details = Not Coded&lt;BR&gt;Secondary Earner income = Less than $21,499&lt;BR&gt;&lt;BR&gt;&lt;B&gt;Partner  circumstances&lt;/B&gt;&lt;BR&gt;Residential Qualification = AU citizen&lt;BR&gt;TFN details = Coded Exemption - PVI&lt;BR&gt;Primary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L169" s="157" t="str">
        <f t="shared" si="26"/>
        <v>The purpose of the test is to verify &lt;BR&gt;&lt;BR&gt;&lt;BR&gt;&lt;BR&gt;Benefit Status=NEF-NTC&lt;BR&gt;Review created on FAL screen=TFN - EXEMPTION REVIEW (TEX)&lt;BR&gt;Customer FTB (A) Status=NULL&lt;BR&gt;Customer FTB (B) Status=NULL&lt;BR&gt;Customer RA Status=N-NULL&lt;BR&gt;Child Eligibility FTB(A)=Y&lt;BR&gt;Child Eligibility FTB(B)=Y&lt;BR&gt;&lt;BR&gt; for below input circumstances&lt;BR&gt;&lt;BR&gt;&lt;B&gt;Customer  circumstances&lt;/B&gt;&lt;BR&gt;Residential Qualification = AU citizen&lt;BR&gt;Direct Credit details   = Coded&lt;BR&gt;TFN details = Not Coded&lt;BR&gt;Secondary Earner income = Less than $21,499&lt;BR&gt;&lt;BR&gt;&lt;B&gt;Partner  circumstances&lt;/B&gt;&lt;BR&gt;Residential Qualification = AU citizen&lt;BR&gt;TFN details = Coded Exemption - PUC&lt;BR&gt;Primary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M169" s="157" t="str">
        <f t="shared" si="26"/>
        <v>The purpose of the test is to verify &lt;BR&gt;&lt;BR&gt;&lt;BR&gt;&lt;BR&gt;Benefit Status=NEF-NTB&lt;BR&gt;Review created on FAL screen=TFN - EXEMPTION REVIEW (TEX)&lt;BR&gt;Customer FTB (A) Status=NULL&lt;BR&gt;Customer FTB (B) Status=NULL&lt;BR&gt;Customer RA Status=N-NULL&lt;BR&gt;Child Eligibility FTB(A)=Y&lt;BR&gt;Child Eligibility FTB(B)=Y&lt;BR&gt;&lt;BR&gt; for below input circumstances&lt;BR&gt;&lt;BR&gt;&lt;B&gt;Customer  circumstances&lt;/B&gt;&lt;BR&gt;Residential Qualification = AU citizen&lt;BR&gt;Direct Credit details   = Coded&lt;BR&gt;TFN details = Not Coded&lt;BR&gt;Secondary Earner income = Less than $21,499&lt;BR&gt;&lt;BR&gt;&lt;B&gt;Partner  circumstances&lt;/B&gt;&lt;BR&gt;Residential Qualification = AU citizen&lt;BR&gt;TFN details = Not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N169" s="157" t="str">
        <f t="shared" si="26"/>
        <v>The purpose of the test is to verify &lt;BR&gt;&lt;BR&gt;&lt;BR&gt;&lt;BR&gt;Benefit Status=CUR&lt;BR&gt;Review created on FAL screen=No Review&lt;BR&gt;Customer FTB (A) Status=CAN-INC&lt;BR&gt;Customer FTB (B) Status=CUR&lt;BR&gt;Customer RA Status=N-NULL&lt;BR&gt;Child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More than $99,414 per yr&lt;BR&gt;&lt;BR&gt;&lt;B&gt;Child  circumstances&lt;/B&gt;&lt;BR&gt;Number of Child(ren) = 1&lt;BR&gt;Age of Child = &lt;= 5yr&lt;BR&gt;Principal Care Type = Natural Care&lt;BR&gt;Care Percentage = 100% of Customer's care</v>
      </c>
      <c r="O169" s="157" t="str">
        <f t="shared" si="26"/>
        <v>The purpose of the test is to verify &lt;BR&gt;&lt;BR&gt;&lt;BR&gt;&lt;BR&gt;Benefit Status=REJ-INC&lt;BR&gt;Review created on FAL screen=No Review&lt;BR&gt;Customer FTB (A) Status=CAN-INC&lt;BR&gt;Customer FTB (B) Status=REJ-IEU&lt;BR&gt;Customer RA Status=N-NULL&lt;BR&gt;Child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More than $100,000&lt;BR&gt;&lt;BR&gt;&lt;B&gt;Customer and Partner common circumstances&lt;/B&gt;&lt;BR&gt;Home ownership code = Home owner - HOM&lt;BR&gt;Relationship Qualifier = Blank&lt;BR&gt;Combined Income Limit = More than $99,414 per yr&lt;BR&gt;&lt;BR&gt;&lt;B&gt;Child  circumstances&lt;/B&gt;&lt;BR&gt;Number of Child(ren) = 1&lt;BR&gt;Age of Child = &lt;= 5yr&lt;BR&gt;Principal Care Type = Natural Care&lt;BR&gt;Care Percentage = 100% of Customer's care</v>
      </c>
      <c r="P169" s="157" t="str">
        <f t="shared" si="26"/>
        <v>The purpose of the test is to verify &lt;BR&gt;&lt;BR&gt;&lt;BR&gt;&lt;BR&gt;Benefit Status=CUR&lt;BR&gt;Review created on FAL screen=No Review&lt;BR&gt;Customer FTB (A) Status=CUR&lt;BR&gt;Customer FTB (B) Status=REJ-INC&lt;BR&gt;Customer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More than $ 27,613&lt;BR&gt;&lt;BR&gt;&lt;B&gt;Partner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Q169" s="157" t="str">
        <f t="shared" si="26"/>
        <v>The purpose of the test is to verify &lt;BR&gt;&lt;BR&gt;&lt;BR&gt;&lt;BR&gt;Benefit Status=REJ-INC&lt;BR&gt;Review created on FAL screen=No Review&lt;BR&gt;Customer FTB (A) Status=CAN-INC&lt;BR&gt;Customer FTB (B) Status=REJ-INC&lt;BR&gt;Customer RA Status=N-NULL&lt;BR&gt;Child Eligibility FTB(A)=Y&lt;BR&gt;Child Eligibility FTB(B)=Y&lt;BR&gt;&lt;BR&gt; for below input circumstances&lt;BR&gt;&lt;BR&gt;&lt;B&gt;Customer  circumstances&lt;/B&gt;&lt;BR&gt;Residential Qualification = AU citizen&lt;BR&gt;Direct Credit details   = Coded&lt;BR&gt;TFN details = Coded&lt;BR&gt;Secondary Earner income = More than $ 27,613&lt;BR&gt;&lt;BR&gt;&lt;B&gt;Partner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More than $99,414 per yr&lt;BR&gt;&lt;BR&gt;&lt;B&gt;Child  circumstances&lt;/B&gt;&lt;BR&gt;Number of Child(ren) = 1&lt;BR&gt;Age of Child = &lt;= 5yr&lt;BR&gt;Principal Care Type = Natural Care&lt;BR&gt;Care Percentage = 100% of Customer's care</v>
      </c>
      <c r="R169" s="157" t="str">
        <f t="shared" si="26"/>
        <v>The purpose of the test is to verify &lt;BR&gt;&lt;BR&gt;&lt;BR&gt;&lt;BR&gt;Benefit Status=REJ-INC&lt;BR&gt;Review created on FAL screen=No Review&lt;BR&gt;Customer FTB (A) Status=CAN-INC&lt;BR&gt;Customer FTB (B) Status=REJ-INC&lt;BR&gt;Customer RA Status=N-NULL&lt;BR&gt;Child Eligibility FTB(A)=Y&lt;BR&gt;Child Eligibility FTB(B)=Y&lt;BR&gt;&lt;BR&gt; for below input circumstances&lt;BR&gt;&lt;BR&gt;&lt;B&gt;Customer  circumstances&lt;/B&gt;&lt;BR&gt;Residential Qualification = AU citizen&lt;BR&gt;Direct Credit details   = Coded&lt;BR&gt;TFN details = Coded&lt;BR&gt;Secondary Earner income = More than $ 27,613&lt;BR&gt;&lt;BR&gt;&lt;B&gt;Partner  circumstances&lt;/B&gt;&lt;BR&gt;Residential Qualification = AU citizen&lt;BR&gt;TFN details = Coded&lt;BR&gt;Primary Earner income = More than $100,000&lt;BR&gt;&lt;BR&gt;&lt;B&gt;Customer and Partner common circumstances&lt;/B&gt;&lt;BR&gt;Home ownership code = Home owner - HOM&lt;BR&gt;Relationship Qualifier = Blank&lt;BR&gt;Combined Income Limit = More than $99,414 per yr&lt;BR&gt;&lt;BR&gt;&lt;B&gt;Child  circumstances&lt;/B&gt;&lt;BR&gt;Number of Child(ren) = 1&lt;BR&gt;Age of Child = &lt;= 5yr&lt;BR&gt;Principal Care Type = Natural Care&lt;BR&gt;Care Percentage = 100% of Customer's care</v>
      </c>
      <c r="S169" s="157" t="str">
        <f t="shared" si="26"/>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ILB&lt;BR&gt;Combined Income Limit = Less than $99,414 per yr&lt;BR&gt;&lt;BR&gt;&lt;B&gt;Child  circumstances&lt;/B&gt;&lt;BR&gt;Number of Child(ren) = 1&lt;BR&gt;Age of Child = &lt;= 5yr&lt;BR&gt;Principal Care Type = Natural Care&lt;BR&gt;Care Percentage = 100% of Customer's care</v>
      </c>
      <c r="T169" s="157" t="str">
        <f t="shared" si="26"/>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ILC&lt;BR&gt;Combined Income Limit = Less than $99,414 per yr&lt;BR&gt;&lt;BR&gt;&lt;B&gt;Child  circumstances&lt;/B&gt;&lt;BR&gt;Number of Child(ren) = 1&lt;BR&gt;Age of Child = &lt;= 5yr&lt;BR&gt;Principal Care Type = Natural Care&lt;BR&gt;Care Percentage = 100% of Customer's care</v>
      </c>
      <c r="U169" s="157" t="str">
        <f t="shared" si="26"/>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ILP&lt;BR&gt;Combined Income Limit = Less than $99,414 per yr&lt;BR&gt;&lt;BR&gt;&lt;B&gt;Child  circumstances&lt;/B&gt;&lt;BR&gt;Number of Child(ren) = 1&lt;BR&gt;Age of Child = &lt;= 5yr&lt;BR&gt;Principal Care Type = Natural Care&lt;BR&gt;Care Percentage = 100% of Customer's care</v>
      </c>
      <c r="V169" s="157" t="str">
        <f t="shared" si="26"/>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0&lt;BR&gt;Combined Income Limit = Less than $99,414 per yr&lt;BR&gt;&lt;BR&gt;&lt;B&gt;Child  circumstances&lt;/B&gt;&lt;BR&gt;Number of Child(ren) = 1&lt;BR&gt;Age of Child = &lt;= 5yr&lt;BR&gt;Principal Care Type = Natural Care&lt;BR&gt;Care Percentage = 100% of Customer's care</v>
      </c>
      <c r="W169" s="157" t="str">
        <f t="shared" si="26"/>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TEC&lt;BR&gt;Combined Income Limit = Less than $99,414 per yr&lt;BR&gt;&lt;BR&gt;&lt;B&gt;Child  circumstances&lt;/B&gt;&lt;BR&gt;Number of Child(ren) = 1&lt;BR&gt;Age of Child = &lt;= 5yr&lt;BR&gt;Principal Care Type = Natural Care&lt;BR&gt;Care Percentage = 100% of Customer's care</v>
      </c>
      <c r="X169" s="157" t="str">
        <f t="shared" si="26"/>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TEP&lt;BR&gt;Combined Income Limit = Less than $99,414 per yr&lt;BR&gt;&lt;BR&gt;&lt;B&gt;Child  circumstances&lt;/B&gt;&lt;BR&gt;Number of Child(ren) = 1&lt;BR&gt;Age of Child = &lt;= 5yr&lt;BR&gt;Principal Care Type = Natural Care&lt;BR&gt;Care Percentage = 100% of Customer's care</v>
      </c>
      <c r="Y169" s="157" t="str">
        <f t="shared" si="26"/>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GAC&lt;BR&gt;Combined Income Limit = Less than $99,414 per yr&lt;BR&gt;&lt;BR&gt;&lt;B&gt;Child  circumstances&lt;/B&gt;&lt;BR&gt;Number of Child(ren) = 1&lt;BR&gt;Age of Child = &lt;= 5yr&lt;BR&gt;Principal Care Type = Natural Care&lt;BR&gt;Care Percentage = 100% of Customer's care</v>
      </c>
      <c r="Z169" s="157" t="str">
        <f t="shared" si="26"/>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GAP&lt;BR&gt;Combined Income Limit = Less than $99,414 per yr&lt;BR&gt;&lt;BR&gt;&lt;B&gt;Child  circumstances&lt;/B&gt;&lt;BR&gt;Number of Child(ren) = 1&lt;BR&gt;Age of Child = &lt;= 5yr&lt;BR&gt;Principal Care Type = Natural Care&lt;BR&gt;Care Percentage = 100% of Customer's care</v>
      </c>
      <c r="AA169" s="157" t="str">
        <f t="shared" si="26"/>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PSB&lt;BR&gt;Combined Income Limit = Less than $99,414 per yr&lt;BR&gt;&lt;BR&gt;&lt;B&gt;Child  circumstances&lt;/B&gt;&lt;BR&gt;Number of Child(ren) = 1&lt;BR&gt;Age of Child = &lt;= 5yr&lt;BR&gt;Principal Care Type = Natural Care&lt;BR&gt;Care Percentage = 100% of Customer's care</v>
      </c>
      <c r="AB169" s="157" t="str">
        <f t="shared" si="26"/>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PSC&lt;BR&gt;Combined Income Limit = Less than $99,414 per yr&lt;BR&gt;&lt;BR&gt;&lt;B&gt;Child  circumstances&lt;/B&gt;&lt;BR&gt;Number of Child(ren) = 1&lt;BR&gt;Age of Child = &lt;= 5yr&lt;BR&gt;Principal Care Type = Natural Care&lt;BR&gt;Care Percentage = 100% of Customer's care</v>
      </c>
      <c r="AC169" s="157" t="str">
        <f t="shared" si="26"/>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PSP&lt;BR&gt;Combined Income Limit = Less than $99,414 per yr&lt;BR&gt;&lt;BR&gt;&lt;B&gt;Child  circumstances&lt;/B&gt;&lt;BR&gt;Number of Child(ren) = 1&lt;BR&gt;Age of Child = &lt;= 5yr&lt;BR&gt;Principal Care Type = Natural Care&lt;BR&gt;Care Percentage = 100% of Customer's care</v>
      </c>
      <c r="AD169" s="157" t="str">
        <f t="shared" si="26"/>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REC&lt;BR&gt;Combined Income Limit = Less than $99,414 per yr&lt;BR&gt;&lt;BR&gt;&lt;B&gt;Child  circumstances&lt;/B&gt;&lt;BR&gt;Number of Child(ren) = 1&lt;BR&gt;Age of Child = &lt;= 5yr&lt;BR&gt;Principal Care Type = Natural Care&lt;BR&gt;Care Percentage = 100% of Customer's care</v>
      </c>
      <c r="AE169" s="157" t="str">
        <f t="shared" si="26"/>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REP&lt;BR&gt;Combined Income Limit = Less than $99,414 per yr&lt;BR&gt;&lt;BR&gt;&lt;B&gt;Child  circumstances&lt;/B&gt;&lt;BR&gt;Number of Child(ren) = 1&lt;BR&gt;Age of Child = &lt;= 5yr&lt;BR&gt;Principal Care Type = Natural Care&lt;BR&gt;Care Percentage = 100% of Customer's care</v>
      </c>
      <c r="AF169" s="157" t="str">
        <f t="shared" si="26"/>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Spouse/Partner Visa Class&lt;BR&gt;TFN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AG169" s="157" t="str">
        <f t="shared" si="26"/>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$21,499&lt;BR&gt;&lt;BR&gt;&lt;B&gt;Partner  circumstances&lt;/B&gt;&lt;BR&gt;Residential Qualification = Temporary Visa Class&lt;BR&gt;TFN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AH169" s="157" t="str">
        <f t="shared" si="26"/>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Spouse/Partner Visa Class&lt;BR&gt;Direct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AI169" s="157" t="str">
        <f t="shared" si="26"/>
        <v>The purpose of the test is to verify &lt;BR&gt;&lt;BR&gt;&lt;BR&gt;&lt;BR&gt;Benefit Status=CUR&lt;BR&gt;Review created on FAL screen=No Review&lt;BR&gt;Customer FTB (A) Status=REJ-NRQ&lt;BR&gt;Customer FTB (B) Status=REJ-NRQ&lt;BR&gt;Customer RA Status=N-NULL&lt;BR&gt;Child Eligibility FTB(A)=Y&lt;BR&gt;Child Eligibility FTB(B)=Y&lt;BR&gt;&lt;BR&gt; for below input circumstances&lt;BR&gt;&lt;BR&gt;&lt;B&gt;Customer  circumstances&lt;/B&gt;&lt;BR&gt;Residential Qualification = Temporary Visa Class&lt;BR&gt;Direct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AJ169" s="157" t="str">
        <f t="shared" si="26"/>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Spouse/Partner Visa Class&lt;BR&gt;Direct Credit details   = Coded&lt;BR&gt;TFN details = Coded&lt;BR&gt;Secondary Earner income = Less than $21,499&lt;BR&gt;&lt;BR&gt;&lt;B&gt;Partner  circumstances&lt;/B&gt;&lt;BR&gt;Residential Qualification = Temporary Visa Class&lt;BR&gt;TFN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AK169" s="157" t="str">
        <f>CONCATENATE("The purpose of the test is to verify ","&lt;BR&gt;", "&lt;BR&gt;",AK190,"&lt;BR&gt;","&lt;BR&gt;"," for below input circumstances",AK162)</f>
        <v>The purpose of the test is to verify &lt;BR&gt;&lt;BR&gt;&lt;BR&gt;&lt;BR&gt;Benefit Status=CUR&lt;BR&gt;Review created on FAL screen=No Review&lt;BR&gt;Customer FTB (A) Status=REJ-NRQ&lt;BR&gt;Customer FTB (B) Status=REJ-NRQ&lt;BR&gt;Customer RA Status=N-NULL&lt;BR&gt;Child Eligibility FTB(A)=Y&lt;BR&gt;Child Eligibility FTB(B)=Y&lt;BR&gt;&lt;BR&gt; for below input circumstances&lt;BR&gt;&lt;BR&gt;&lt;B&gt;Customer  circumstances&lt;/B&gt;&lt;BR&gt;Residential Qualification = Temporary Visa Class&lt;BR&gt;Direct Credit details   = Coded&lt;BR&gt;TFN details = Coded&lt;BR&gt;Secondary Earner income = Less than $21,499&lt;BR&gt;&lt;BR&gt;&lt;B&gt;Partner  circumstances&lt;/B&gt;&lt;BR&gt;Residential Qualification = Spouse/Partner Visa Class&lt;BR&gt;TFN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AL169" s="157" t="str">
        <f t="shared" ref="AL169:CD169" si="27">CONCATENATE("The purpose of the test is to verify ","&lt;BR&gt;", "&lt;BR&gt;",AL190,"&lt;BR&gt;","&lt;BR&gt;"," for below input circumstances",AL162)</f>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AM169" s="157" t="str">
        <f t="shared" si="27"/>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 Exemption - FNG&lt;BR&gt;TFN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AN169" s="157" t="str">
        <f t="shared" si="27"/>
        <v>The purpose of the test is to verify &lt;BR&gt;&lt;BR&gt;&lt;BR&gt;&lt;BR&gt;Benefit Status=NEF-BAN&lt;BR&gt;Review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AU citizen&lt;BR&gt;Direct Credit details   = Not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AO169" s="157" t="str">
        <f t="shared" si="27"/>
        <v>The purpose of the test is to verify &lt;BR&gt;&lt;BR&gt;&lt;BR&gt;&lt;BR&gt;Benefit Status=NEF-NTC&lt;BR&gt;Review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AU citizen&lt;BR&gt;Direct Credit details   = Coded&lt;BR&gt;TFN details = Not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AP169" s="157" t="str">
        <f t="shared" si="27"/>
        <v>The purpose of the test is to verify &lt;BR&gt;&lt;BR&gt;&lt;BR&gt;&lt;BR&gt;Benefit Status=REJ-INC&lt;BR&gt;Review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AU citizen&lt;BR&gt;Direct Credit details   = Coded&lt;BR&gt;TFN details = Coded&lt;BR&gt;Secondary Earner income = More than $ 27,613&lt;BR&gt;Home ownership code = Home owner - HOM&lt;BR&gt;&lt;BR&gt;&lt;BR&gt;&lt;B&gt;Child  circumstances&lt;/B&gt;&lt;BR&gt;Number of Child(ren) = 1&lt;BR&gt;Age of Child = &lt;= 5yr&lt;BR&gt;Principal Care Type = Step Parent&lt;BR&gt;Care Percentage = 100% of Customer's care</v>
      </c>
      <c r="AQ169" s="157" t="str">
        <f t="shared" si="27"/>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AR169" s="157" t="str">
        <f t="shared" si="27"/>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AS169" s="157" t="str">
        <f t="shared" si="27"/>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v>
      </c>
      <c r="AT169" s="157" t="str">
        <f t="shared" si="27"/>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AU citizen&lt;BR&gt;Direct Credit details   =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AU169" s="157" t="str">
        <f t="shared" si="27"/>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Permanent Resident Visa Class&lt;BR&gt;Direct Credit details   = Coded Exemption - FNG&lt;BR&gt;TFN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AV169" s="157" t="str">
        <f t="shared" si="27"/>
        <v>The purpose of the test is to verify &lt;BR&gt;&lt;BR&gt;&lt;BR&gt;&lt;BR&gt;Benefit Status=NEF-BAN&lt;BR&gt;Review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Permanent Resident Visa Class&lt;BR&gt;Direct Credit details   = Not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AW169" s="157" t="str">
        <f t="shared" si="27"/>
        <v>The purpose of the test is to verify &lt;BR&gt;&lt;BR&gt;&lt;BR&gt;&lt;BR&gt;Benefit Status=NEF-NTC&lt;BR&gt;Review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Permanent Resident Visa Class&lt;BR&gt;Direct Credit details   = Coded&lt;BR&gt;TFN details = Not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AX169" s="157" t="str">
        <f t="shared" si="27"/>
        <v>The purpose of the test is to verify &lt;BR&gt;&lt;BR&gt;&lt;BR&gt;&lt;BR&gt;Benefit Status=REJ-INC&lt;BR&gt;Review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Permanent Resident Visa Class&lt;BR&gt;Direct Credit details   = Coded&lt;BR&gt;TFN details = Coded&lt;BR&gt;Secondary Earner income = More than $ 27,613&lt;BR&gt;Home ownership code = Home owner - HOM&lt;BR&gt;&lt;BR&gt;&lt;BR&gt;&lt;B&gt;Child  circumstances&lt;/B&gt;&lt;BR&gt;Number of Child(ren) = 1&lt;BR&gt;Age of Child = &lt;= 5yr&lt;BR&gt;Principal Care Type = Adoptive Parent &lt;BR&gt;Care Percentage = 100% of Customer's care</v>
      </c>
      <c r="AY169" s="157" t="str">
        <f t="shared" si="27"/>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Permanent Resident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AZ169" s="157" t="str">
        <f t="shared" si="27"/>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Permanent Resident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BA169" s="157" t="str">
        <f t="shared" si="27"/>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Permanent Resident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BB169" s="157" t="str">
        <f t="shared" si="27"/>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Permanent Resident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v>
      </c>
      <c r="BC169" s="157" t="str">
        <f t="shared" si="27"/>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Permanent Resident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BD169" s="157" t="str">
        <f t="shared" si="27"/>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Spouse/Partner Visa Class&lt;BR&gt;Direct Credit details   = Coded Exemption - FNG&lt;BR&gt;TFN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BE169" s="157" t="str">
        <f t="shared" si="27"/>
        <v>The purpose of the test is to verify &lt;BR&gt;&lt;BR&gt;&lt;BR&gt;&lt;BR&gt;Benefit Status=NEF-BAN&lt;BR&gt;Review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Spouse/Partner Visa Class&lt;BR&gt;Direct Credit details   = Not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BF169" s="157" t="str">
        <f t="shared" si="27"/>
        <v>The purpose of the test is to verify &lt;BR&gt;&lt;BR&gt;&lt;BR&gt;&lt;BR&gt;Benefit Status=NEF-NTC&lt;BR&gt;Review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Spouse/Partner Visa Class&lt;BR&gt;Direct Credit details   = Coded&lt;BR&gt;TFN details = Not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BG169" s="157" t="str">
        <f t="shared" si="27"/>
        <v>The purpose of the test is to verify &lt;BR&gt;&lt;BR&gt;&lt;BR&gt;&lt;BR&gt;Benefit Status=REJ-INC&lt;BR&gt;Review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Spouse/Partner Visa Class&lt;BR&gt;Direct Credit details   = Coded&lt;BR&gt;TFN details = Coded&lt;BR&gt;Secondary Earner income = More than $ 27,613&lt;BR&gt;Home ownership code = Home owner - HOM&lt;BR&gt;&lt;BR&gt;&lt;BR&gt;&lt;B&gt;Child  circumstances&lt;/B&gt;&lt;BR&gt;Number of Child(ren) = 1&lt;BR&gt;Age of Child = &lt;= 5yr&lt;BR&gt;Principal Care Type = Foster carer&lt;BR&gt;Care Percentage = 100% of Customer's care</v>
      </c>
      <c r="BH169" s="157" t="str">
        <f t="shared" si="27"/>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Spouse/Partner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BI169" s="157" t="str">
        <f t="shared" si="27"/>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Spouse/Partner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BJ169" s="157" t="str">
        <f t="shared" si="27"/>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Spouse/Partner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BK169" s="157" t="str">
        <f t="shared" si="27"/>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Spouse/Partner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v>
      </c>
      <c r="BL169" s="157" t="str">
        <f t="shared" si="27"/>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Spouse/Partner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BM169" s="157" t="str">
        <f t="shared" si="27"/>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Temporary Visa Class&lt;BR&gt;Direct Credit details   = Coded Exemption - FNG&lt;BR&gt;TFN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v>
      </c>
      <c r="BN169" s="157" t="str">
        <f t="shared" si="27"/>
        <v>The purpose of the test is to verify &lt;BR&gt;&lt;BR&gt;&lt;BR&gt;&lt;BR&gt;Benefit Status=NEF-BAN&lt;BR&gt;Review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Temporary Visa Class&lt;BR&gt;Direct Credit details   = Not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v>
      </c>
      <c r="BO169" s="157" t="str">
        <f t="shared" si="27"/>
        <v>The purpose of the test is to verify &lt;BR&gt;&lt;BR&gt;&lt;BR&gt;&lt;BR&gt;Benefit Status=NEF-NTC&lt;BR&gt;Review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Temporary Visa Class&lt;BR&gt;Direct Credit details   = Coded&lt;BR&gt;TFN details = Not Coded&lt;BR&gt;Secondary Earner income = Less than $21,499&lt;BR&gt;Home ownership code = Home owner - HOM&lt;BR&gt;&lt;BR&gt;&lt;BR&gt;&lt;B&gt;Child  circumstances&lt;/B&gt;&lt;BR&gt;Number of Child(ren) = 1&lt;BR&gt;Age of Child = &lt;= 5yr&lt;BR&gt;Principal Care Type = Other&lt;BR&gt;Care Percentage = 100% of Customer's care</v>
      </c>
      <c r="BP169" s="157" t="str">
        <f t="shared" si="27"/>
        <v>The purpose of the test is to verify &lt;BR&gt;&lt;BR&gt;&lt;BR&gt;&lt;BR&gt;Benefit Status=REJ-INC&lt;BR&gt;Review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Temporary Visa Class&lt;BR&gt;Direct Credit details   = Coded&lt;BR&gt;TFN details = Coded&lt;BR&gt;Secondary Earner income = More than $ 27,613&lt;BR&gt;Home ownership code = Home owner - HOM&lt;BR&gt;&lt;BR&gt;&lt;BR&gt;&lt;B&gt;Child  circumstances&lt;/B&gt;&lt;BR&gt;Number of Child(ren) = 1&lt;BR&gt;Age of Child = &lt;= 5yr&lt;BR&gt;Principal Care Type = Other&lt;BR&gt;Care Percentage = 100% of Customer's care</v>
      </c>
      <c r="BQ169" s="157" t="str">
        <f t="shared" si="27"/>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Temporary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BR169" s="157" t="str">
        <f t="shared" si="27"/>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Temporary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BS169" s="157" t="str">
        <f t="shared" si="27"/>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Temporary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BT169" s="157" t="str">
        <f t="shared" si="27"/>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Temporary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v>
      </c>
      <c r="BU169" s="157" t="str">
        <f t="shared" si="27"/>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Temporary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BV169" s="157" t="str">
        <f t="shared" si="27"/>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Special Category Visa Class&lt;BR&gt;Direct Credit details   = Coded Exemption - FNG&lt;BR&gt;TFN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BW169" s="157" t="str">
        <f>CONCATENATE("The purpose of the test is to verify ","&lt;BR&gt;", "&lt;BR&gt;",BW190,"&lt;BR&gt;","&lt;BR&gt;"," for below input circumstances",BW162)</f>
        <v>The purpose of the test is to verify &lt;BR&gt;&lt;BR&gt;&lt;BR&gt;&lt;BR&gt;Benefit Status=NEF-BAN&lt;BR&gt;Review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Special Category Visa Class&lt;BR&gt;Direct Credit details   = Not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BX169" s="157" t="str">
        <f t="shared" si="27"/>
        <v>The purpose of the test is to verify &lt;BR&gt;&lt;BR&gt;&lt;BR&gt;&lt;BR&gt;Benefit Status=NEF-NTC&lt;BR&gt;Review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Special Category Visa Class&lt;BR&gt;Direct Credit details   = Coded&lt;BR&gt;TFN details = Not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BY169" s="157" t="str">
        <f t="shared" si="27"/>
        <v>The purpose of the test is to verify &lt;BR&gt;&lt;BR&gt;&lt;BR&gt;&lt;BR&gt;Benefit Status=REJ-INC&lt;BR&gt;Review created on FAL screen=No Review&lt;BR&gt;Customer FTB (A) Status=NULL&lt;BR&gt;Customer FTB (B) Status=NULL&lt;BR&gt;Customer RA Status=N-NULL&lt;BR&gt;Child Eligibility FTB(A)=Y&lt;BR&gt;Child Eligibility FTB(B)=Y&lt;BR&gt;&lt;BR&gt; for below input circumstances&lt;BR&gt;&lt;BR&gt;&lt;B&gt;Customer  circumstances&lt;/B&gt;&lt;BR&gt;Residential Qualification = Special Category Visa Class&lt;BR&gt;Direct Credit details   = Coded&lt;BR&gt;TFN details = Coded&lt;BR&gt;Secondary Earner income = More than $ 27,613&lt;BR&gt;Home ownership code = Home owner - HOM&lt;BR&gt;&lt;BR&gt;&lt;BR&gt;&lt;B&gt;Child  circumstances&lt;/B&gt;&lt;BR&gt;Number of Child(ren) = 1&lt;BR&gt;Age of Child = &lt;= 5yr&lt;BR&gt;Principal Care Type = GrandParent&lt;BR&gt;Care Percentage = 100% of Customer's care</v>
      </c>
      <c r="BZ169" s="157" t="str">
        <f t="shared" si="27"/>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Special Category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CA169" s="157" t="str">
        <f t="shared" si="27"/>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Special Category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CB169" s="157" t="str">
        <f t="shared" si="27"/>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Special Category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CC169" s="157" t="str">
        <f t="shared" si="27"/>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Special Category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v>
      </c>
      <c r="CD169" s="157" t="str">
        <f t="shared" si="27"/>
        <v>The purpose of the test is to verify &lt;BR&gt;&lt;BR&gt;&lt;BR&gt;&lt;BR&gt;Benefit Status=CUR&lt;BR&gt;Review created on FAL screen=No Review&lt;BR&gt;Customer FTB (A) Status=CUR&lt;BR&gt;Customer FTB (B) Status=CUR&lt;BR&gt;Customer RA Status=N-HOM&lt;BR&gt;Child Eligibility FTB(A)=Y&lt;BR&gt;Child Eligibility FTB(B)=Y&lt;BR&gt;&lt;BR&gt; for below input circumstances&lt;BR&gt;&lt;BR&gt;&lt;B&gt;Customer  circumstances&lt;/B&gt;&lt;BR&gt;Residential Qualification = Special Category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CE169" s="157"/>
      <c r="CF169" s="157"/>
      <c r="CG169" s="157"/>
      <c r="CH169" s="157"/>
      <c r="CI169" s="157"/>
      <c r="CJ169" s="157"/>
      <c r="CK169" s="157"/>
      <c r="CL169" s="157"/>
      <c r="CM169" s="157"/>
      <c r="CN169" s="157"/>
      <c r="CO169" s="157"/>
      <c r="CP169" s="157"/>
      <c r="CQ169" s="157"/>
      <c r="CR169" s="157"/>
      <c r="CS169" s="157"/>
      <c r="CT169" s="157"/>
      <c r="CU169" s="157"/>
      <c r="CV169" s="157"/>
      <c r="CW169" s="157"/>
      <c r="CX169" s="157"/>
      <c r="CY169" s="157"/>
      <c r="CZ169" s="157"/>
      <c r="DA169" s="157"/>
      <c r="DB169" s="157"/>
      <c r="DC169" s="157"/>
      <c r="DD169" s="157"/>
      <c r="DE169" s="157"/>
      <c r="DF169" s="157"/>
      <c r="DG169" s="157"/>
      <c r="DH169" s="157"/>
      <c r="DI169" s="157"/>
      <c r="DJ169" s="157"/>
      <c r="DK169" s="157"/>
      <c r="DL169" s="157"/>
      <c r="DM169" s="157"/>
      <c r="DN169" s="157"/>
      <c r="DO169" s="157"/>
      <c r="DP169" s="157"/>
      <c r="DQ169" s="157"/>
      <c r="DR169" s="157"/>
      <c r="DS169" s="157"/>
      <c r="DT169" s="157"/>
      <c r="DU169" s="157"/>
      <c r="DV169" s="157"/>
      <c r="DW169" s="157"/>
      <c r="DX169" s="157"/>
      <c r="DY169" s="157"/>
      <c r="DZ169" s="157"/>
      <c r="EA169" s="157"/>
      <c r="EB169" s="157"/>
      <c r="EC169" s="157"/>
      <c r="ED169" s="157"/>
      <c r="EE169" s="157"/>
      <c r="EF169" s="157"/>
      <c r="EG169" s="157"/>
      <c r="EH169" s="157"/>
      <c r="EI169" s="157"/>
      <c r="EJ169" s="157"/>
      <c r="EK169" s="157"/>
      <c r="EL169" s="157"/>
      <c r="EM169" s="157"/>
      <c r="EN169" s="157"/>
      <c r="EO169" s="157"/>
      <c r="EP169" s="157"/>
      <c r="EQ169" s="157"/>
      <c r="ER169" s="157"/>
      <c r="ES169" s="157"/>
      <c r="ET169" s="157"/>
      <c r="EU169" s="157"/>
      <c r="EV169" s="157"/>
      <c r="EW169" s="157"/>
      <c r="EX169" s="157"/>
      <c r="EY169" s="157"/>
      <c r="EZ169" s="157"/>
      <c r="FA169" s="157"/>
      <c r="FB169" s="157"/>
      <c r="FC169" s="157"/>
      <c r="FD169" s="157"/>
      <c r="FE169" s="157"/>
      <c r="FF169" s="157"/>
      <c r="FG169" s="157"/>
      <c r="FH169" s="157"/>
      <c r="FI169" s="157"/>
      <c r="FJ169" s="157"/>
      <c r="FK169" s="157"/>
      <c r="FL169" s="157"/>
      <c r="FM169" s="157"/>
      <c r="FN169" s="157"/>
      <c r="FO169" s="157"/>
      <c r="FP169" s="157"/>
      <c r="FQ169" s="157"/>
      <c r="FR169" s="157"/>
      <c r="FS169" s="157"/>
      <c r="FT169" s="157"/>
      <c r="FU169" s="157"/>
      <c r="FV169" s="157"/>
      <c r="FW169" s="157"/>
      <c r="FX169" s="157"/>
      <c r="FY169" s="157"/>
      <c r="FZ169" s="157"/>
      <c r="GA169" s="157"/>
      <c r="GB169" s="157"/>
      <c r="GC169" s="157"/>
      <c r="GD169" s="157"/>
      <c r="GE169" s="157"/>
      <c r="GF169" s="157"/>
      <c r="GG169" s="157"/>
      <c r="GH169" s="157"/>
      <c r="GI169" s="157"/>
      <c r="GJ169" s="157"/>
      <c r="GK169" s="157"/>
      <c r="GL169" s="157"/>
      <c r="GM169" s="157"/>
      <c r="GN169" s="157"/>
      <c r="GO169" s="157"/>
      <c r="GP169" s="157"/>
      <c r="GQ169" s="157"/>
      <c r="GR169" s="157"/>
      <c r="GS169" s="157"/>
      <c r="GT169" s="157"/>
      <c r="GU169" s="157"/>
      <c r="GV169" s="157"/>
      <c r="GW169" s="157"/>
      <c r="GX169" s="157"/>
      <c r="GY169" s="157"/>
      <c r="GZ169" s="157"/>
      <c r="HA169" s="157"/>
      <c r="HB169" s="157"/>
      <c r="HC169" s="157"/>
      <c r="HD169" s="157"/>
      <c r="HE169" s="157"/>
      <c r="HF169" s="157"/>
      <c r="HG169" s="157"/>
      <c r="HH169" s="157"/>
      <c r="HI169" s="157"/>
      <c r="HJ169" s="157"/>
      <c r="HK169" s="157"/>
      <c r="HL169" s="157"/>
      <c r="HM169" s="157"/>
      <c r="HN169" s="157"/>
      <c r="HO169" s="157"/>
      <c r="HP169" s="157"/>
      <c r="HQ169" s="157"/>
      <c r="HR169" s="157"/>
      <c r="HS169" s="157"/>
      <c r="HT169" s="157"/>
      <c r="HU169" s="157"/>
      <c r="HV169" s="157"/>
      <c r="HW169" s="157"/>
      <c r="HX169" s="157"/>
      <c r="HY169" s="157"/>
      <c r="HZ169" s="157"/>
      <c r="IA169" s="157"/>
      <c r="IB169" s="157"/>
      <c r="IC169" s="157"/>
      <c r="ID169" s="157"/>
      <c r="IE169" s="157"/>
      <c r="IF169" s="157"/>
      <c r="IG169" s="157"/>
      <c r="IH169" s="157"/>
      <c r="II169" s="157"/>
      <c r="IJ169" s="157"/>
      <c r="IK169" s="157"/>
      <c r="IL169" s="157"/>
      <c r="IM169" s="157"/>
      <c r="IN169" s="157"/>
      <c r="IO169" s="157"/>
    </row>
    <row r="171" spans="2:249" ht="25.5">
      <c r="B171" s="139" t="s">
        <v>472</v>
      </c>
      <c r="C171" s="139" t="s">
        <v>474</v>
      </c>
      <c r="D171" s="122"/>
      <c r="E171" s="122"/>
      <c r="F171" s="122"/>
      <c r="G171" s="122"/>
      <c r="H171" s="122"/>
      <c r="I171" s="122"/>
      <c r="J171" s="122"/>
      <c r="K171" s="122"/>
      <c r="L171" s="122"/>
      <c r="M171" s="122"/>
      <c r="N171" s="122"/>
      <c r="O171" s="122"/>
      <c r="P171" s="122"/>
      <c r="Q171" s="122"/>
      <c r="R171" s="122"/>
      <c r="S171" s="122"/>
      <c r="T171" s="122"/>
      <c r="U171" s="122"/>
      <c r="V171" s="122"/>
      <c r="W171" s="122"/>
      <c r="X171" s="122"/>
      <c r="Y171" s="122"/>
      <c r="Z171" s="122"/>
      <c r="AA171" s="122"/>
      <c r="AB171" s="122"/>
      <c r="AC171" s="122"/>
      <c r="AD171" s="122"/>
      <c r="AE171" s="122"/>
      <c r="AF171" s="122"/>
      <c r="AG171" s="122"/>
      <c r="AH171" s="122"/>
      <c r="AI171" s="122"/>
      <c r="AJ171" s="122"/>
      <c r="AK171" s="122"/>
      <c r="AL171" s="122"/>
      <c r="AM171" s="122"/>
      <c r="AN171" s="122"/>
      <c r="AO171" s="122"/>
      <c r="AP171" s="122"/>
      <c r="AQ171" s="122"/>
      <c r="AR171" s="122"/>
      <c r="AS171" s="122"/>
      <c r="AT171" s="122"/>
      <c r="AU171" s="122"/>
      <c r="AV171" s="122"/>
      <c r="AW171" s="122"/>
      <c r="AX171" s="122"/>
      <c r="AY171" s="122"/>
      <c r="AZ171" s="122"/>
      <c r="BA171" s="122"/>
      <c r="BB171" s="122"/>
      <c r="BC171" s="122"/>
      <c r="BD171" s="122"/>
      <c r="BE171" s="122"/>
      <c r="BF171" s="122"/>
      <c r="BG171" s="122"/>
      <c r="BH171" s="122"/>
      <c r="BI171" s="122"/>
      <c r="BJ171" s="122"/>
      <c r="BK171" s="122"/>
      <c r="BL171" s="122"/>
      <c r="BM171" s="122"/>
      <c r="BN171" s="122"/>
      <c r="BO171" s="122"/>
      <c r="BP171" s="122"/>
      <c r="BQ171" s="122"/>
      <c r="BR171" s="122"/>
      <c r="BS171" s="122"/>
      <c r="BT171" s="122"/>
      <c r="BU171" s="122"/>
      <c r="BV171" s="122"/>
      <c r="BW171" s="122"/>
      <c r="BX171" s="122"/>
      <c r="BY171" s="122"/>
      <c r="BZ171" s="122"/>
      <c r="CA171" s="122"/>
      <c r="CB171" s="122"/>
      <c r="CC171" s="122"/>
      <c r="CD171" s="122"/>
      <c r="CE171" s="122"/>
      <c r="CF171" s="122"/>
      <c r="CG171" s="122"/>
      <c r="CH171" s="122"/>
      <c r="CI171" s="122"/>
      <c r="CJ171" s="122"/>
      <c r="CK171" s="122"/>
      <c r="CL171" s="122"/>
      <c r="CM171" s="122"/>
      <c r="CN171" s="122"/>
      <c r="CO171" s="122"/>
      <c r="CP171" s="122"/>
      <c r="CQ171" s="122"/>
      <c r="CR171" s="122"/>
      <c r="CS171" s="122"/>
      <c r="CT171" s="122"/>
      <c r="CU171" s="122"/>
      <c r="CV171" s="122"/>
      <c r="CW171" s="122"/>
      <c r="CX171" s="122"/>
      <c r="CY171" s="122"/>
      <c r="CZ171" s="122"/>
      <c r="DA171" s="122"/>
      <c r="DB171" s="122"/>
      <c r="DC171" s="122"/>
      <c r="DD171" s="122"/>
      <c r="DE171" s="122"/>
      <c r="DF171" s="122"/>
      <c r="DG171" s="122"/>
      <c r="DH171" s="122"/>
      <c r="DI171" s="122"/>
      <c r="DJ171" s="122"/>
      <c r="DK171" s="122"/>
      <c r="DL171" s="122"/>
      <c r="DM171" s="122"/>
      <c r="DN171" s="122"/>
      <c r="DO171" s="122"/>
      <c r="DP171" s="122"/>
      <c r="DQ171" s="122"/>
      <c r="DR171" s="122"/>
      <c r="DS171" s="122"/>
      <c r="DT171" s="122"/>
      <c r="DU171" s="122"/>
      <c r="DV171" s="122"/>
      <c r="DW171" s="122"/>
      <c r="DX171" s="122"/>
      <c r="DY171" s="122"/>
      <c r="DZ171" s="122"/>
      <c r="EA171" s="122"/>
      <c r="EB171" s="122"/>
      <c r="EC171" s="122"/>
      <c r="ED171" s="122"/>
      <c r="EE171" s="122"/>
      <c r="EF171" s="122"/>
      <c r="EG171" s="122"/>
      <c r="EH171" s="122"/>
      <c r="EI171" s="122"/>
      <c r="EJ171" s="122"/>
      <c r="EK171" s="122"/>
      <c r="EL171" s="122"/>
      <c r="EM171" s="122"/>
      <c r="EN171" s="122"/>
      <c r="EO171" s="122"/>
      <c r="EP171" s="122"/>
      <c r="EQ171" s="122"/>
      <c r="ER171" s="122"/>
      <c r="ES171" s="122"/>
      <c r="ET171" s="122"/>
      <c r="EU171" s="122"/>
      <c r="EV171" s="122"/>
      <c r="EW171" s="122"/>
      <c r="EX171" s="122"/>
      <c r="EY171" s="122"/>
      <c r="EZ171" s="122"/>
      <c r="FA171" s="122"/>
      <c r="FB171" s="122"/>
      <c r="FC171" s="122"/>
      <c r="FD171" s="122"/>
      <c r="FE171" s="122"/>
      <c r="FF171" s="122"/>
      <c r="FG171" s="122"/>
      <c r="FH171" s="122"/>
      <c r="FI171" s="122"/>
      <c r="FJ171" s="122"/>
      <c r="FK171" s="122"/>
      <c r="FL171" s="122"/>
      <c r="FM171" s="122"/>
      <c r="FN171" s="122"/>
      <c r="FO171" s="122"/>
      <c r="FP171" s="122"/>
      <c r="FQ171" s="122"/>
      <c r="FR171" s="122"/>
      <c r="FS171" s="122"/>
      <c r="FT171" s="122"/>
      <c r="FU171" s="122"/>
      <c r="FV171" s="122"/>
      <c r="FW171" s="122"/>
      <c r="FX171" s="122"/>
      <c r="FY171" s="122"/>
      <c r="FZ171" s="122"/>
      <c r="GA171" s="122"/>
      <c r="GB171" s="122"/>
      <c r="GC171" s="122"/>
      <c r="GD171" s="122"/>
      <c r="GE171" s="122"/>
      <c r="GF171" s="122"/>
      <c r="GG171" s="122"/>
      <c r="GH171" s="122"/>
      <c r="GI171" s="122"/>
      <c r="GJ171" s="122"/>
      <c r="GK171" s="122"/>
      <c r="GL171" s="122"/>
      <c r="GM171" s="122"/>
      <c r="GN171" s="122"/>
      <c r="GO171" s="122"/>
      <c r="GP171" s="122"/>
      <c r="GQ171" s="122"/>
      <c r="GR171" s="122"/>
      <c r="GS171" s="122"/>
      <c r="GT171" s="122"/>
      <c r="GU171" s="122"/>
      <c r="GV171" s="122"/>
      <c r="GW171" s="122"/>
      <c r="GX171" s="122"/>
      <c r="GY171" s="122"/>
      <c r="GZ171" s="122"/>
      <c r="HA171" s="122"/>
      <c r="HB171" s="122"/>
      <c r="HC171" s="122"/>
      <c r="HD171" s="122"/>
      <c r="HE171" s="122"/>
      <c r="HF171" s="122"/>
      <c r="HG171" s="122"/>
      <c r="HH171" s="122"/>
      <c r="HI171" s="122"/>
      <c r="HJ171" s="122"/>
      <c r="HK171" s="122"/>
      <c r="HL171" s="122"/>
      <c r="HM171" s="122"/>
      <c r="HN171" s="122"/>
      <c r="HO171" s="122"/>
      <c r="HP171" s="122"/>
      <c r="HQ171" s="122"/>
      <c r="HR171" s="122"/>
      <c r="HS171" s="122"/>
      <c r="HT171" s="122"/>
      <c r="HU171" s="122"/>
      <c r="HV171" s="122"/>
      <c r="HW171" s="122"/>
      <c r="HX171" s="122"/>
      <c r="HY171" s="122"/>
      <c r="HZ171" s="122"/>
      <c r="IA171" s="122"/>
      <c r="IB171" s="122"/>
      <c r="IC171" s="122"/>
      <c r="ID171" s="122"/>
      <c r="IE171" s="122"/>
      <c r="IF171" s="122"/>
      <c r="IG171" s="122"/>
      <c r="IH171" s="122"/>
      <c r="II171" s="122"/>
      <c r="IJ171" s="122"/>
      <c r="IK171" s="122"/>
      <c r="IL171" s="122"/>
      <c r="IM171" s="122"/>
      <c r="IN171" s="122"/>
      <c r="IO171" s="122"/>
    </row>
    <row r="172" spans="2:249">
      <c r="B172" s="140" t="s">
        <v>462</v>
      </c>
      <c r="C172" s="140"/>
      <c r="D172" s="125"/>
      <c r="E172" s="125"/>
      <c r="F172" s="125"/>
      <c r="G172" s="125"/>
      <c r="H172" s="125"/>
      <c r="I172" s="125"/>
      <c r="J172" s="125"/>
      <c r="K172" s="125"/>
      <c r="L172" s="125"/>
      <c r="M172" s="125"/>
      <c r="N172" s="125"/>
      <c r="O172" s="125"/>
      <c r="P172" s="125"/>
      <c r="Q172" s="125"/>
      <c r="R172" s="125"/>
      <c r="S172" s="125"/>
      <c r="T172" s="125"/>
      <c r="U172" s="125"/>
      <c r="V172" s="125"/>
      <c r="W172" s="125"/>
      <c r="X172" s="125"/>
      <c r="Y172" s="125"/>
      <c r="Z172" s="125"/>
      <c r="AA172" s="125"/>
      <c r="AB172" s="125"/>
      <c r="AC172" s="125"/>
      <c r="AD172" s="125"/>
      <c r="AE172" s="125"/>
      <c r="AF172" s="125"/>
      <c r="AG172" s="125"/>
      <c r="AH172" s="125"/>
      <c r="AI172" s="125"/>
      <c r="AJ172" s="125"/>
      <c r="AK172" s="125"/>
      <c r="AL172" s="125"/>
      <c r="AM172" s="125"/>
      <c r="AN172" s="125"/>
      <c r="AO172" s="125"/>
      <c r="AP172" s="125"/>
      <c r="AQ172" s="125"/>
      <c r="AR172" s="125"/>
      <c r="AS172" s="125"/>
      <c r="AT172" s="125"/>
      <c r="AU172" s="125"/>
      <c r="AV172" s="125"/>
      <c r="AW172" s="125"/>
      <c r="AX172" s="125"/>
      <c r="AY172" s="125"/>
      <c r="AZ172" s="125"/>
      <c r="BA172" s="125"/>
      <c r="BB172" s="125"/>
      <c r="BC172" s="125"/>
      <c r="BD172" s="125"/>
      <c r="BE172" s="125"/>
      <c r="BF172" s="125"/>
      <c r="BG172" s="125"/>
      <c r="BH172" s="125"/>
      <c r="BI172" s="125"/>
      <c r="BJ172" s="125"/>
      <c r="BK172" s="125"/>
      <c r="BL172" s="125"/>
      <c r="BM172" s="125"/>
      <c r="BN172" s="125"/>
      <c r="BO172" s="125"/>
      <c r="BP172" s="125"/>
      <c r="BQ172" s="125"/>
      <c r="BR172" s="125"/>
      <c r="BS172" s="125"/>
      <c r="BT172" s="125"/>
      <c r="BU172" s="125"/>
      <c r="BV172" s="125"/>
      <c r="BW172" s="125"/>
      <c r="BX172" s="125"/>
      <c r="BY172" s="125"/>
      <c r="BZ172" s="125"/>
      <c r="CA172" s="125"/>
      <c r="CB172" s="125"/>
      <c r="CC172" s="125"/>
      <c r="CD172" s="125"/>
      <c r="CE172" s="125"/>
      <c r="CF172" s="125"/>
      <c r="CG172" s="125"/>
      <c r="CH172" s="125"/>
      <c r="CI172" s="125"/>
      <c r="CJ172" s="125"/>
      <c r="CK172" s="125"/>
      <c r="CL172" s="125"/>
      <c r="CM172" s="125"/>
      <c r="CN172" s="125"/>
      <c r="CO172" s="125"/>
      <c r="CP172" s="125"/>
      <c r="CQ172" s="125"/>
      <c r="CR172" s="125"/>
      <c r="CS172" s="125"/>
      <c r="CT172" s="125"/>
      <c r="CU172" s="125"/>
      <c r="CV172" s="125"/>
      <c r="CW172" s="125"/>
      <c r="CX172" s="125"/>
      <c r="CY172" s="125"/>
      <c r="CZ172" s="125"/>
      <c r="DA172" s="125"/>
      <c r="DB172" s="125"/>
      <c r="DC172" s="125"/>
      <c r="DD172" s="125"/>
      <c r="DE172" s="125"/>
      <c r="DF172" s="125"/>
      <c r="DG172" s="125"/>
      <c r="DH172" s="125"/>
      <c r="DI172" s="125"/>
      <c r="DJ172" s="125"/>
      <c r="DK172" s="125"/>
      <c r="DL172" s="125"/>
      <c r="DM172" s="125"/>
      <c r="DN172" s="125"/>
      <c r="DO172" s="125"/>
      <c r="DP172" s="125"/>
      <c r="DQ172" s="125"/>
      <c r="DR172" s="125"/>
      <c r="DS172" s="125"/>
      <c r="DT172" s="125"/>
      <c r="DU172" s="125"/>
      <c r="DV172" s="125"/>
      <c r="DW172" s="125"/>
      <c r="DX172" s="125"/>
      <c r="DY172" s="125"/>
      <c r="DZ172" s="125"/>
      <c r="EA172" s="125"/>
      <c r="EB172" s="125"/>
      <c r="EC172" s="125"/>
      <c r="ED172" s="125"/>
      <c r="EE172" s="125"/>
      <c r="EF172" s="125"/>
      <c r="EG172" s="125"/>
      <c r="EH172" s="125"/>
      <c r="EI172" s="125"/>
      <c r="EJ172" s="125"/>
      <c r="EK172" s="125"/>
      <c r="EL172" s="125"/>
      <c r="EM172" s="125"/>
      <c r="EN172" s="125"/>
      <c r="EO172" s="125"/>
      <c r="EP172" s="125"/>
      <c r="EQ172" s="125"/>
      <c r="ER172" s="125"/>
      <c r="ES172" s="125"/>
      <c r="ET172" s="125"/>
      <c r="EU172" s="125"/>
      <c r="EV172" s="125"/>
      <c r="EW172" s="125"/>
      <c r="EX172" s="125"/>
      <c r="EY172" s="125"/>
      <c r="EZ172" s="125"/>
      <c r="FA172" s="125"/>
      <c r="FB172" s="125"/>
      <c r="FC172" s="125"/>
      <c r="FD172" s="125"/>
      <c r="FE172" s="125"/>
      <c r="FF172" s="125"/>
      <c r="FG172" s="125"/>
      <c r="FH172" s="125"/>
      <c r="FI172" s="125"/>
      <c r="FJ172" s="125"/>
      <c r="FK172" s="125"/>
      <c r="FL172" s="125"/>
      <c r="FM172" s="125"/>
      <c r="FN172" s="125"/>
      <c r="FO172" s="125"/>
      <c r="FP172" s="125"/>
      <c r="FQ172" s="125"/>
      <c r="FR172" s="125"/>
      <c r="FS172" s="125"/>
      <c r="FT172" s="125"/>
      <c r="FU172" s="125"/>
      <c r="FV172" s="125"/>
      <c r="FW172" s="125"/>
      <c r="FX172" s="125"/>
      <c r="FY172" s="125"/>
      <c r="FZ172" s="125"/>
      <c r="GA172" s="125"/>
      <c r="GB172" s="125"/>
      <c r="GC172" s="125"/>
      <c r="GD172" s="125"/>
      <c r="GE172" s="125"/>
      <c r="GF172" s="125"/>
      <c r="GG172" s="125"/>
      <c r="GH172" s="125"/>
      <c r="GI172" s="125"/>
      <c r="GJ172" s="125"/>
      <c r="GK172" s="125"/>
      <c r="GL172" s="125"/>
      <c r="GM172" s="125"/>
      <c r="GN172" s="125"/>
      <c r="GO172" s="125"/>
      <c r="GP172" s="125"/>
      <c r="GQ172" s="125"/>
      <c r="GR172" s="125"/>
      <c r="GS172" s="125"/>
      <c r="GT172" s="125"/>
      <c r="GU172" s="125"/>
      <c r="GV172" s="125"/>
      <c r="GW172" s="125"/>
      <c r="GX172" s="125"/>
      <c r="GY172" s="125"/>
      <c r="GZ172" s="125"/>
      <c r="HA172" s="125"/>
      <c r="HB172" s="125"/>
      <c r="HC172" s="125"/>
      <c r="HD172" s="125"/>
      <c r="HE172" s="125"/>
      <c r="HF172" s="125"/>
      <c r="HG172" s="125"/>
      <c r="HH172" s="125"/>
      <c r="HI172" s="125"/>
      <c r="HJ172" s="125"/>
      <c r="HK172" s="125"/>
      <c r="HL172" s="125"/>
      <c r="HM172" s="125"/>
      <c r="HN172" s="125"/>
      <c r="HO172" s="125"/>
      <c r="HP172" s="125"/>
      <c r="HQ172" s="125"/>
      <c r="HR172" s="125"/>
      <c r="HS172" s="125"/>
      <c r="HT172" s="125"/>
      <c r="HU172" s="125"/>
      <c r="HV172" s="125"/>
      <c r="HW172" s="125"/>
      <c r="HX172" s="125"/>
      <c r="HY172" s="125"/>
      <c r="HZ172" s="125"/>
      <c r="IA172" s="125"/>
      <c r="IB172" s="125"/>
      <c r="IC172" s="125"/>
      <c r="ID172" s="125"/>
      <c r="IE172" s="125"/>
      <c r="IF172" s="125"/>
      <c r="IG172" s="125"/>
      <c r="IH172" s="125"/>
      <c r="II172" s="125"/>
      <c r="IJ172" s="125"/>
      <c r="IK172" s="125"/>
      <c r="IL172" s="125"/>
      <c r="IM172" s="125"/>
      <c r="IN172" s="125"/>
      <c r="IO172" s="125"/>
    </row>
    <row r="173" spans="2:249">
      <c r="B173" s="142"/>
      <c r="C173" s="143"/>
      <c r="D173" s="107"/>
      <c r="E173" s="107"/>
      <c r="F173" s="107"/>
      <c r="G173" s="107"/>
      <c r="H173" s="107"/>
      <c r="I173" s="107"/>
      <c r="J173" s="107"/>
      <c r="K173" s="107"/>
      <c r="L173" s="107"/>
      <c r="M173" s="107"/>
      <c r="N173" s="107"/>
      <c r="O173" s="107"/>
      <c r="P173" s="107"/>
      <c r="Q173" s="107"/>
      <c r="R173" s="107"/>
      <c r="S173" s="107"/>
      <c r="T173" s="107"/>
      <c r="U173" s="107"/>
      <c r="V173" s="107"/>
      <c r="W173" s="107"/>
      <c r="X173" s="107"/>
      <c r="Y173" s="107"/>
      <c r="Z173" s="107"/>
      <c r="AA173" s="107"/>
      <c r="AB173" s="107"/>
      <c r="AC173" s="107"/>
      <c r="AD173" s="107"/>
      <c r="AE173" s="107"/>
      <c r="AF173" s="107"/>
      <c r="AG173" s="107"/>
      <c r="AH173" s="107"/>
      <c r="AI173" s="107"/>
      <c r="AJ173" s="107"/>
      <c r="AK173" s="107"/>
      <c r="AL173" s="107"/>
      <c r="AM173" s="107"/>
      <c r="AN173" s="107"/>
      <c r="AO173" s="107"/>
      <c r="AP173" s="107"/>
      <c r="AQ173" s="107"/>
      <c r="AR173" s="107"/>
      <c r="AS173" s="107"/>
      <c r="AT173" s="107"/>
      <c r="AU173" s="107"/>
      <c r="AV173" s="107"/>
      <c r="AW173" s="107"/>
      <c r="AX173" s="107"/>
      <c r="AY173" s="107"/>
      <c r="AZ173" s="107"/>
      <c r="BA173" s="107"/>
      <c r="BB173" s="107"/>
      <c r="BC173" s="107"/>
      <c r="BD173" s="107"/>
      <c r="BE173" s="107"/>
      <c r="BF173" s="107"/>
      <c r="BG173" s="107"/>
      <c r="BH173" s="107"/>
      <c r="BI173" s="107"/>
      <c r="BJ173" s="107"/>
      <c r="BK173" s="107"/>
      <c r="BL173" s="107"/>
      <c r="BM173" s="107"/>
      <c r="BN173" s="107"/>
      <c r="BO173" s="107"/>
      <c r="BP173" s="107"/>
      <c r="BQ173" s="107"/>
      <c r="BR173" s="107"/>
      <c r="BS173" s="107"/>
      <c r="BT173" s="107"/>
      <c r="BU173" s="107"/>
      <c r="BV173" s="107"/>
      <c r="BW173" s="107"/>
      <c r="BX173" s="107"/>
      <c r="BY173" s="107"/>
      <c r="BZ173" s="107"/>
      <c r="CA173" s="107"/>
      <c r="CB173" s="107"/>
      <c r="CC173" s="107"/>
      <c r="CD173" s="107"/>
      <c r="CE173" s="107"/>
      <c r="CF173" s="107"/>
      <c r="CG173" s="107"/>
      <c r="CH173" s="107"/>
      <c r="CI173" s="107"/>
      <c r="CJ173" s="107"/>
      <c r="CK173" s="107"/>
      <c r="CL173" s="107"/>
      <c r="CM173" s="107"/>
      <c r="CN173" s="107"/>
      <c r="CO173" s="107"/>
      <c r="CP173" s="107"/>
      <c r="CQ173" s="107"/>
      <c r="CR173" s="107"/>
      <c r="CS173" s="107"/>
      <c r="CT173" s="107"/>
      <c r="CU173" s="107"/>
      <c r="CV173" s="107"/>
      <c r="CW173" s="107"/>
      <c r="CX173" s="107"/>
      <c r="CY173" s="107"/>
      <c r="CZ173" s="107"/>
      <c r="DA173" s="107"/>
      <c r="DB173" s="107"/>
      <c r="DC173" s="107"/>
      <c r="DD173" s="107"/>
      <c r="DE173" s="107"/>
      <c r="DF173" s="107"/>
      <c r="DG173" s="107"/>
      <c r="DH173" s="107"/>
      <c r="DI173" s="107"/>
      <c r="DJ173" s="107"/>
      <c r="DK173" s="107"/>
      <c r="DL173" s="107"/>
      <c r="DM173" s="107"/>
      <c r="DN173" s="107"/>
      <c r="DO173" s="107"/>
      <c r="DP173" s="107"/>
      <c r="DQ173" s="107"/>
      <c r="DR173" s="107"/>
      <c r="DS173" s="107"/>
      <c r="DT173" s="107"/>
      <c r="DU173" s="107"/>
      <c r="DV173" s="107"/>
      <c r="DW173" s="107"/>
      <c r="DX173" s="107"/>
      <c r="DY173" s="107"/>
      <c r="DZ173" s="107"/>
      <c r="EA173" s="107"/>
      <c r="EB173" s="107"/>
      <c r="EC173" s="107"/>
      <c r="ED173" s="107"/>
      <c r="EE173" s="107"/>
      <c r="EF173" s="107"/>
      <c r="EG173" s="107"/>
      <c r="EH173" s="107"/>
      <c r="EI173" s="107"/>
      <c r="EJ173" s="107"/>
      <c r="EK173" s="107"/>
      <c r="EL173" s="107"/>
      <c r="EM173" s="107"/>
      <c r="EN173" s="107"/>
      <c r="EO173" s="107"/>
      <c r="EP173" s="107"/>
      <c r="EQ173" s="107"/>
      <c r="ER173" s="107"/>
      <c r="ES173" s="107"/>
      <c r="ET173" s="107"/>
      <c r="EU173" s="107"/>
      <c r="EV173" s="107"/>
      <c r="EW173" s="107"/>
      <c r="EX173" s="107"/>
      <c r="EY173" s="107"/>
      <c r="EZ173" s="107"/>
      <c r="FA173" s="107"/>
      <c r="FB173" s="107"/>
      <c r="FC173" s="107"/>
      <c r="FD173" s="107"/>
      <c r="FE173" s="107"/>
      <c r="FF173" s="107"/>
      <c r="FG173" s="107"/>
      <c r="FH173" s="107"/>
      <c r="FI173" s="107"/>
      <c r="FJ173" s="107"/>
      <c r="FK173" s="107"/>
      <c r="FL173" s="107"/>
      <c r="FM173" s="107"/>
      <c r="FN173" s="107"/>
      <c r="FO173" s="107"/>
      <c r="FP173" s="107"/>
      <c r="FQ173" s="107"/>
      <c r="FR173" s="107"/>
      <c r="FS173" s="107"/>
      <c r="FT173" s="107"/>
      <c r="FU173" s="107"/>
      <c r="FV173" s="107"/>
      <c r="FW173" s="107"/>
      <c r="FX173" s="107"/>
      <c r="FY173" s="107"/>
      <c r="FZ173" s="107"/>
      <c r="GA173" s="107"/>
      <c r="GB173" s="107"/>
      <c r="GC173" s="107"/>
      <c r="GD173" s="107"/>
      <c r="GE173" s="107"/>
      <c r="GF173" s="107"/>
      <c r="GG173" s="107"/>
      <c r="GH173" s="107"/>
      <c r="GI173" s="107"/>
      <c r="GJ173" s="107"/>
      <c r="GK173" s="107"/>
      <c r="GL173" s="107"/>
      <c r="GM173" s="107"/>
      <c r="GN173" s="107"/>
      <c r="GO173" s="107"/>
      <c r="GP173" s="107"/>
      <c r="GQ173" s="107"/>
      <c r="GR173" s="107"/>
      <c r="GS173" s="107"/>
      <c r="GT173" s="107"/>
      <c r="GU173" s="107"/>
      <c r="GV173" s="107"/>
      <c r="GW173" s="107"/>
      <c r="GX173" s="107"/>
      <c r="GY173" s="107"/>
      <c r="GZ173" s="107"/>
      <c r="HA173" s="107"/>
      <c r="HB173" s="107"/>
      <c r="HC173" s="107"/>
      <c r="HD173" s="107"/>
      <c r="HE173" s="107"/>
      <c r="HF173" s="107"/>
      <c r="HG173" s="107"/>
      <c r="HH173" s="107"/>
      <c r="HI173" s="107"/>
      <c r="HJ173" s="107"/>
      <c r="HK173" s="107"/>
      <c r="HL173" s="107"/>
      <c r="HM173" s="107"/>
      <c r="HN173" s="107"/>
      <c r="HO173" s="107"/>
      <c r="HP173" s="107"/>
      <c r="HQ173" s="107"/>
      <c r="HR173" s="107"/>
      <c r="HS173" s="107"/>
      <c r="HT173" s="107"/>
      <c r="HU173" s="107"/>
      <c r="HV173" s="107"/>
      <c r="HW173" s="107"/>
      <c r="HX173" s="107"/>
      <c r="HY173" s="107"/>
      <c r="HZ173" s="107"/>
      <c r="IA173" s="107"/>
      <c r="IB173" s="107"/>
      <c r="IC173" s="107"/>
      <c r="ID173" s="107"/>
      <c r="IE173" s="107"/>
      <c r="IF173" s="107"/>
      <c r="IG173" s="107"/>
      <c r="IH173" s="107"/>
      <c r="II173" s="107"/>
      <c r="IJ173" s="107"/>
      <c r="IK173" s="107"/>
      <c r="IL173" s="107"/>
      <c r="IM173" s="107"/>
      <c r="IN173" s="107"/>
      <c r="IO173" s="107"/>
    </row>
    <row r="174" spans="2:249">
      <c r="B174" s="140" t="s">
        <v>477</v>
      </c>
      <c r="C174" s="140"/>
      <c r="D174" s="125"/>
      <c r="E174" s="125"/>
      <c r="F174" s="125"/>
      <c r="G174" s="125"/>
      <c r="H174" s="125"/>
      <c r="I174" s="125"/>
      <c r="J174" s="125"/>
      <c r="K174" s="125"/>
      <c r="L174" s="125"/>
      <c r="M174" s="125"/>
      <c r="N174" s="125"/>
      <c r="O174" s="125"/>
      <c r="P174" s="125"/>
      <c r="Q174" s="125"/>
      <c r="R174" s="125"/>
      <c r="S174" s="125"/>
      <c r="T174" s="125"/>
      <c r="U174" s="125"/>
      <c r="V174" s="125"/>
      <c r="W174" s="125"/>
      <c r="X174" s="125"/>
      <c r="Y174" s="125"/>
      <c r="Z174" s="125"/>
      <c r="AA174" s="125"/>
      <c r="AB174" s="125"/>
      <c r="AC174" s="125"/>
      <c r="AD174" s="125"/>
      <c r="AE174" s="125"/>
      <c r="AF174" s="125"/>
      <c r="AG174" s="125"/>
      <c r="AH174" s="125"/>
      <c r="AI174" s="125"/>
      <c r="AJ174" s="125"/>
      <c r="AK174" s="125"/>
      <c r="AL174" s="125"/>
      <c r="AM174" s="125"/>
      <c r="AN174" s="125"/>
      <c r="AO174" s="125"/>
      <c r="AP174" s="125"/>
      <c r="AQ174" s="125"/>
      <c r="AR174" s="125"/>
      <c r="AS174" s="125"/>
      <c r="AT174" s="125"/>
      <c r="AU174" s="125"/>
      <c r="AV174" s="125"/>
      <c r="AW174" s="125"/>
      <c r="AX174" s="125"/>
      <c r="AY174" s="125"/>
      <c r="AZ174" s="125"/>
      <c r="BA174" s="125"/>
      <c r="BB174" s="125"/>
      <c r="BC174" s="125"/>
      <c r="BD174" s="125"/>
      <c r="BE174" s="125"/>
      <c r="BF174" s="125"/>
      <c r="BG174" s="125"/>
      <c r="BH174" s="125"/>
      <c r="BI174" s="125"/>
      <c r="BJ174" s="125"/>
      <c r="BK174" s="125"/>
      <c r="BL174" s="125"/>
      <c r="BM174" s="125"/>
      <c r="BN174" s="125"/>
      <c r="BO174" s="125"/>
      <c r="BP174" s="125"/>
      <c r="BQ174" s="125"/>
      <c r="BR174" s="125"/>
      <c r="BS174" s="125"/>
      <c r="BT174" s="125"/>
      <c r="BU174" s="125"/>
      <c r="BV174" s="125"/>
      <c r="BW174" s="125"/>
      <c r="BX174" s="125"/>
      <c r="BY174" s="125"/>
      <c r="BZ174" s="125"/>
      <c r="CA174" s="125"/>
      <c r="CB174" s="125"/>
      <c r="CC174" s="125"/>
      <c r="CD174" s="125"/>
      <c r="CE174" s="125"/>
      <c r="CF174" s="125"/>
      <c r="CG174" s="125"/>
      <c r="CH174" s="125"/>
      <c r="CI174" s="125"/>
      <c r="CJ174" s="125"/>
      <c r="CK174" s="125"/>
      <c r="CL174" s="125"/>
      <c r="CM174" s="125"/>
      <c r="CN174" s="125"/>
      <c r="CO174" s="125"/>
      <c r="CP174" s="125"/>
      <c r="CQ174" s="125"/>
      <c r="CR174" s="125"/>
      <c r="CS174" s="125"/>
      <c r="CT174" s="125"/>
      <c r="CU174" s="125"/>
      <c r="CV174" s="125"/>
      <c r="CW174" s="125"/>
      <c r="CX174" s="125"/>
      <c r="CY174" s="125"/>
      <c r="CZ174" s="125"/>
      <c r="DA174" s="125"/>
      <c r="DB174" s="125"/>
      <c r="DC174" s="125"/>
      <c r="DD174" s="125"/>
      <c r="DE174" s="125"/>
      <c r="DF174" s="125"/>
      <c r="DG174" s="125"/>
      <c r="DH174" s="125"/>
      <c r="DI174" s="125"/>
      <c r="DJ174" s="125"/>
      <c r="DK174" s="125"/>
      <c r="DL174" s="125"/>
      <c r="DM174" s="125"/>
      <c r="DN174" s="125"/>
      <c r="DO174" s="125"/>
      <c r="DP174" s="125"/>
      <c r="DQ174" s="125"/>
      <c r="DR174" s="125"/>
      <c r="DS174" s="125"/>
      <c r="DT174" s="125"/>
      <c r="DU174" s="125"/>
      <c r="DV174" s="125"/>
      <c r="DW174" s="125"/>
      <c r="DX174" s="125"/>
      <c r="DY174" s="125"/>
      <c r="DZ174" s="125"/>
      <c r="EA174" s="125"/>
      <c r="EB174" s="125"/>
      <c r="EC174" s="125"/>
      <c r="ED174" s="125"/>
      <c r="EE174" s="125"/>
      <c r="EF174" s="125"/>
      <c r="EG174" s="125"/>
      <c r="EH174" s="125"/>
      <c r="EI174" s="125"/>
      <c r="EJ174" s="125"/>
      <c r="EK174" s="125"/>
      <c r="EL174" s="125"/>
      <c r="EM174" s="125"/>
      <c r="EN174" s="125"/>
      <c r="EO174" s="125"/>
      <c r="EP174" s="125"/>
      <c r="EQ174" s="125"/>
      <c r="ER174" s="125"/>
      <c r="ES174" s="125"/>
      <c r="ET174" s="125"/>
      <c r="EU174" s="125"/>
      <c r="EV174" s="125"/>
      <c r="EW174" s="125"/>
      <c r="EX174" s="125"/>
      <c r="EY174" s="125"/>
      <c r="EZ174" s="125"/>
      <c r="FA174" s="125"/>
      <c r="FB174" s="125"/>
      <c r="FC174" s="125"/>
      <c r="FD174" s="125"/>
      <c r="FE174" s="125"/>
      <c r="FF174" s="125"/>
      <c r="FG174" s="125"/>
      <c r="FH174" s="125"/>
      <c r="FI174" s="125"/>
      <c r="FJ174" s="125"/>
      <c r="FK174" s="125"/>
      <c r="FL174" s="125"/>
      <c r="FM174" s="125"/>
      <c r="FN174" s="125"/>
      <c r="FO174" s="125"/>
      <c r="FP174" s="125"/>
      <c r="FQ174" s="125"/>
      <c r="FR174" s="125"/>
      <c r="FS174" s="125"/>
      <c r="FT174" s="125"/>
      <c r="FU174" s="125"/>
      <c r="FV174" s="125"/>
      <c r="FW174" s="125"/>
      <c r="FX174" s="125"/>
      <c r="FY174" s="125"/>
      <c r="FZ174" s="125"/>
      <c r="GA174" s="125"/>
      <c r="GB174" s="125"/>
      <c r="GC174" s="125"/>
      <c r="GD174" s="125"/>
      <c r="GE174" s="125"/>
      <c r="GF174" s="125"/>
      <c r="GG174" s="125"/>
      <c r="GH174" s="125"/>
      <c r="GI174" s="125"/>
      <c r="GJ174" s="125"/>
      <c r="GK174" s="125"/>
      <c r="GL174" s="125"/>
      <c r="GM174" s="125"/>
      <c r="GN174" s="125"/>
      <c r="GO174" s="125"/>
      <c r="GP174" s="125"/>
      <c r="GQ174" s="125"/>
      <c r="GR174" s="125"/>
      <c r="GS174" s="125"/>
      <c r="GT174" s="125"/>
      <c r="GU174" s="125"/>
      <c r="GV174" s="125"/>
      <c r="GW174" s="125"/>
      <c r="GX174" s="125"/>
      <c r="GY174" s="125"/>
      <c r="GZ174" s="125"/>
      <c r="HA174" s="125"/>
      <c r="HB174" s="125"/>
      <c r="HC174" s="125"/>
      <c r="HD174" s="125"/>
      <c r="HE174" s="125"/>
      <c r="HF174" s="125"/>
      <c r="HG174" s="125"/>
      <c r="HH174" s="125"/>
      <c r="HI174" s="125"/>
      <c r="HJ174" s="125"/>
      <c r="HK174" s="125"/>
      <c r="HL174" s="125"/>
      <c r="HM174" s="125"/>
      <c r="HN174" s="125"/>
      <c r="HO174" s="125"/>
      <c r="HP174" s="125"/>
      <c r="HQ174" s="125"/>
      <c r="HR174" s="125"/>
      <c r="HS174" s="125"/>
      <c r="HT174" s="125"/>
      <c r="HU174" s="125"/>
      <c r="HV174" s="125"/>
      <c r="HW174" s="125"/>
      <c r="HX174" s="125"/>
      <c r="HY174" s="125"/>
      <c r="HZ174" s="125"/>
      <c r="IA174" s="125"/>
      <c r="IB174" s="125"/>
      <c r="IC174" s="125"/>
      <c r="ID174" s="125"/>
      <c r="IE174" s="125"/>
      <c r="IF174" s="125"/>
      <c r="IG174" s="125"/>
      <c r="IH174" s="125"/>
      <c r="II174" s="125"/>
      <c r="IJ174" s="125"/>
      <c r="IK174" s="125"/>
      <c r="IL174" s="125"/>
      <c r="IM174" s="125"/>
      <c r="IN174" s="125"/>
      <c r="IO174" s="125"/>
    </row>
    <row r="175" spans="2:249">
      <c r="B175" s="142"/>
      <c r="C175" s="141" t="s">
        <v>478</v>
      </c>
      <c r="D175" s="107" t="s">
        <v>592</v>
      </c>
      <c r="E175" s="107" t="s">
        <v>592</v>
      </c>
      <c r="F175" s="107" t="s">
        <v>592</v>
      </c>
      <c r="G175" s="107" t="s">
        <v>592</v>
      </c>
      <c r="H175" s="107" t="s">
        <v>592</v>
      </c>
      <c r="I175" s="107" t="s">
        <v>592</v>
      </c>
      <c r="J175" s="107" t="s">
        <v>592</v>
      </c>
      <c r="K175" s="107" t="s">
        <v>592</v>
      </c>
      <c r="L175" s="107" t="s">
        <v>592</v>
      </c>
      <c r="M175" s="107" t="s">
        <v>592</v>
      </c>
      <c r="N175" s="107" t="s">
        <v>592</v>
      </c>
      <c r="O175" s="107" t="s">
        <v>592</v>
      </c>
      <c r="P175" s="107" t="s">
        <v>592</v>
      </c>
      <c r="Q175" s="107" t="s">
        <v>592</v>
      </c>
      <c r="R175" s="107" t="s">
        <v>592</v>
      </c>
      <c r="S175" s="107" t="s">
        <v>592</v>
      </c>
      <c r="T175" s="107" t="s">
        <v>592</v>
      </c>
      <c r="U175" s="107" t="s">
        <v>592</v>
      </c>
      <c r="V175" s="107" t="s">
        <v>592</v>
      </c>
      <c r="W175" s="107" t="s">
        <v>592</v>
      </c>
      <c r="X175" s="107" t="s">
        <v>592</v>
      </c>
      <c r="Y175" s="107" t="s">
        <v>592</v>
      </c>
      <c r="Z175" s="107" t="s">
        <v>592</v>
      </c>
      <c r="AA175" s="107" t="s">
        <v>592</v>
      </c>
      <c r="AB175" s="107" t="s">
        <v>592</v>
      </c>
      <c r="AC175" s="107" t="s">
        <v>592</v>
      </c>
      <c r="AD175" s="107" t="s">
        <v>592</v>
      </c>
      <c r="AE175" s="107" t="s">
        <v>592</v>
      </c>
      <c r="AF175" s="107" t="s">
        <v>592</v>
      </c>
      <c r="AG175" s="107" t="s">
        <v>592</v>
      </c>
      <c r="AH175" s="107" t="s">
        <v>592</v>
      </c>
      <c r="AI175" s="107" t="s">
        <v>592</v>
      </c>
      <c r="AJ175" s="107" t="s">
        <v>592</v>
      </c>
      <c r="AK175" s="107" t="s">
        <v>592</v>
      </c>
      <c r="AL175" s="107" t="s">
        <v>592</v>
      </c>
      <c r="AM175" s="107" t="s">
        <v>592</v>
      </c>
      <c r="AN175" s="107" t="s">
        <v>592</v>
      </c>
      <c r="AO175" s="107" t="s">
        <v>592</v>
      </c>
      <c r="AP175" s="107" t="s">
        <v>592</v>
      </c>
      <c r="AQ175" s="107" t="s">
        <v>592</v>
      </c>
      <c r="AR175" s="107" t="s">
        <v>592</v>
      </c>
      <c r="AS175" s="107" t="s">
        <v>592</v>
      </c>
      <c r="AT175" s="107" t="s">
        <v>592</v>
      </c>
      <c r="AU175" s="107" t="s">
        <v>592</v>
      </c>
      <c r="AV175" s="107" t="s">
        <v>592</v>
      </c>
      <c r="AW175" s="107" t="s">
        <v>592</v>
      </c>
      <c r="AX175" s="107" t="s">
        <v>592</v>
      </c>
      <c r="AY175" s="107" t="s">
        <v>592</v>
      </c>
      <c r="AZ175" s="107" t="s">
        <v>592</v>
      </c>
      <c r="BA175" s="107" t="s">
        <v>592</v>
      </c>
      <c r="BB175" s="107" t="s">
        <v>592</v>
      </c>
      <c r="BC175" s="107" t="s">
        <v>592</v>
      </c>
      <c r="BD175" s="107" t="s">
        <v>592</v>
      </c>
      <c r="BE175" s="107" t="s">
        <v>592</v>
      </c>
      <c r="BF175" s="107" t="s">
        <v>592</v>
      </c>
      <c r="BG175" s="107" t="s">
        <v>592</v>
      </c>
      <c r="BH175" s="107" t="s">
        <v>592</v>
      </c>
      <c r="BI175" s="107" t="s">
        <v>592</v>
      </c>
      <c r="BJ175" s="107" t="s">
        <v>592</v>
      </c>
      <c r="BK175" s="107" t="s">
        <v>592</v>
      </c>
      <c r="BL175" s="107" t="s">
        <v>592</v>
      </c>
      <c r="BM175" s="107" t="s">
        <v>592</v>
      </c>
      <c r="BN175" s="107" t="s">
        <v>592</v>
      </c>
      <c r="BO175" s="107" t="s">
        <v>592</v>
      </c>
      <c r="BP175" s="107" t="s">
        <v>592</v>
      </c>
      <c r="BQ175" s="107" t="s">
        <v>592</v>
      </c>
      <c r="BR175" s="107" t="s">
        <v>592</v>
      </c>
      <c r="BS175" s="107" t="s">
        <v>592</v>
      </c>
      <c r="BT175" s="107" t="s">
        <v>592</v>
      </c>
      <c r="BU175" s="107" t="s">
        <v>592</v>
      </c>
      <c r="BV175" s="107" t="s">
        <v>592</v>
      </c>
      <c r="BW175" s="107" t="s">
        <v>592</v>
      </c>
      <c r="BX175" s="107" t="s">
        <v>592</v>
      </c>
      <c r="BY175" s="107" t="s">
        <v>592</v>
      </c>
      <c r="BZ175" s="107" t="s">
        <v>592</v>
      </c>
      <c r="CA175" s="107" t="s">
        <v>592</v>
      </c>
      <c r="CB175" s="107" t="s">
        <v>592</v>
      </c>
      <c r="CC175" s="107" t="s">
        <v>592</v>
      </c>
      <c r="CD175" s="107" t="s">
        <v>592</v>
      </c>
      <c r="CE175" s="107"/>
      <c r="CF175" s="107"/>
      <c r="CG175" s="107"/>
      <c r="CH175" s="107"/>
      <c r="CI175" s="107"/>
      <c r="CJ175" s="107"/>
      <c r="CK175" s="107"/>
      <c r="CL175" s="107"/>
      <c r="CM175" s="107"/>
      <c r="CN175" s="107"/>
      <c r="CO175" s="107"/>
      <c r="CP175" s="107"/>
      <c r="CQ175" s="107"/>
      <c r="CR175" s="107"/>
      <c r="CS175" s="107"/>
      <c r="CT175" s="107"/>
      <c r="CU175" s="107"/>
      <c r="CV175" s="107"/>
      <c r="CW175" s="107"/>
      <c r="CX175" s="107"/>
      <c r="CY175" s="107"/>
      <c r="CZ175" s="107"/>
      <c r="DA175" s="107"/>
      <c r="DB175" s="107"/>
      <c r="DC175" s="107"/>
      <c r="DD175" s="107"/>
      <c r="DE175" s="107"/>
      <c r="DF175" s="107"/>
      <c r="DG175" s="107"/>
      <c r="DH175" s="107"/>
      <c r="DI175" s="107"/>
      <c r="DJ175" s="107"/>
      <c r="DK175" s="107"/>
      <c r="DL175" s="107"/>
      <c r="DM175" s="107"/>
      <c r="DN175" s="107"/>
      <c r="DO175" s="107"/>
      <c r="DP175" s="107"/>
      <c r="DQ175" s="107"/>
      <c r="DR175" s="107"/>
      <c r="DS175" s="107"/>
      <c r="DT175" s="107"/>
      <c r="DU175" s="107"/>
      <c r="DV175" s="107"/>
      <c r="DW175" s="107"/>
      <c r="DX175" s="107"/>
      <c r="DY175" s="107"/>
      <c r="DZ175" s="107"/>
      <c r="EA175" s="107"/>
      <c r="EB175" s="107"/>
      <c r="EC175" s="107"/>
      <c r="ED175" s="107"/>
      <c r="EE175" s="107"/>
      <c r="EF175" s="107"/>
      <c r="EG175" s="107"/>
      <c r="EH175" s="107"/>
      <c r="EI175" s="107"/>
      <c r="EJ175" s="107"/>
      <c r="EK175" s="107"/>
      <c r="EL175" s="107"/>
      <c r="EM175" s="107"/>
      <c r="EN175" s="107"/>
      <c r="EO175" s="107"/>
      <c r="EP175" s="107"/>
      <c r="EQ175" s="107"/>
      <c r="ER175" s="107"/>
      <c r="ES175" s="107"/>
      <c r="ET175" s="107"/>
      <c r="EU175" s="107"/>
      <c r="EV175" s="107"/>
      <c r="EW175" s="107"/>
      <c r="EX175" s="107"/>
      <c r="EY175" s="107"/>
      <c r="EZ175" s="107"/>
      <c r="FA175" s="107"/>
      <c r="FB175" s="107"/>
      <c r="FC175" s="107"/>
      <c r="FD175" s="107"/>
      <c r="FE175" s="107"/>
      <c r="FF175" s="107"/>
      <c r="FG175" s="107"/>
      <c r="FH175" s="107"/>
      <c r="FI175" s="107"/>
      <c r="FJ175" s="107"/>
      <c r="FK175" s="107"/>
      <c r="FL175" s="107"/>
      <c r="FM175" s="107"/>
      <c r="FN175" s="107"/>
      <c r="FO175" s="107"/>
      <c r="FP175" s="107"/>
      <c r="FQ175" s="107"/>
      <c r="FR175" s="107"/>
      <c r="FS175" s="107"/>
      <c r="FT175" s="107"/>
      <c r="FU175" s="107"/>
      <c r="FV175" s="107"/>
      <c r="FW175" s="107"/>
      <c r="FX175" s="107"/>
      <c r="FY175" s="107"/>
      <c r="FZ175" s="107"/>
      <c r="GA175" s="107"/>
      <c r="GB175" s="107"/>
      <c r="GC175" s="107"/>
      <c r="GD175" s="107"/>
      <c r="GE175" s="107"/>
      <c r="GF175" s="107"/>
      <c r="GG175" s="107"/>
      <c r="GH175" s="107"/>
      <c r="GI175" s="107"/>
      <c r="GJ175" s="107"/>
      <c r="GK175" s="107"/>
      <c r="GL175" s="107"/>
      <c r="GM175" s="107"/>
      <c r="GN175" s="107"/>
      <c r="GO175" s="107"/>
      <c r="GP175" s="107"/>
      <c r="GQ175" s="107"/>
      <c r="GR175" s="107"/>
      <c r="GS175" s="107"/>
      <c r="GT175" s="107"/>
      <c r="GU175" s="107"/>
      <c r="GV175" s="107"/>
      <c r="GW175" s="107"/>
      <c r="GX175" s="107"/>
      <c r="GY175" s="107"/>
      <c r="GZ175" s="107"/>
      <c r="HA175" s="107"/>
      <c r="HB175" s="107"/>
      <c r="HC175" s="107"/>
      <c r="HD175" s="107"/>
      <c r="HE175" s="107"/>
      <c r="HF175" s="107"/>
      <c r="HG175" s="107"/>
      <c r="HH175" s="107"/>
      <c r="HI175" s="107"/>
      <c r="HJ175" s="107"/>
      <c r="HK175" s="107"/>
      <c r="HL175" s="107"/>
      <c r="HM175" s="107"/>
      <c r="HN175" s="107"/>
      <c r="HO175" s="107"/>
      <c r="HP175" s="107"/>
      <c r="HQ175" s="107"/>
      <c r="HR175" s="107"/>
      <c r="HS175" s="107"/>
      <c r="HT175" s="107"/>
      <c r="HU175" s="107"/>
      <c r="HV175" s="107"/>
      <c r="HW175" s="107"/>
      <c r="HX175" s="107"/>
      <c r="HY175" s="107"/>
      <c r="HZ175" s="107"/>
      <c r="IA175" s="107"/>
      <c r="IB175" s="107"/>
      <c r="IC175" s="107"/>
      <c r="ID175" s="107"/>
      <c r="IE175" s="107"/>
      <c r="IF175" s="107"/>
      <c r="IG175" s="107"/>
      <c r="IH175" s="107"/>
      <c r="II175" s="107"/>
      <c r="IJ175" s="107"/>
      <c r="IK175" s="107"/>
      <c r="IL175" s="107"/>
      <c r="IM175" s="107"/>
      <c r="IN175" s="107"/>
      <c r="IO175" s="107"/>
    </row>
    <row r="176" spans="2:249">
      <c r="D176" s="55"/>
      <c r="E176" s="55"/>
      <c r="F176" s="55"/>
      <c r="G176" s="55"/>
      <c r="H176" s="55"/>
      <c r="I176" s="55"/>
      <c r="J176" s="55"/>
      <c r="K176" s="55"/>
      <c r="L176" s="55"/>
      <c r="M176" s="55"/>
      <c r="N176" s="55"/>
      <c r="O176" s="55"/>
      <c r="P176" s="55"/>
      <c r="Q176" s="55"/>
      <c r="R176" s="55"/>
      <c r="S176" s="55"/>
      <c r="T176" s="55"/>
      <c r="U176" s="55"/>
      <c r="V176" s="55"/>
      <c r="W176" s="55"/>
      <c r="X176" s="55"/>
      <c r="Y176" s="55"/>
      <c r="Z176" s="55"/>
      <c r="AA176" s="55"/>
      <c r="AB176" s="55"/>
      <c r="AC176" s="55"/>
      <c r="AD176" s="55"/>
      <c r="AE176" s="55"/>
      <c r="AF176" s="55"/>
      <c r="AG176" s="55"/>
      <c r="AH176" s="55"/>
      <c r="AI176" s="55"/>
      <c r="AJ176" s="55"/>
      <c r="AK176" s="55"/>
      <c r="AL176" s="55"/>
      <c r="AM176" s="55"/>
      <c r="AN176" s="55"/>
      <c r="AO176" s="55"/>
      <c r="AP176" s="55"/>
      <c r="AQ176" s="55"/>
      <c r="AR176" s="55"/>
      <c r="AS176" s="55"/>
      <c r="AT176" s="55"/>
      <c r="AU176" s="55"/>
      <c r="AV176" s="55"/>
      <c r="AW176" s="55"/>
      <c r="AX176" s="55"/>
      <c r="AY176" s="55"/>
      <c r="AZ176" s="55"/>
      <c r="BA176" s="55"/>
      <c r="BB176" s="55"/>
      <c r="BC176" s="55"/>
      <c r="BD176" s="55"/>
      <c r="BE176" s="55"/>
      <c r="BF176" s="55"/>
      <c r="BG176" s="55"/>
      <c r="BH176" s="55"/>
      <c r="BI176" s="55"/>
      <c r="BJ176" s="55"/>
      <c r="BK176" s="55"/>
      <c r="BL176" s="55"/>
      <c r="BM176" s="55"/>
      <c r="BN176" s="55"/>
      <c r="BO176" s="55"/>
      <c r="BP176" s="55"/>
      <c r="BQ176" s="55"/>
      <c r="BR176" s="55"/>
      <c r="BS176" s="55"/>
      <c r="BT176" s="55"/>
      <c r="BU176" s="55"/>
      <c r="BV176" s="55"/>
      <c r="BW176" s="55"/>
      <c r="BX176" s="55"/>
      <c r="BY176" s="55"/>
      <c r="BZ176" s="55"/>
      <c r="CA176" s="55"/>
      <c r="CB176" s="55"/>
      <c r="CC176" s="55"/>
      <c r="CD176" s="55"/>
      <c r="CE176" s="55"/>
      <c r="CF176" s="55"/>
      <c r="CG176" s="55"/>
      <c r="CH176" s="55"/>
      <c r="CI176" s="55"/>
      <c r="CJ176" s="55"/>
      <c r="CK176" s="55"/>
      <c r="CL176" s="55"/>
      <c r="CM176" s="55"/>
      <c r="CN176" s="55"/>
      <c r="CO176" s="55"/>
      <c r="CP176" s="55"/>
      <c r="CQ176" s="55"/>
      <c r="CR176" s="55"/>
      <c r="CS176" s="55"/>
      <c r="CT176" s="55"/>
      <c r="CU176" s="55"/>
      <c r="CV176" s="55"/>
      <c r="CW176" s="55"/>
      <c r="CX176" s="55"/>
      <c r="CY176" s="55"/>
      <c r="CZ176" s="55"/>
      <c r="DA176" s="55"/>
      <c r="DB176" s="55"/>
      <c r="DC176" s="55"/>
      <c r="DD176" s="55"/>
      <c r="DE176" s="55"/>
      <c r="DF176" s="55"/>
      <c r="DG176" s="55"/>
      <c r="DH176" s="55"/>
      <c r="DI176" s="55"/>
      <c r="DJ176" s="55"/>
      <c r="DK176" s="55"/>
      <c r="DL176" s="55"/>
      <c r="DM176" s="55"/>
      <c r="DN176" s="55"/>
      <c r="DO176" s="55"/>
      <c r="DP176" s="55"/>
      <c r="DQ176" s="55"/>
      <c r="DR176" s="55"/>
      <c r="DS176" s="55"/>
      <c r="DT176" s="55"/>
      <c r="DU176" s="55"/>
      <c r="DV176" s="55"/>
      <c r="DW176" s="55"/>
      <c r="DX176" s="55"/>
      <c r="DY176" s="55"/>
      <c r="DZ176" s="55"/>
      <c r="EA176" s="55"/>
      <c r="EB176" s="55"/>
      <c r="EC176" s="55"/>
      <c r="ED176" s="55"/>
      <c r="EE176" s="55"/>
      <c r="EF176" s="55"/>
      <c r="EG176" s="55"/>
      <c r="EH176" s="55"/>
      <c r="EI176" s="55"/>
      <c r="EJ176" s="55"/>
      <c r="EK176" s="55"/>
      <c r="EL176" s="55"/>
      <c r="EM176" s="55"/>
      <c r="EN176" s="55"/>
      <c r="EO176" s="55"/>
      <c r="EP176" s="55"/>
      <c r="EQ176" s="55"/>
      <c r="ER176" s="55"/>
      <c r="ES176" s="55"/>
      <c r="ET176" s="55"/>
      <c r="EU176" s="55"/>
      <c r="EV176" s="55"/>
      <c r="EW176" s="55"/>
      <c r="EX176" s="55"/>
      <c r="EY176" s="55"/>
      <c r="EZ176" s="55"/>
      <c r="FA176" s="55"/>
      <c r="FB176" s="55"/>
      <c r="FC176" s="55"/>
      <c r="FD176" s="55"/>
      <c r="FE176" s="55"/>
      <c r="FF176" s="55"/>
      <c r="FG176" s="55"/>
      <c r="FH176" s="55"/>
      <c r="FI176" s="55"/>
      <c r="FJ176" s="55"/>
      <c r="FK176" s="55"/>
      <c r="FL176" s="55"/>
      <c r="FM176" s="55"/>
      <c r="FN176" s="55"/>
      <c r="FO176" s="55"/>
      <c r="FP176" s="55"/>
      <c r="FQ176" s="55"/>
      <c r="FR176" s="55"/>
      <c r="FS176" s="55"/>
      <c r="FT176" s="55"/>
      <c r="FU176" s="55"/>
      <c r="FV176" s="55"/>
      <c r="FW176" s="55"/>
      <c r="FX176" s="55"/>
      <c r="FY176" s="55"/>
      <c r="FZ176" s="55"/>
      <c r="GA176" s="55"/>
      <c r="GB176" s="55"/>
      <c r="GC176" s="55"/>
      <c r="GD176" s="55"/>
      <c r="GE176" s="55"/>
      <c r="GF176" s="55"/>
      <c r="GG176" s="55"/>
      <c r="GH176" s="55"/>
      <c r="GI176" s="55"/>
      <c r="GJ176" s="55"/>
      <c r="GK176" s="55"/>
      <c r="GL176" s="55"/>
      <c r="GM176" s="55"/>
      <c r="GN176" s="55"/>
      <c r="GO176" s="55"/>
      <c r="GP176" s="55"/>
      <c r="GQ176" s="55"/>
      <c r="GR176" s="55"/>
      <c r="GS176" s="55"/>
      <c r="GT176" s="55"/>
      <c r="GU176" s="55"/>
      <c r="GV176" s="55"/>
      <c r="GW176" s="55"/>
      <c r="GX176" s="55"/>
      <c r="GY176" s="55"/>
      <c r="GZ176" s="55"/>
      <c r="HA176" s="55"/>
      <c r="HB176" s="55"/>
      <c r="HC176" s="55"/>
      <c r="HD176" s="55"/>
      <c r="HE176" s="55"/>
      <c r="HF176" s="55"/>
      <c r="HG176" s="55"/>
      <c r="HH176" s="55"/>
      <c r="HI176" s="55"/>
      <c r="HJ176" s="55"/>
      <c r="HK176" s="55"/>
      <c r="HL176" s="55"/>
      <c r="HM176" s="55"/>
      <c r="HN176" s="55"/>
      <c r="HO176" s="55"/>
      <c r="HP176" s="55"/>
      <c r="HQ176" s="55"/>
      <c r="HR176" s="55"/>
      <c r="HS176" s="55"/>
      <c r="HT176" s="55"/>
      <c r="HU176" s="55"/>
      <c r="HV176" s="55"/>
      <c r="HW176" s="55"/>
      <c r="HX176" s="55"/>
      <c r="HY176" s="55"/>
      <c r="HZ176" s="55"/>
      <c r="IA176" s="55"/>
      <c r="IB176" s="55"/>
      <c r="IC176" s="55"/>
      <c r="ID176" s="55"/>
      <c r="IE176" s="55"/>
      <c r="IF176" s="55"/>
      <c r="IG176" s="55"/>
      <c r="IH176" s="55"/>
      <c r="II176" s="55"/>
      <c r="IJ176" s="55"/>
      <c r="IK176" s="55"/>
      <c r="IL176" s="55"/>
      <c r="IM176" s="55"/>
      <c r="IN176" s="55"/>
      <c r="IO176" s="55"/>
    </row>
    <row r="177" spans="2:249" ht="25.5">
      <c r="B177" s="139" t="s">
        <v>311</v>
      </c>
      <c r="C177" s="139" t="s">
        <v>474</v>
      </c>
      <c r="D177" s="122"/>
      <c r="E177" s="122"/>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c r="AX177" s="122"/>
      <c r="AY177" s="122"/>
      <c r="AZ177" s="122"/>
      <c r="BA177" s="122"/>
      <c r="BB177" s="122"/>
      <c r="BC177" s="122"/>
      <c r="BD177" s="122"/>
      <c r="BE177" s="122"/>
      <c r="BF177" s="122"/>
      <c r="BG177" s="122"/>
      <c r="BH177" s="122"/>
      <c r="BI177" s="122"/>
      <c r="BJ177" s="122"/>
      <c r="BK177" s="122"/>
      <c r="BL177" s="122"/>
      <c r="BM177" s="122"/>
      <c r="BN177" s="122"/>
      <c r="BO177" s="122"/>
      <c r="BP177" s="122"/>
      <c r="BQ177" s="122"/>
      <c r="BR177" s="122"/>
      <c r="BS177" s="122"/>
      <c r="BT177" s="122"/>
      <c r="BU177" s="122"/>
      <c r="BV177" s="122"/>
      <c r="BW177" s="122"/>
      <c r="BX177" s="122"/>
      <c r="BY177" s="122"/>
      <c r="BZ177" s="122"/>
      <c r="CA177" s="122"/>
      <c r="CB177" s="122"/>
      <c r="CC177" s="122"/>
      <c r="CD177" s="122"/>
      <c r="CE177" s="122"/>
      <c r="CF177" s="122"/>
      <c r="CG177" s="122"/>
      <c r="CH177" s="122"/>
      <c r="CI177" s="122"/>
      <c r="CJ177" s="122"/>
      <c r="CK177" s="122"/>
      <c r="CL177" s="122"/>
      <c r="CM177" s="122"/>
      <c r="CN177" s="122"/>
      <c r="CO177" s="122"/>
      <c r="CP177" s="122"/>
      <c r="CQ177" s="122"/>
      <c r="CR177" s="122"/>
      <c r="CS177" s="122"/>
      <c r="CT177" s="122"/>
      <c r="CU177" s="122"/>
      <c r="CV177" s="122"/>
      <c r="CW177" s="122"/>
      <c r="CX177" s="122"/>
      <c r="CY177" s="122"/>
      <c r="CZ177" s="122"/>
      <c r="DA177" s="122"/>
      <c r="DB177" s="122"/>
      <c r="DC177" s="122"/>
      <c r="DD177" s="122"/>
      <c r="DE177" s="122"/>
      <c r="DF177" s="122"/>
      <c r="DG177" s="122"/>
      <c r="DH177" s="122"/>
      <c r="DI177" s="122"/>
      <c r="DJ177" s="122"/>
      <c r="DK177" s="122"/>
      <c r="DL177" s="122"/>
      <c r="DM177" s="122"/>
      <c r="DN177" s="122"/>
      <c r="DO177" s="122"/>
      <c r="DP177" s="122"/>
      <c r="DQ177" s="122"/>
      <c r="DR177" s="122"/>
      <c r="DS177" s="122"/>
      <c r="DT177" s="122"/>
      <c r="DU177" s="122"/>
      <c r="DV177" s="122"/>
      <c r="DW177" s="122"/>
      <c r="DX177" s="122"/>
      <c r="DY177" s="122"/>
      <c r="DZ177" s="122"/>
      <c r="EA177" s="122"/>
      <c r="EB177" s="122"/>
      <c r="EC177" s="122"/>
      <c r="ED177" s="122"/>
      <c r="EE177" s="122"/>
      <c r="EF177" s="122"/>
      <c r="EG177" s="122"/>
      <c r="EH177" s="122"/>
      <c r="EI177" s="122"/>
      <c r="EJ177" s="122"/>
      <c r="EK177" s="122"/>
      <c r="EL177" s="122"/>
      <c r="EM177" s="122"/>
      <c r="EN177" s="122"/>
      <c r="EO177" s="122"/>
      <c r="EP177" s="122"/>
      <c r="EQ177" s="122"/>
      <c r="ER177" s="122"/>
      <c r="ES177" s="122"/>
      <c r="ET177" s="122"/>
      <c r="EU177" s="122"/>
      <c r="EV177" s="122"/>
      <c r="EW177" s="122"/>
      <c r="EX177" s="122"/>
      <c r="EY177" s="122"/>
      <c r="EZ177" s="122"/>
      <c r="FA177" s="122"/>
      <c r="FB177" s="122"/>
      <c r="FC177" s="122"/>
      <c r="FD177" s="122"/>
      <c r="FE177" s="122"/>
      <c r="FF177" s="122"/>
      <c r="FG177" s="122"/>
      <c r="FH177" s="122"/>
      <c r="FI177" s="122"/>
      <c r="FJ177" s="122"/>
      <c r="FK177" s="122"/>
      <c r="FL177" s="122"/>
      <c r="FM177" s="122"/>
      <c r="FN177" s="122"/>
      <c r="FO177" s="122"/>
      <c r="FP177" s="122"/>
      <c r="FQ177" s="122"/>
      <c r="FR177" s="122"/>
      <c r="FS177" s="122"/>
      <c r="FT177" s="122"/>
      <c r="FU177" s="122"/>
      <c r="FV177" s="122"/>
      <c r="FW177" s="122"/>
      <c r="FX177" s="122"/>
      <c r="FY177" s="122"/>
      <c r="FZ177" s="122"/>
      <c r="GA177" s="122"/>
      <c r="GB177" s="122"/>
      <c r="GC177" s="122"/>
      <c r="GD177" s="122"/>
      <c r="GE177" s="122"/>
      <c r="GF177" s="122"/>
      <c r="GG177" s="122"/>
      <c r="GH177" s="122"/>
      <c r="GI177" s="122"/>
      <c r="GJ177" s="122"/>
      <c r="GK177" s="122"/>
      <c r="GL177" s="122"/>
      <c r="GM177" s="122"/>
      <c r="GN177" s="122"/>
      <c r="GO177" s="122"/>
      <c r="GP177" s="122"/>
      <c r="GQ177" s="122"/>
      <c r="GR177" s="122"/>
      <c r="GS177" s="122"/>
      <c r="GT177" s="122"/>
      <c r="GU177" s="122"/>
      <c r="GV177" s="122"/>
      <c r="GW177" s="122"/>
      <c r="GX177" s="122"/>
      <c r="GY177" s="122"/>
      <c r="GZ177" s="122"/>
      <c r="HA177" s="122"/>
      <c r="HB177" s="122"/>
      <c r="HC177" s="122"/>
      <c r="HD177" s="122"/>
      <c r="HE177" s="122"/>
      <c r="HF177" s="122"/>
      <c r="HG177" s="122"/>
      <c r="HH177" s="122"/>
      <c r="HI177" s="122"/>
      <c r="HJ177" s="122"/>
      <c r="HK177" s="122"/>
      <c r="HL177" s="122"/>
      <c r="HM177" s="122"/>
      <c r="HN177" s="122"/>
      <c r="HO177" s="122"/>
      <c r="HP177" s="122"/>
      <c r="HQ177" s="122"/>
      <c r="HR177" s="122"/>
      <c r="HS177" s="122"/>
      <c r="HT177" s="122"/>
      <c r="HU177" s="122"/>
      <c r="HV177" s="122"/>
      <c r="HW177" s="122"/>
      <c r="HX177" s="122"/>
      <c r="HY177" s="122"/>
      <c r="HZ177" s="122"/>
      <c r="IA177" s="122"/>
      <c r="IB177" s="122"/>
      <c r="IC177" s="122"/>
      <c r="ID177" s="122"/>
      <c r="IE177" s="122"/>
      <c r="IF177" s="122"/>
      <c r="IG177" s="122"/>
      <c r="IH177" s="122"/>
      <c r="II177" s="122"/>
      <c r="IJ177" s="122"/>
      <c r="IK177" s="122"/>
      <c r="IL177" s="122"/>
      <c r="IM177" s="122"/>
      <c r="IN177" s="122"/>
      <c r="IO177" s="122"/>
    </row>
    <row r="178" spans="2:249">
      <c r="B178" s="140" t="s">
        <v>462</v>
      </c>
      <c r="C178" s="140"/>
      <c r="D178" s="125"/>
      <c r="E178" s="125"/>
      <c r="F178" s="125"/>
      <c r="G178" s="125"/>
      <c r="H178" s="125"/>
      <c r="I178" s="125"/>
      <c r="J178" s="125"/>
      <c r="K178" s="125"/>
      <c r="L178" s="125"/>
      <c r="M178" s="125"/>
      <c r="N178" s="125"/>
      <c r="O178" s="125"/>
      <c r="P178" s="125"/>
      <c r="Q178" s="125"/>
      <c r="R178" s="125"/>
      <c r="S178" s="125"/>
      <c r="T178" s="125"/>
      <c r="U178" s="125"/>
      <c r="V178" s="125"/>
      <c r="W178" s="125"/>
      <c r="X178" s="125"/>
      <c r="Y178" s="125"/>
      <c r="Z178" s="125"/>
      <c r="AA178" s="125"/>
      <c r="AB178" s="125"/>
      <c r="AC178" s="125"/>
      <c r="AD178" s="125"/>
      <c r="AE178" s="125"/>
      <c r="AF178" s="125"/>
      <c r="AG178" s="125"/>
      <c r="AH178" s="125"/>
      <c r="AI178" s="125"/>
      <c r="AJ178" s="125"/>
      <c r="AK178" s="125"/>
      <c r="AL178" s="125"/>
      <c r="AM178" s="125"/>
      <c r="AN178" s="125"/>
      <c r="AO178" s="125"/>
      <c r="AP178" s="125"/>
      <c r="AQ178" s="125"/>
      <c r="AR178" s="125"/>
      <c r="AS178" s="125"/>
      <c r="AT178" s="125"/>
      <c r="AU178" s="125"/>
      <c r="AV178" s="125"/>
      <c r="AW178" s="125"/>
      <c r="AX178" s="125"/>
      <c r="AY178" s="125"/>
      <c r="AZ178" s="125"/>
      <c r="BA178" s="125"/>
      <c r="BB178" s="125"/>
      <c r="BC178" s="125"/>
      <c r="BD178" s="125"/>
      <c r="BE178" s="125"/>
      <c r="BF178" s="125"/>
      <c r="BG178" s="125"/>
      <c r="BH178" s="125"/>
      <c r="BI178" s="125"/>
      <c r="BJ178" s="125"/>
      <c r="BK178" s="125"/>
      <c r="BL178" s="125"/>
      <c r="BM178" s="125"/>
      <c r="BN178" s="125"/>
      <c r="BO178" s="125"/>
      <c r="BP178" s="125"/>
      <c r="BQ178" s="125"/>
      <c r="BR178" s="125"/>
      <c r="BS178" s="125"/>
      <c r="BT178" s="125"/>
      <c r="BU178" s="125"/>
      <c r="BV178" s="125"/>
      <c r="BW178" s="125"/>
      <c r="BX178" s="125"/>
      <c r="BY178" s="125"/>
      <c r="BZ178" s="125"/>
      <c r="CA178" s="125"/>
      <c r="CB178" s="125"/>
      <c r="CC178" s="125"/>
      <c r="CD178" s="125"/>
      <c r="CE178" s="125"/>
      <c r="CF178" s="125"/>
      <c r="CG178" s="125"/>
      <c r="CH178" s="125"/>
      <c r="CI178" s="125"/>
      <c r="CJ178" s="125"/>
      <c r="CK178" s="125"/>
      <c r="CL178" s="125"/>
      <c r="CM178" s="125"/>
      <c r="CN178" s="125"/>
      <c r="CO178" s="125"/>
      <c r="CP178" s="125"/>
      <c r="CQ178" s="125"/>
      <c r="CR178" s="125"/>
      <c r="CS178" s="125"/>
      <c r="CT178" s="125"/>
      <c r="CU178" s="125"/>
      <c r="CV178" s="125"/>
      <c r="CW178" s="125"/>
      <c r="CX178" s="125"/>
      <c r="CY178" s="125"/>
      <c r="CZ178" s="125"/>
      <c r="DA178" s="125"/>
      <c r="DB178" s="125"/>
      <c r="DC178" s="125"/>
      <c r="DD178" s="125"/>
      <c r="DE178" s="125"/>
      <c r="DF178" s="125"/>
      <c r="DG178" s="125"/>
      <c r="DH178" s="125"/>
      <c r="DI178" s="125"/>
      <c r="DJ178" s="125"/>
      <c r="DK178" s="125"/>
      <c r="DL178" s="125"/>
      <c r="DM178" s="125"/>
      <c r="DN178" s="125"/>
      <c r="DO178" s="125"/>
      <c r="DP178" s="125"/>
      <c r="DQ178" s="125"/>
      <c r="DR178" s="125"/>
      <c r="DS178" s="125"/>
      <c r="DT178" s="125"/>
      <c r="DU178" s="125"/>
      <c r="DV178" s="125"/>
      <c r="DW178" s="125"/>
      <c r="DX178" s="125"/>
      <c r="DY178" s="125"/>
      <c r="DZ178" s="125"/>
      <c r="EA178" s="125"/>
      <c r="EB178" s="125"/>
      <c r="EC178" s="125"/>
      <c r="ED178" s="125"/>
      <c r="EE178" s="125"/>
      <c r="EF178" s="125"/>
      <c r="EG178" s="125"/>
      <c r="EH178" s="125"/>
      <c r="EI178" s="125"/>
      <c r="EJ178" s="125"/>
      <c r="EK178" s="125"/>
      <c r="EL178" s="125"/>
      <c r="EM178" s="125"/>
      <c r="EN178" s="125"/>
      <c r="EO178" s="125"/>
      <c r="EP178" s="125"/>
      <c r="EQ178" s="125"/>
      <c r="ER178" s="125"/>
      <c r="ES178" s="125"/>
      <c r="ET178" s="125"/>
      <c r="EU178" s="125"/>
      <c r="EV178" s="125"/>
      <c r="EW178" s="125"/>
      <c r="EX178" s="125"/>
      <c r="EY178" s="125"/>
      <c r="EZ178" s="125"/>
      <c r="FA178" s="125"/>
      <c r="FB178" s="125"/>
      <c r="FC178" s="125"/>
      <c r="FD178" s="125"/>
      <c r="FE178" s="125"/>
      <c r="FF178" s="125"/>
      <c r="FG178" s="125"/>
      <c r="FH178" s="125"/>
      <c r="FI178" s="125"/>
      <c r="FJ178" s="125"/>
      <c r="FK178" s="125"/>
      <c r="FL178" s="125"/>
      <c r="FM178" s="125"/>
      <c r="FN178" s="125"/>
      <c r="FO178" s="125"/>
      <c r="FP178" s="125"/>
      <c r="FQ178" s="125"/>
      <c r="FR178" s="125"/>
      <c r="FS178" s="125"/>
      <c r="FT178" s="125"/>
      <c r="FU178" s="125"/>
      <c r="FV178" s="125"/>
      <c r="FW178" s="125"/>
      <c r="FX178" s="125"/>
      <c r="FY178" s="125"/>
      <c r="FZ178" s="125"/>
      <c r="GA178" s="125"/>
      <c r="GB178" s="125"/>
      <c r="GC178" s="125"/>
      <c r="GD178" s="125"/>
      <c r="GE178" s="125"/>
      <c r="GF178" s="125"/>
      <c r="GG178" s="125"/>
      <c r="GH178" s="125"/>
      <c r="GI178" s="125"/>
      <c r="GJ178" s="125"/>
      <c r="GK178" s="125"/>
      <c r="GL178" s="125"/>
      <c r="GM178" s="125"/>
      <c r="GN178" s="125"/>
      <c r="GO178" s="125"/>
      <c r="GP178" s="125"/>
      <c r="GQ178" s="125"/>
      <c r="GR178" s="125"/>
      <c r="GS178" s="125"/>
      <c r="GT178" s="125"/>
      <c r="GU178" s="125"/>
      <c r="GV178" s="125"/>
      <c r="GW178" s="125"/>
      <c r="GX178" s="125"/>
      <c r="GY178" s="125"/>
      <c r="GZ178" s="125"/>
      <c r="HA178" s="125"/>
      <c r="HB178" s="125"/>
      <c r="HC178" s="125"/>
      <c r="HD178" s="125"/>
      <c r="HE178" s="125"/>
      <c r="HF178" s="125"/>
      <c r="HG178" s="125"/>
      <c r="HH178" s="125"/>
      <c r="HI178" s="125"/>
      <c r="HJ178" s="125"/>
      <c r="HK178" s="125"/>
      <c r="HL178" s="125"/>
      <c r="HM178" s="125"/>
      <c r="HN178" s="125"/>
      <c r="HO178" s="125"/>
      <c r="HP178" s="125"/>
      <c r="HQ178" s="125"/>
      <c r="HR178" s="125"/>
      <c r="HS178" s="125"/>
      <c r="HT178" s="125"/>
      <c r="HU178" s="125"/>
      <c r="HV178" s="125"/>
      <c r="HW178" s="125"/>
      <c r="HX178" s="125"/>
      <c r="HY178" s="125"/>
      <c r="HZ178" s="125"/>
      <c r="IA178" s="125"/>
      <c r="IB178" s="125"/>
      <c r="IC178" s="125"/>
      <c r="ID178" s="125"/>
      <c r="IE178" s="125"/>
      <c r="IF178" s="125"/>
      <c r="IG178" s="125"/>
      <c r="IH178" s="125"/>
      <c r="II178" s="125"/>
      <c r="IJ178" s="125"/>
      <c r="IK178" s="125"/>
      <c r="IL178" s="125"/>
      <c r="IM178" s="125"/>
      <c r="IN178" s="125"/>
      <c r="IO178" s="125"/>
    </row>
    <row r="179" spans="2:249">
      <c r="B179" s="132"/>
      <c r="C179" s="141" t="str">
        <f>C89</f>
        <v>Benefit Status</v>
      </c>
      <c r="D179" s="107" t="str">
        <f>IF(D90="Y",$C$90,IF(D91="Y",$C$91,IF(D92="Y",$C$92,IF(D93="Y",$C93,IF(D94="Y",$C$94,IF(D95="Y",$C$95,IF(D96="Y",$C$96,$C$97)))))))</f>
        <v>CUR</v>
      </c>
      <c r="E179" s="107" t="str">
        <f t="shared" ref="E179:AK179" si="28">IF(E90="Y",$C$90,IF(E91="Y",$C$91,IF(E92="Y",$C$92,IF(E93="Y",$C93,IF(E94="Y",$C$94,IF(E95="Y",$C$95,IF(E96="Y",$C$96,$C$97)))))))</f>
        <v>CUR</v>
      </c>
      <c r="F179" s="107" t="str">
        <f t="shared" si="28"/>
        <v>NEF-BAN</v>
      </c>
      <c r="G179" s="107" t="str">
        <f t="shared" si="28"/>
        <v>CUR</v>
      </c>
      <c r="H179" s="107" t="str">
        <f t="shared" si="28"/>
        <v>CUR</v>
      </c>
      <c r="I179" s="107" t="str">
        <f t="shared" si="28"/>
        <v>NEF-NTP</v>
      </c>
      <c r="J179" s="107" t="str">
        <f t="shared" si="28"/>
        <v>NEF-NTC</v>
      </c>
      <c r="K179" s="107" t="str">
        <f t="shared" si="28"/>
        <v>NEF-NTC</v>
      </c>
      <c r="L179" s="107" t="str">
        <f t="shared" si="28"/>
        <v>NEF-NTC</v>
      </c>
      <c r="M179" s="107" t="str">
        <f t="shared" si="28"/>
        <v>NEF-NTB</v>
      </c>
      <c r="N179" s="107" t="str">
        <f t="shared" si="28"/>
        <v>CUR</v>
      </c>
      <c r="O179" s="107" t="str">
        <f t="shared" si="28"/>
        <v>REJ-INC</v>
      </c>
      <c r="P179" s="107" t="str">
        <f t="shared" si="28"/>
        <v>CUR</v>
      </c>
      <c r="Q179" s="107" t="str">
        <f t="shared" si="28"/>
        <v>REJ-INC</v>
      </c>
      <c r="R179" s="107" t="str">
        <f t="shared" si="28"/>
        <v>REJ-INC</v>
      </c>
      <c r="S179" s="107" t="str">
        <f t="shared" si="28"/>
        <v>CUR</v>
      </c>
      <c r="T179" s="107" t="str">
        <f t="shared" si="28"/>
        <v>CUR</v>
      </c>
      <c r="U179" s="107" t="str">
        <f t="shared" si="28"/>
        <v>CUR</v>
      </c>
      <c r="V179" s="107" t="str">
        <f t="shared" si="28"/>
        <v>CUR</v>
      </c>
      <c r="W179" s="107" t="str">
        <f t="shared" si="28"/>
        <v>CUR</v>
      </c>
      <c r="X179" s="107" t="str">
        <f t="shared" si="28"/>
        <v>CUR</v>
      </c>
      <c r="Y179" s="107" t="str">
        <f t="shared" si="28"/>
        <v>CUR</v>
      </c>
      <c r="Z179" s="107" t="str">
        <f t="shared" si="28"/>
        <v>CUR</v>
      </c>
      <c r="AA179" s="107" t="str">
        <f t="shared" si="28"/>
        <v>CUR</v>
      </c>
      <c r="AB179" s="107" t="str">
        <f t="shared" si="28"/>
        <v>CUR</v>
      </c>
      <c r="AC179" s="107" t="str">
        <f t="shared" si="28"/>
        <v>CUR</v>
      </c>
      <c r="AD179" s="107" t="str">
        <f t="shared" si="28"/>
        <v>CUR</v>
      </c>
      <c r="AE179" s="107" t="str">
        <f t="shared" si="28"/>
        <v>CUR</v>
      </c>
      <c r="AF179" s="107" t="str">
        <f t="shared" si="28"/>
        <v>CUR</v>
      </c>
      <c r="AG179" s="107" t="str">
        <f t="shared" si="28"/>
        <v>CUR</v>
      </c>
      <c r="AH179" s="107" t="str">
        <f t="shared" si="28"/>
        <v>CUR</v>
      </c>
      <c r="AI179" s="107" t="str">
        <f t="shared" si="28"/>
        <v>CUR</v>
      </c>
      <c r="AJ179" s="107" t="str">
        <f t="shared" si="28"/>
        <v>CUR</v>
      </c>
      <c r="AK179" s="107" t="str">
        <f t="shared" si="28"/>
        <v>CUR</v>
      </c>
      <c r="AL179" s="107" t="str">
        <f t="shared" ref="AL179:BH179" si="29">IF(AL90="Y",$C$90,IF(AL91="Y",$C$91,IF(AL92="Y",$C$92,IF(AL93="Y",$C93,IF(AL94="Y",$C$94,IF(AL95="Y",$C$95,IF(AL96="Y",$C$96,$C$97)))))))</f>
        <v>CUR</v>
      </c>
      <c r="AM179" s="107" t="str">
        <f t="shared" si="29"/>
        <v>CUR</v>
      </c>
      <c r="AN179" s="107" t="str">
        <f t="shared" si="29"/>
        <v>NEF-BAN</v>
      </c>
      <c r="AO179" s="107" t="str">
        <f t="shared" si="29"/>
        <v>NEF-NTC</v>
      </c>
      <c r="AP179" s="107" t="str">
        <f t="shared" si="29"/>
        <v>REJ-INC</v>
      </c>
      <c r="AQ179" s="107" t="str">
        <f t="shared" si="29"/>
        <v>CUR</v>
      </c>
      <c r="AR179" s="107" t="str">
        <f t="shared" si="29"/>
        <v>CUR</v>
      </c>
      <c r="AS179" s="107" t="str">
        <f t="shared" si="29"/>
        <v>CUR</v>
      </c>
      <c r="AT179" s="107" t="str">
        <f t="shared" si="29"/>
        <v>CUR</v>
      </c>
      <c r="AU179" s="107" t="str">
        <f t="shared" si="29"/>
        <v>CUR</v>
      </c>
      <c r="AV179" s="107" t="str">
        <f t="shared" si="29"/>
        <v>NEF-BAN</v>
      </c>
      <c r="AW179" s="107" t="str">
        <f t="shared" si="29"/>
        <v>NEF-NTC</v>
      </c>
      <c r="AX179" s="107" t="str">
        <f t="shared" si="29"/>
        <v>REJ-INC</v>
      </c>
      <c r="AY179" s="107" t="str">
        <f t="shared" si="29"/>
        <v>CUR</v>
      </c>
      <c r="AZ179" s="107" t="str">
        <f t="shared" si="29"/>
        <v>CUR</v>
      </c>
      <c r="BA179" s="107" t="str">
        <f t="shared" si="29"/>
        <v>CUR</v>
      </c>
      <c r="BB179" s="107" t="str">
        <f t="shared" si="29"/>
        <v>CUR</v>
      </c>
      <c r="BC179" s="107" t="str">
        <f t="shared" si="29"/>
        <v>CUR</v>
      </c>
      <c r="BD179" s="107" t="str">
        <f t="shared" si="29"/>
        <v>CUR</v>
      </c>
      <c r="BE179" s="107" t="str">
        <f t="shared" si="29"/>
        <v>NEF-BAN</v>
      </c>
      <c r="BF179" s="107" t="str">
        <f t="shared" si="29"/>
        <v>NEF-NTC</v>
      </c>
      <c r="BG179" s="107" t="str">
        <f t="shared" si="29"/>
        <v>REJ-INC</v>
      </c>
      <c r="BH179" s="107" t="str">
        <f t="shared" si="29"/>
        <v>CUR</v>
      </c>
      <c r="BI179" s="107" t="str">
        <f t="shared" ref="BI179:CD179" si="30">IF(BI90="Y",$C$90,IF(BI91="Y",$C$91,IF(BI92="Y",$C$92,IF(BI93="Y",$C93,IF(BI94="Y",$C$94,IF(BI95="Y",$C$95,IF(BI96="Y",$C$96,$C$97)))))))</f>
        <v>CUR</v>
      </c>
      <c r="BJ179" s="107" t="str">
        <f t="shared" si="30"/>
        <v>CUR</v>
      </c>
      <c r="BK179" s="107" t="str">
        <f t="shared" si="30"/>
        <v>CUR</v>
      </c>
      <c r="BL179" s="107" t="str">
        <f t="shared" si="30"/>
        <v>CUR</v>
      </c>
      <c r="BM179" s="107" t="str">
        <f t="shared" si="30"/>
        <v>CUR</v>
      </c>
      <c r="BN179" s="107" t="str">
        <f t="shared" si="30"/>
        <v>NEF-BAN</v>
      </c>
      <c r="BO179" s="107" t="str">
        <f t="shared" si="30"/>
        <v>NEF-NTC</v>
      </c>
      <c r="BP179" s="107" t="str">
        <f t="shared" si="30"/>
        <v>REJ-INC</v>
      </c>
      <c r="BQ179" s="107" t="str">
        <f t="shared" si="30"/>
        <v>CUR</v>
      </c>
      <c r="BR179" s="107" t="str">
        <f t="shared" si="30"/>
        <v>CUR</v>
      </c>
      <c r="BS179" s="107" t="str">
        <f t="shared" si="30"/>
        <v>CUR</v>
      </c>
      <c r="BT179" s="107" t="str">
        <f t="shared" si="30"/>
        <v>CUR</v>
      </c>
      <c r="BU179" s="107" t="str">
        <f t="shared" si="30"/>
        <v>CUR</v>
      </c>
      <c r="BV179" s="107" t="str">
        <f t="shared" si="30"/>
        <v>CUR</v>
      </c>
      <c r="BW179" s="107" t="str">
        <f t="shared" si="30"/>
        <v>NEF-BAN</v>
      </c>
      <c r="BX179" s="107" t="str">
        <f t="shared" si="30"/>
        <v>NEF-NTC</v>
      </c>
      <c r="BY179" s="107" t="str">
        <f t="shared" si="30"/>
        <v>REJ-INC</v>
      </c>
      <c r="BZ179" s="107" t="str">
        <f t="shared" si="30"/>
        <v>CUR</v>
      </c>
      <c r="CA179" s="107" t="str">
        <f t="shared" si="30"/>
        <v>CUR</v>
      </c>
      <c r="CB179" s="107" t="str">
        <f t="shared" si="30"/>
        <v>CUR</v>
      </c>
      <c r="CC179" s="107" t="str">
        <f t="shared" si="30"/>
        <v>CUR</v>
      </c>
      <c r="CD179" s="107" t="str">
        <f t="shared" si="30"/>
        <v>CUR</v>
      </c>
      <c r="CE179" s="107"/>
      <c r="CF179" s="107"/>
      <c r="CG179" s="107"/>
      <c r="CH179" s="107"/>
      <c r="CI179" s="107"/>
      <c r="CJ179" s="107"/>
      <c r="CK179" s="107"/>
      <c r="CL179" s="107"/>
      <c r="CM179" s="107"/>
      <c r="CN179" s="107"/>
      <c r="CO179" s="107"/>
      <c r="CP179" s="107"/>
      <c r="CQ179" s="107"/>
      <c r="CR179" s="107"/>
      <c r="CS179" s="107"/>
      <c r="CT179" s="107"/>
      <c r="CU179" s="107"/>
      <c r="CV179" s="107"/>
      <c r="CW179" s="107"/>
      <c r="CX179" s="107"/>
      <c r="CY179" s="107"/>
      <c r="CZ179" s="107"/>
      <c r="DA179" s="107"/>
      <c r="DB179" s="107"/>
      <c r="DC179" s="107"/>
      <c r="DD179" s="107"/>
      <c r="DE179" s="107"/>
      <c r="DF179" s="107"/>
      <c r="DG179" s="107"/>
      <c r="DH179" s="107"/>
      <c r="DI179" s="107"/>
      <c r="DJ179" s="107"/>
      <c r="DK179" s="107"/>
      <c r="DL179" s="107"/>
      <c r="DM179" s="107"/>
      <c r="DN179" s="107"/>
      <c r="DO179" s="107"/>
      <c r="DP179" s="107"/>
      <c r="DQ179" s="107"/>
      <c r="DR179" s="107"/>
      <c r="DS179" s="107"/>
      <c r="DT179" s="107"/>
      <c r="DU179" s="107"/>
      <c r="DV179" s="107"/>
      <c r="DW179" s="107"/>
      <c r="DX179" s="107"/>
      <c r="DY179" s="107"/>
      <c r="DZ179" s="107"/>
      <c r="EA179" s="107"/>
      <c r="EB179" s="107"/>
      <c r="EC179" s="107"/>
      <c r="ED179" s="107"/>
      <c r="EE179" s="107"/>
      <c r="EF179" s="107"/>
      <c r="EG179" s="107"/>
      <c r="EH179" s="107"/>
      <c r="EI179" s="107"/>
      <c r="EJ179" s="107"/>
      <c r="EK179" s="107"/>
      <c r="EL179" s="107"/>
      <c r="EM179" s="107"/>
      <c r="EN179" s="107"/>
      <c r="EO179" s="107"/>
      <c r="EP179" s="107"/>
      <c r="EQ179" s="107"/>
      <c r="ER179" s="107"/>
      <c r="ES179" s="107"/>
      <c r="ET179" s="107"/>
      <c r="EU179" s="107"/>
      <c r="EV179" s="107"/>
      <c r="EW179" s="107"/>
      <c r="EX179" s="107"/>
      <c r="EY179" s="107"/>
      <c r="EZ179" s="107"/>
      <c r="FA179" s="107"/>
      <c r="FB179" s="107"/>
      <c r="FC179" s="107"/>
      <c r="FD179" s="107"/>
      <c r="FE179" s="107"/>
      <c r="FF179" s="107"/>
      <c r="FG179" s="107"/>
      <c r="FH179" s="107"/>
      <c r="FI179" s="107"/>
      <c r="FJ179" s="107"/>
      <c r="FK179" s="107"/>
      <c r="FL179" s="107"/>
      <c r="FM179" s="107"/>
      <c r="FN179" s="107"/>
      <c r="FO179" s="107"/>
      <c r="FP179" s="107"/>
      <c r="FQ179" s="107"/>
      <c r="FR179" s="107"/>
      <c r="FS179" s="107"/>
      <c r="FT179" s="107"/>
      <c r="FU179" s="107"/>
      <c r="FV179" s="107"/>
      <c r="FW179" s="107"/>
      <c r="FX179" s="107"/>
      <c r="FY179" s="107"/>
      <c r="FZ179" s="107"/>
      <c r="GA179" s="107"/>
      <c r="GB179" s="107"/>
      <c r="GC179" s="107"/>
      <c r="GD179" s="107"/>
      <c r="GE179" s="107"/>
      <c r="GF179" s="107"/>
      <c r="GG179" s="107"/>
      <c r="GH179" s="107"/>
      <c r="GI179" s="107"/>
      <c r="GJ179" s="107"/>
      <c r="GK179" s="107"/>
      <c r="GL179" s="107"/>
      <c r="GM179" s="107"/>
      <c r="GN179" s="107"/>
      <c r="GO179" s="107"/>
      <c r="GP179" s="107"/>
      <c r="GQ179" s="107"/>
      <c r="GR179" s="107"/>
      <c r="GS179" s="107"/>
      <c r="GT179" s="107"/>
      <c r="GU179" s="107"/>
      <c r="GV179" s="107"/>
      <c r="GW179" s="107"/>
      <c r="GX179" s="107"/>
      <c r="GY179" s="107"/>
      <c r="GZ179" s="107"/>
      <c r="HA179" s="107"/>
      <c r="HB179" s="107"/>
      <c r="HC179" s="107"/>
      <c r="HD179" s="107"/>
      <c r="HE179" s="107"/>
      <c r="HF179" s="107"/>
      <c r="HG179" s="107"/>
      <c r="HH179" s="107"/>
      <c r="HI179" s="107"/>
      <c r="HJ179" s="107"/>
      <c r="HK179" s="107"/>
      <c r="HL179" s="107"/>
      <c r="HM179" s="107"/>
      <c r="HN179" s="107"/>
      <c r="HO179" s="107"/>
      <c r="HP179" s="107"/>
      <c r="HQ179" s="107"/>
      <c r="HR179" s="107"/>
      <c r="HS179" s="107"/>
      <c r="HT179" s="107"/>
      <c r="HU179" s="107"/>
      <c r="HV179" s="107"/>
      <c r="HW179" s="107"/>
      <c r="HX179" s="107"/>
      <c r="HY179" s="107"/>
      <c r="HZ179" s="107"/>
      <c r="IA179" s="107"/>
      <c r="IB179" s="107"/>
      <c r="IC179" s="107"/>
      <c r="ID179" s="107"/>
      <c r="IE179" s="107"/>
      <c r="IF179" s="107"/>
      <c r="IG179" s="107"/>
      <c r="IH179" s="107"/>
      <c r="II179" s="107"/>
      <c r="IJ179" s="107"/>
      <c r="IK179" s="107"/>
      <c r="IL179" s="107"/>
      <c r="IM179" s="107"/>
      <c r="IN179" s="107"/>
      <c r="IO179" s="107"/>
    </row>
    <row r="180" spans="2:249">
      <c r="B180" s="140" t="s">
        <v>463</v>
      </c>
      <c r="C180" s="140"/>
      <c r="D180" s="129"/>
      <c r="E180" s="129"/>
      <c r="F180" s="129"/>
      <c r="G180" s="129"/>
      <c r="H180" s="129"/>
      <c r="I180" s="129"/>
      <c r="J180" s="129"/>
      <c r="K180" s="129"/>
      <c r="L180" s="129"/>
      <c r="M180" s="129"/>
      <c r="N180" s="129"/>
      <c r="O180" s="129"/>
      <c r="P180" s="129"/>
      <c r="Q180" s="129"/>
      <c r="R180" s="129"/>
      <c r="S180" s="129"/>
      <c r="T180" s="129"/>
      <c r="U180" s="129"/>
      <c r="V180" s="129"/>
      <c r="W180" s="129"/>
      <c r="X180" s="129"/>
      <c r="Y180" s="129"/>
      <c r="Z180" s="129"/>
      <c r="AA180" s="129"/>
      <c r="AB180" s="129"/>
      <c r="AC180" s="129"/>
      <c r="AD180" s="129"/>
      <c r="AE180" s="129"/>
      <c r="AF180" s="129"/>
      <c r="AG180" s="129"/>
      <c r="AH180" s="129"/>
      <c r="AI180" s="129"/>
      <c r="AJ180" s="129"/>
      <c r="AK180" s="129"/>
      <c r="AL180" s="129"/>
      <c r="AM180" s="129"/>
      <c r="AN180" s="129"/>
      <c r="AO180" s="129"/>
      <c r="AP180" s="129"/>
      <c r="AQ180" s="129"/>
      <c r="AR180" s="129"/>
      <c r="AS180" s="129"/>
      <c r="AT180" s="129"/>
      <c r="AU180" s="129"/>
      <c r="AV180" s="129"/>
      <c r="AW180" s="129"/>
      <c r="AX180" s="129"/>
      <c r="AY180" s="129"/>
      <c r="AZ180" s="129"/>
      <c r="BA180" s="129"/>
      <c r="BB180" s="129"/>
      <c r="BC180" s="129"/>
      <c r="BD180" s="129"/>
      <c r="BE180" s="129"/>
      <c r="BF180" s="129"/>
      <c r="BG180" s="129"/>
      <c r="BH180" s="129"/>
      <c r="BI180" s="129"/>
      <c r="BJ180" s="129"/>
      <c r="BK180" s="129"/>
      <c r="BL180" s="129"/>
      <c r="BM180" s="129"/>
      <c r="BN180" s="129"/>
      <c r="BO180" s="129"/>
      <c r="BP180" s="129"/>
      <c r="BQ180" s="129"/>
      <c r="BR180" s="129"/>
      <c r="BS180" s="129"/>
      <c r="BT180" s="129"/>
      <c r="BU180" s="129"/>
      <c r="BV180" s="129"/>
      <c r="BW180" s="129"/>
      <c r="BX180" s="129"/>
      <c r="BY180" s="129"/>
      <c r="BZ180" s="129"/>
      <c r="CA180" s="129"/>
      <c r="CB180" s="129"/>
      <c r="CC180" s="129"/>
      <c r="CD180" s="129"/>
      <c r="CE180" s="129"/>
      <c r="CF180" s="129"/>
      <c r="CG180" s="129"/>
      <c r="CH180" s="129"/>
      <c r="CI180" s="129"/>
      <c r="CJ180" s="129"/>
      <c r="CK180" s="129"/>
      <c r="CL180" s="129"/>
      <c r="CM180" s="129"/>
      <c r="CN180" s="129"/>
      <c r="CO180" s="129"/>
      <c r="CP180" s="129"/>
      <c r="CQ180" s="129"/>
      <c r="CR180" s="129"/>
      <c r="CS180" s="129"/>
      <c r="CT180" s="129"/>
      <c r="CU180" s="129"/>
      <c r="CV180" s="129"/>
      <c r="CW180" s="129"/>
      <c r="CX180" s="129"/>
      <c r="CY180" s="129"/>
      <c r="CZ180" s="129"/>
      <c r="DA180" s="129"/>
      <c r="DB180" s="129"/>
      <c r="DC180" s="129"/>
      <c r="DD180" s="129"/>
      <c r="DE180" s="129"/>
      <c r="DF180" s="129"/>
      <c r="DG180" s="129"/>
      <c r="DH180" s="129"/>
      <c r="DI180" s="129"/>
      <c r="DJ180" s="129"/>
      <c r="DK180" s="129"/>
      <c r="DL180" s="129"/>
      <c r="DM180" s="129"/>
      <c r="DN180" s="129"/>
      <c r="DO180" s="129"/>
      <c r="DP180" s="129"/>
      <c r="DQ180" s="129"/>
      <c r="DR180" s="129"/>
      <c r="DS180" s="129"/>
      <c r="DT180" s="129"/>
      <c r="DU180" s="129"/>
      <c r="DV180" s="129"/>
      <c r="DW180" s="129"/>
      <c r="DX180" s="129"/>
      <c r="DY180" s="129"/>
      <c r="DZ180" s="129"/>
      <c r="EA180" s="129"/>
      <c r="EB180" s="129"/>
      <c r="EC180" s="129"/>
      <c r="ED180" s="129"/>
      <c r="EE180" s="129"/>
      <c r="EF180" s="129"/>
      <c r="EG180" s="129"/>
      <c r="EH180" s="129"/>
      <c r="EI180" s="129"/>
      <c r="EJ180" s="129"/>
      <c r="EK180" s="129"/>
      <c r="EL180" s="129"/>
      <c r="EM180" s="129"/>
      <c r="EN180" s="129"/>
      <c r="EO180" s="129"/>
      <c r="EP180" s="129"/>
      <c r="EQ180" s="129"/>
      <c r="ER180" s="129"/>
      <c r="ES180" s="129"/>
      <c r="ET180" s="129"/>
      <c r="EU180" s="129"/>
      <c r="EV180" s="129"/>
      <c r="EW180" s="129"/>
      <c r="EX180" s="129"/>
      <c r="EY180" s="129"/>
      <c r="EZ180" s="129"/>
      <c r="FA180" s="129"/>
      <c r="FB180" s="129"/>
      <c r="FC180" s="129"/>
      <c r="FD180" s="129"/>
      <c r="FE180" s="129"/>
      <c r="FF180" s="129"/>
      <c r="FG180" s="129"/>
      <c r="FH180" s="129"/>
      <c r="FI180" s="129"/>
      <c r="FJ180" s="129"/>
      <c r="FK180" s="129"/>
      <c r="FL180" s="129"/>
      <c r="FM180" s="129"/>
      <c r="FN180" s="129"/>
      <c r="FO180" s="129"/>
      <c r="FP180" s="129"/>
      <c r="FQ180" s="129"/>
      <c r="FR180" s="129"/>
      <c r="FS180" s="129"/>
      <c r="FT180" s="129"/>
      <c r="FU180" s="129"/>
      <c r="FV180" s="129"/>
      <c r="FW180" s="129"/>
      <c r="FX180" s="129"/>
      <c r="FY180" s="129"/>
      <c r="FZ180" s="129"/>
      <c r="GA180" s="129"/>
      <c r="GB180" s="129"/>
      <c r="GC180" s="129"/>
      <c r="GD180" s="129"/>
      <c r="GE180" s="129"/>
      <c r="GF180" s="129"/>
      <c r="GG180" s="129"/>
      <c r="GH180" s="129"/>
      <c r="GI180" s="129"/>
      <c r="GJ180" s="129"/>
      <c r="GK180" s="129"/>
      <c r="GL180" s="129"/>
      <c r="GM180" s="129"/>
      <c r="GN180" s="129"/>
      <c r="GO180" s="129"/>
      <c r="GP180" s="129"/>
      <c r="GQ180" s="129"/>
      <c r="GR180" s="129"/>
      <c r="GS180" s="129"/>
      <c r="GT180" s="129"/>
      <c r="GU180" s="129"/>
      <c r="GV180" s="129"/>
      <c r="GW180" s="129"/>
      <c r="GX180" s="129"/>
      <c r="GY180" s="129"/>
      <c r="GZ180" s="129"/>
      <c r="HA180" s="129"/>
      <c r="HB180" s="129"/>
      <c r="HC180" s="129"/>
      <c r="HD180" s="129"/>
      <c r="HE180" s="129"/>
      <c r="HF180" s="129"/>
      <c r="HG180" s="129"/>
      <c r="HH180" s="129"/>
      <c r="HI180" s="129"/>
      <c r="HJ180" s="129"/>
      <c r="HK180" s="129"/>
      <c r="HL180" s="129"/>
      <c r="HM180" s="129"/>
      <c r="HN180" s="129"/>
      <c r="HO180" s="129"/>
      <c r="HP180" s="129"/>
      <c r="HQ180" s="129"/>
      <c r="HR180" s="129"/>
      <c r="HS180" s="129"/>
      <c r="HT180" s="129"/>
      <c r="HU180" s="129"/>
      <c r="HV180" s="129"/>
      <c r="HW180" s="129"/>
      <c r="HX180" s="129"/>
      <c r="HY180" s="129"/>
      <c r="HZ180" s="129"/>
      <c r="IA180" s="129"/>
      <c r="IB180" s="129"/>
      <c r="IC180" s="129"/>
      <c r="ID180" s="129"/>
      <c r="IE180" s="129"/>
      <c r="IF180" s="129"/>
      <c r="IG180" s="129"/>
      <c r="IH180" s="129"/>
      <c r="II180" s="129"/>
      <c r="IJ180" s="129"/>
      <c r="IK180" s="129"/>
      <c r="IL180" s="129"/>
      <c r="IM180" s="129"/>
      <c r="IN180" s="129"/>
      <c r="IO180" s="129"/>
    </row>
    <row r="181" spans="2:249">
      <c r="B181" s="132"/>
      <c r="C181" s="141" t="str">
        <f>C98</f>
        <v>Review created on FAL screen</v>
      </c>
      <c r="D181" s="107" t="str">
        <f>IF(D99="Y",$C$99,"No Review")</f>
        <v>No Review</v>
      </c>
      <c r="E181" s="107" t="str">
        <f t="shared" ref="E181:AK181" si="31">IF(E99="Y",$C$99,"No Review")</f>
        <v>No Review</v>
      </c>
      <c r="F181" s="107" t="str">
        <f t="shared" si="31"/>
        <v>No Review</v>
      </c>
      <c r="G181" s="107" t="str">
        <f t="shared" si="31"/>
        <v>TFN - EXEMPTION REVIEW (TEX)</v>
      </c>
      <c r="H181" s="107" t="str">
        <f t="shared" si="31"/>
        <v>TFN - EXEMPTION REVIEW (TEX)</v>
      </c>
      <c r="I181" s="107" t="str">
        <f t="shared" si="31"/>
        <v>No Review</v>
      </c>
      <c r="J181" s="107" t="str">
        <f t="shared" si="31"/>
        <v>TFN - EXEMPTION REVIEW (TEX)</v>
      </c>
      <c r="K181" s="107" t="str">
        <f t="shared" si="31"/>
        <v>TFN - EXEMPTION REVIEW (TEX)</v>
      </c>
      <c r="L181" s="107" t="str">
        <f t="shared" si="31"/>
        <v>TFN - EXEMPTION REVIEW (TEX)</v>
      </c>
      <c r="M181" s="107" t="str">
        <f t="shared" si="31"/>
        <v>TFN - EXEMPTION REVIEW (TEX)</v>
      </c>
      <c r="N181" s="107" t="str">
        <f t="shared" si="31"/>
        <v>No Review</v>
      </c>
      <c r="O181" s="107" t="str">
        <f t="shared" si="31"/>
        <v>No Review</v>
      </c>
      <c r="P181" s="107" t="str">
        <f t="shared" si="31"/>
        <v>No Review</v>
      </c>
      <c r="Q181" s="107" t="str">
        <f t="shared" si="31"/>
        <v>No Review</v>
      </c>
      <c r="R181" s="107" t="str">
        <f t="shared" si="31"/>
        <v>No Review</v>
      </c>
      <c r="S181" s="107" t="str">
        <f t="shared" si="31"/>
        <v>No Review</v>
      </c>
      <c r="T181" s="107" t="str">
        <f t="shared" si="31"/>
        <v>No Review</v>
      </c>
      <c r="U181" s="107" t="str">
        <f t="shared" si="31"/>
        <v>No Review</v>
      </c>
      <c r="V181" s="107" t="str">
        <f t="shared" si="31"/>
        <v>No Review</v>
      </c>
      <c r="W181" s="107" t="str">
        <f t="shared" si="31"/>
        <v>No Review</v>
      </c>
      <c r="X181" s="107" t="str">
        <f t="shared" si="31"/>
        <v>No Review</v>
      </c>
      <c r="Y181" s="107" t="str">
        <f t="shared" si="31"/>
        <v>No Review</v>
      </c>
      <c r="Z181" s="107" t="str">
        <f t="shared" si="31"/>
        <v>No Review</v>
      </c>
      <c r="AA181" s="107" t="str">
        <f t="shared" si="31"/>
        <v>No Review</v>
      </c>
      <c r="AB181" s="107" t="str">
        <f t="shared" si="31"/>
        <v>No Review</v>
      </c>
      <c r="AC181" s="107" t="str">
        <f t="shared" si="31"/>
        <v>No Review</v>
      </c>
      <c r="AD181" s="107" t="str">
        <f t="shared" si="31"/>
        <v>No Review</v>
      </c>
      <c r="AE181" s="107" t="str">
        <f t="shared" si="31"/>
        <v>No Review</v>
      </c>
      <c r="AF181" s="107" t="str">
        <f t="shared" si="31"/>
        <v>No Review</v>
      </c>
      <c r="AG181" s="107" t="str">
        <f t="shared" si="31"/>
        <v>No Review</v>
      </c>
      <c r="AH181" s="107" t="str">
        <f t="shared" si="31"/>
        <v>No Review</v>
      </c>
      <c r="AI181" s="107" t="str">
        <f t="shared" si="31"/>
        <v>No Review</v>
      </c>
      <c r="AJ181" s="107" t="str">
        <f t="shared" si="31"/>
        <v>No Review</v>
      </c>
      <c r="AK181" s="107" t="str">
        <f t="shared" si="31"/>
        <v>No Review</v>
      </c>
      <c r="AL181" s="107" t="str">
        <f t="shared" ref="AL181:BH181" si="32">IF(AL99="Y",$C$99,"No Review")</f>
        <v>No Review</v>
      </c>
      <c r="AM181" s="107" t="str">
        <f t="shared" si="32"/>
        <v>No Review</v>
      </c>
      <c r="AN181" s="107" t="str">
        <f t="shared" si="32"/>
        <v>No Review</v>
      </c>
      <c r="AO181" s="107" t="str">
        <f t="shared" si="32"/>
        <v>No Review</v>
      </c>
      <c r="AP181" s="107" t="str">
        <f t="shared" si="32"/>
        <v>No Review</v>
      </c>
      <c r="AQ181" s="107" t="str">
        <f t="shared" si="32"/>
        <v>No Review</v>
      </c>
      <c r="AR181" s="107" t="str">
        <f t="shared" si="32"/>
        <v>No Review</v>
      </c>
      <c r="AS181" s="107" t="str">
        <f t="shared" si="32"/>
        <v>No Review</v>
      </c>
      <c r="AT181" s="107" t="str">
        <f t="shared" si="32"/>
        <v>No Review</v>
      </c>
      <c r="AU181" s="107" t="str">
        <f t="shared" si="32"/>
        <v>No Review</v>
      </c>
      <c r="AV181" s="107" t="str">
        <f t="shared" si="32"/>
        <v>No Review</v>
      </c>
      <c r="AW181" s="107" t="str">
        <f t="shared" si="32"/>
        <v>No Review</v>
      </c>
      <c r="AX181" s="107" t="str">
        <f t="shared" si="32"/>
        <v>No Review</v>
      </c>
      <c r="AY181" s="107" t="str">
        <f t="shared" si="32"/>
        <v>No Review</v>
      </c>
      <c r="AZ181" s="107" t="str">
        <f t="shared" si="32"/>
        <v>No Review</v>
      </c>
      <c r="BA181" s="107" t="str">
        <f t="shared" si="32"/>
        <v>No Review</v>
      </c>
      <c r="BB181" s="107" t="str">
        <f t="shared" si="32"/>
        <v>No Review</v>
      </c>
      <c r="BC181" s="107" t="str">
        <f t="shared" si="32"/>
        <v>No Review</v>
      </c>
      <c r="BD181" s="107" t="str">
        <f t="shared" si="32"/>
        <v>No Review</v>
      </c>
      <c r="BE181" s="107" t="str">
        <f t="shared" si="32"/>
        <v>No Review</v>
      </c>
      <c r="BF181" s="107" t="str">
        <f t="shared" si="32"/>
        <v>No Review</v>
      </c>
      <c r="BG181" s="107" t="str">
        <f t="shared" si="32"/>
        <v>No Review</v>
      </c>
      <c r="BH181" s="107" t="str">
        <f t="shared" si="32"/>
        <v>No Review</v>
      </c>
      <c r="BI181" s="107" t="str">
        <f t="shared" ref="BI181:CD181" si="33">IF(BI99="Y",$C$99,"No Review")</f>
        <v>No Review</v>
      </c>
      <c r="BJ181" s="107" t="str">
        <f t="shared" si="33"/>
        <v>No Review</v>
      </c>
      <c r="BK181" s="107" t="str">
        <f t="shared" si="33"/>
        <v>No Review</v>
      </c>
      <c r="BL181" s="107" t="str">
        <f t="shared" si="33"/>
        <v>No Review</v>
      </c>
      <c r="BM181" s="107" t="str">
        <f t="shared" si="33"/>
        <v>No Review</v>
      </c>
      <c r="BN181" s="107" t="str">
        <f t="shared" si="33"/>
        <v>No Review</v>
      </c>
      <c r="BO181" s="107" t="str">
        <f t="shared" si="33"/>
        <v>No Review</v>
      </c>
      <c r="BP181" s="107" t="str">
        <f t="shared" si="33"/>
        <v>No Review</v>
      </c>
      <c r="BQ181" s="107" t="str">
        <f t="shared" si="33"/>
        <v>No Review</v>
      </c>
      <c r="BR181" s="107" t="str">
        <f t="shared" si="33"/>
        <v>No Review</v>
      </c>
      <c r="BS181" s="107" t="str">
        <f t="shared" si="33"/>
        <v>No Review</v>
      </c>
      <c r="BT181" s="107" t="str">
        <f t="shared" si="33"/>
        <v>No Review</v>
      </c>
      <c r="BU181" s="107" t="str">
        <f t="shared" si="33"/>
        <v>No Review</v>
      </c>
      <c r="BV181" s="107" t="str">
        <f t="shared" si="33"/>
        <v>No Review</v>
      </c>
      <c r="BW181" s="107" t="str">
        <f t="shared" si="33"/>
        <v>No Review</v>
      </c>
      <c r="BX181" s="107" t="str">
        <f t="shared" si="33"/>
        <v>No Review</v>
      </c>
      <c r="BY181" s="107" t="str">
        <f t="shared" si="33"/>
        <v>No Review</v>
      </c>
      <c r="BZ181" s="107" t="str">
        <f t="shared" si="33"/>
        <v>No Review</v>
      </c>
      <c r="CA181" s="107" t="str">
        <f t="shared" si="33"/>
        <v>No Review</v>
      </c>
      <c r="CB181" s="107" t="str">
        <f t="shared" si="33"/>
        <v>No Review</v>
      </c>
      <c r="CC181" s="107" t="str">
        <f t="shared" si="33"/>
        <v>No Review</v>
      </c>
      <c r="CD181" s="107" t="str">
        <f t="shared" si="33"/>
        <v>No Review</v>
      </c>
      <c r="CE181" s="107"/>
      <c r="CF181" s="107"/>
      <c r="CG181" s="107"/>
      <c r="CH181" s="107"/>
      <c r="CI181" s="107"/>
      <c r="CJ181" s="107"/>
      <c r="CK181" s="107"/>
      <c r="CL181" s="107"/>
      <c r="CM181" s="107"/>
      <c r="CN181" s="107"/>
      <c r="CO181" s="107"/>
      <c r="CP181" s="107"/>
      <c r="CQ181" s="107"/>
      <c r="CR181" s="107"/>
      <c r="CS181" s="107"/>
      <c r="CT181" s="107"/>
      <c r="CU181" s="107"/>
      <c r="CV181" s="107"/>
      <c r="CW181" s="107"/>
      <c r="CX181" s="107"/>
      <c r="CY181" s="107"/>
      <c r="CZ181" s="107"/>
      <c r="DA181" s="107"/>
      <c r="DB181" s="107"/>
      <c r="DC181" s="107"/>
      <c r="DD181" s="107"/>
      <c r="DE181" s="107"/>
      <c r="DF181" s="107"/>
      <c r="DG181" s="107"/>
      <c r="DH181" s="107"/>
      <c r="DI181" s="107"/>
      <c r="DJ181" s="107"/>
      <c r="DK181" s="107"/>
      <c r="DL181" s="107"/>
      <c r="DM181" s="107"/>
      <c r="DN181" s="107"/>
      <c r="DO181" s="107"/>
      <c r="DP181" s="107"/>
      <c r="DQ181" s="107"/>
      <c r="DR181" s="107"/>
      <c r="DS181" s="107"/>
      <c r="DT181" s="107"/>
      <c r="DU181" s="107"/>
      <c r="DV181" s="107"/>
      <c r="DW181" s="107"/>
      <c r="DX181" s="107"/>
      <c r="DY181" s="107"/>
      <c r="DZ181" s="107"/>
      <c r="EA181" s="107"/>
      <c r="EB181" s="107"/>
      <c r="EC181" s="107"/>
      <c r="ED181" s="107"/>
      <c r="EE181" s="107"/>
      <c r="EF181" s="107"/>
      <c r="EG181" s="107"/>
      <c r="EH181" s="107"/>
      <c r="EI181" s="107"/>
      <c r="EJ181" s="107"/>
      <c r="EK181" s="107"/>
      <c r="EL181" s="107"/>
      <c r="EM181" s="107"/>
      <c r="EN181" s="107"/>
      <c r="EO181" s="107"/>
      <c r="EP181" s="107"/>
      <c r="EQ181" s="107"/>
      <c r="ER181" s="107"/>
      <c r="ES181" s="107"/>
      <c r="ET181" s="107"/>
      <c r="EU181" s="107"/>
      <c r="EV181" s="107"/>
      <c r="EW181" s="107"/>
      <c r="EX181" s="107"/>
      <c r="EY181" s="107"/>
      <c r="EZ181" s="107"/>
      <c r="FA181" s="107"/>
      <c r="FB181" s="107"/>
      <c r="FC181" s="107"/>
      <c r="FD181" s="107"/>
      <c r="FE181" s="107"/>
      <c r="FF181" s="107"/>
      <c r="FG181" s="107"/>
      <c r="FH181" s="107"/>
      <c r="FI181" s="107"/>
      <c r="FJ181" s="107"/>
      <c r="FK181" s="107"/>
      <c r="FL181" s="107"/>
      <c r="FM181" s="107"/>
      <c r="FN181" s="107"/>
      <c r="FO181" s="107"/>
      <c r="FP181" s="107"/>
      <c r="FQ181" s="107"/>
      <c r="FR181" s="107"/>
      <c r="FS181" s="107"/>
      <c r="FT181" s="107"/>
      <c r="FU181" s="107"/>
      <c r="FV181" s="107"/>
      <c r="FW181" s="107"/>
      <c r="FX181" s="107"/>
      <c r="FY181" s="107"/>
      <c r="FZ181" s="107"/>
      <c r="GA181" s="107"/>
      <c r="GB181" s="107"/>
      <c r="GC181" s="107"/>
      <c r="GD181" s="107"/>
      <c r="GE181" s="107"/>
      <c r="GF181" s="107"/>
      <c r="GG181" s="107"/>
      <c r="GH181" s="107"/>
      <c r="GI181" s="107"/>
      <c r="GJ181" s="107"/>
      <c r="GK181" s="107"/>
      <c r="GL181" s="107"/>
      <c r="GM181" s="107"/>
      <c r="GN181" s="107"/>
      <c r="GO181" s="107"/>
      <c r="GP181" s="107"/>
      <c r="GQ181" s="107"/>
      <c r="GR181" s="107"/>
      <c r="GS181" s="107"/>
      <c r="GT181" s="107"/>
      <c r="GU181" s="107"/>
      <c r="GV181" s="107"/>
      <c r="GW181" s="107"/>
      <c r="GX181" s="107"/>
      <c r="GY181" s="107"/>
      <c r="GZ181" s="107"/>
      <c r="HA181" s="107"/>
      <c r="HB181" s="107"/>
      <c r="HC181" s="107"/>
      <c r="HD181" s="107"/>
      <c r="HE181" s="107"/>
      <c r="HF181" s="107"/>
      <c r="HG181" s="107"/>
      <c r="HH181" s="107"/>
      <c r="HI181" s="107"/>
      <c r="HJ181" s="107"/>
      <c r="HK181" s="107"/>
      <c r="HL181" s="107"/>
      <c r="HM181" s="107"/>
      <c r="HN181" s="107"/>
      <c r="HO181" s="107"/>
      <c r="HP181" s="107"/>
      <c r="HQ181" s="107"/>
      <c r="HR181" s="107"/>
      <c r="HS181" s="107"/>
      <c r="HT181" s="107"/>
      <c r="HU181" s="107"/>
      <c r="HV181" s="107"/>
      <c r="HW181" s="107"/>
      <c r="HX181" s="107"/>
      <c r="HY181" s="107"/>
      <c r="HZ181" s="107"/>
      <c r="IA181" s="107"/>
      <c r="IB181" s="107"/>
      <c r="IC181" s="107"/>
      <c r="ID181" s="107"/>
      <c r="IE181" s="107"/>
      <c r="IF181" s="107"/>
      <c r="IG181" s="107"/>
      <c r="IH181" s="107"/>
      <c r="II181" s="107"/>
      <c r="IJ181" s="107"/>
      <c r="IK181" s="107"/>
      <c r="IL181" s="107"/>
      <c r="IM181" s="107"/>
      <c r="IN181" s="107"/>
      <c r="IO181" s="107"/>
    </row>
    <row r="182" spans="2:249">
      <c r="B182" s="140" t="s">
        <v>464</v>
      </c>
      <c r="C182" s="140"/>
      <c r="D182" s="138"/>
      <c r="E182" s="138"/>
      <c r="F182" s="138"/>
      <c r="G182" s="138"/>
      <c r="H182" s="138"/>
      <c r="I182" s="138"/>
      <c r="J182" s="138"/>
      <c r="K182" s="138"/>
      <c r="L182" s="138"/>
      <c r="M182" s="138"/>
      <c r="N182" s="138"/>
      <c r="O182" s="138"/>
      <c r="P182" s="138"/>
      <c r="Q182" s="138"/>
      <c r="R182" s="138"/>
      <c r="S182" s="138"/>
      <c r="T182" s="138"/>
      <c r="U182" s="138"/>
      <c r="V182" s="138"/>
      <c r="W182" s="138"/>
      <c r="X182" s="138"/>
      <c r="Y182" s="138"/>
      <c r="Z182" s="138"/>
      <c r="AA182" s="138"/>
      <c r="AB182" s="138"/>
      <c r="AC182" s="138"/>
      <c r="AD182" s="138"/>
      <c r="AE182" s="138"/>
      <c r="AF182" s="138"/>
      <c r="AG182" s="138"/>
      <c r="AH182" s="138"/>
      <c r="AI182" s="138"/>
      <c r="AJ182" s="138"/>
      <c r="AK182" s="138"/>
      <c r="AL182" s="138"/>
      <c r="AM182" s="138"/>
      <c r="AN182" s="138"/>
      <c r="AO182" s="138"/>
      <c r="AP182" s="138"/>
      <c r="AQ182" s="138"/>
      <c r="AR182" s="138"/>
      <c r="AS182" s="138"/>
      <c r="AT182" s="138"/>
      <c r="AU182" s="138"/>
      <c r="AV182" s="138"/>
      <c r="AW182" s="138"/>
      <c r="AX182" s="138"/>
      <c r="AY182" s="138"/>
      <c r="AZ182" s="138"/>
      <c r="BA182" s="138"/>
      <c r="BB182" s="138"/>
      <c r="BC182" s="138"/>
      <c r="BD182" s="138"/>
      <c r="BE182" s="138"/>
      <c r="BF182" s="138"/>
      <c r="BG182" s="138"/>
      <c r="BH182" s="138"/>
      <c r="BI182" s="138"/>
      <c r="BJ182" s="138"/>
      <c r="BK182" s="138"/>
      <c r="BL182" s="138"/>
      <c r="BM182" s="138"/>
      <c r="BN182" s="138"/>
      <c r="BO182" s="138"/>
      <c r="BP182" s="138"/>
      <c r="BQ182" s="138"/>
      <c r="BR182" s="138"/>
      <c r="BS182" s="138"/>
      <c r="BT182" s="138"/>
      <c r="BU182" s="138"/>
      <c r="BV182" s="138"/>
      <c r="BW182" s="138"/>
      <c r="BX182" s="138"/>
      <c r="BY182" s="138"/>
      <c r="BZ182" s="138"/>
      <c r="CA182" s="138"/>
      <c r="CB182" s="138"/>
      <c r="CC182" s="138"/>
      <c r="CD182" s="138"/>
      <c r="CE182" s="138"/>
      <c r="CF182" s="138"/>
      <c r="CG182" s="138"/>
      <c r="CH182" s="138"/>
      <c r="CI182" s="138"/>
      <c r="CJ182" s="138"/>
      <c r="CK182" s="138"/>
      <c r="CL182" s="138"/>
      <c r="CM182" s="138"/>
      <c r="CN182" s="138"/>
      <c r="CO182" s="138"/>
      <c r="CP182" s="138"/>
      <c r="CQ182" s="138"/>
      <c r="CR182" s="138"/>
      <c r="CS182" s="138"/>
      <c r="CT182" s="138"/>
      <c r="CU182" s="138"/>
      <c r="CV182" s="138"/>
      <c r="CW182" s="138"/>
      <c r="CX182" s="138"/>
      <c r="CY182" s="138"/>
      <c r="CZ182" s="138"/>
      <c r="DA182" s="138"/>
      <c r="DB182" s="138"/>
      <c r="DC182" s="138"/>
      <c r="DD182" s="138"/>
      <c r="DE182" s="138"/>
      <c r="DF182" s="138"/>
      <c r="DG182" s="138"/>
      <c r="DH182" s="138"/>
      <c r="DI182" s="138"/>
      <c r="DJ182" s="138"/>
      <c r="DK182" s="138"/>
      <c r="DL182" s="138"/>
      <c r="DM182" s="138"/>
      <c r="DN182" s="138"/>
      <c r="DO182" s="138"/>
      <c r="DP182" s="138"/>
      <c r="DQ182" s="138"/>
      <c r="DR182" s="138"/>
      <c r="DS182" s="138"/>
      <c r="DT182" s="138"/>
      <c r="DU182" s="138"/>
      <c r="DV182" s="138"/>
      <c r="DW182" s="138"/>
      <c r="DX182" s="138"/>
      <c r="DY182" s="138"/>
      <c r="DZ182" s="138"/>
      <c r="EA182" s="138"/>
      <c r="EB182" s="138"/>
      <c r="EC182" s="138"/>
      <c r="ED182" s="138"/>
      <c r="EE182" s="138"/>
      <c r="EF182" s="138"/>
      <c r="EG182" s="138"/>
      <c r="EH182" s="138"/>
      <c r="EI182" s="138"/>
      <c r="EJ182" s="138"/>
      <c r="EK182" s="138"/>
      <c r="EL182" s="138"/>
      <c r="EM182" s="138"/>
      <c r="EN182" s="138"/>
      <c r="EO182" s="138"/>
      <c r="EP182" s="138"/>
      <c r="EQ182" s="138"/>
      <c r="ER182" s="138"/>
      <c r="ES182" s="138"/>
      <c r="ET182" s="138"/>
      <c r="EU182" s="138"/>
      <c r="EV182" s="138"/>
      <c r="EW182" s="138"/>
      <c r="EX182" s="138"/>
      <c r="EY182" s="138"/>
      <c r="EZ182" s="138"/>
      <c r="FA182" s="138"/>
      <c r="FB182" s="138"/>
      <c r="FC182" s="138"/>
      <c r="FD182" s="138"/>
      <c r="FE182" s="138"/>
      <c r="FF182" s="138"/>
      <c r="FG182" s="138"/>
      <c r="FH182" s="138"/>
      <c r="FI182" s="138"/>
      <c r="FJ182" s="138"/>
      <c r="FK182" s="138"/>
      <c r="FL182" s="138"/>
      <c r="FM182" s="138"/>
      <c r="FN182" s="138"/>
      <c r="FO182" s="138"/>
      <c r="FP182" s="138"/>
      <c r="FQ182" s="138"/>
      <c r="FR182" s="138"/>
      <c r="FS182" s="138"/>
      <c r="FT182" s="138"/>
      <c r="FU182" s="138"/>
      <c r="FV182" s="138"/>
      <c r="FW182" s="138"/>
      <c r="FX182" s="138"/>
      <c r="FY182" s="138"/>
      <c r="FZ182" s="138"/>
      <c r="GA182" s="138"/>
      <c r="GB182" s="138"/>
      <c r="GC182" s="138"/>
      <c r="GD182" s="138"/>
      <c r="GE182" s="138"/>
      <c r="GF182" s="138"/>
      <c r="GG182" s="138"/>
      <c r="GH182" s="138"/>
      <c r="GI182" s="138"/>
      <c r="GJ182" s="138"/>
      <c r="GK182" s="138"/>
      <c r="GL182" s="138"/>
      <c r="GM182" s="138"/>
      <c r="GN182" s="138"/>
      <c r="GO182" s="138"/>
      <c r="GP182" s="138"/>
      <c r="GQ182" s="138"/>
      <c r="GR182" s="138"/>
      <c r="GS182" s="138"/>
      <c r="GT182" s="138"/>
      <c r="GU182" s="138"/>
      <c r="GV182" s="138"/>
      <c r="GW182" s="138"/>
      <c r="GX182" s="138"/>
      <c r="GY182" s="138"/>
      <c r="GZ182" s="138"/>
      <c r="HA182" s="138"/>
      <c r="HB182" s="138"/>
      <c r="HC182" s="138"/>
      <c r="HD182" s="138"/>
      <c r="HE182" s="138"/>
      <c r="HF182" s="138"/>
      <c r="HG182" s="138"/>
      <c r="HH182" s="138"/>
      <c r="HI182" s="138"/>
      <c r="HJ182" s="138"/>
      <c r="HK182" s="138"/>
      <c r="HL182" s="138"/>
      <c r="HM182" s="138"/>
      <c r="HN182" s="138"/>
      <c r="HO182" s="138"/>
      <c r="HP182" s="138"/>
      <c r="HQ182" s="138"/>
      <c r="HR182" s="138"/>
      <c r="HS182" s="138"/>
      <c r="HT182" s="138"/>
      <c r="HU182" s="138"/>
      <c r="HV182" s="138"/>
      <c r="HW182" s="138"/>
      <c r="HX182" s="138"/>
      <c r="HY182" s="138"/>
      <c r="HZ182" s="138"/>
      <c r="IA182" s="138"/>
      <c r="IB182" s="138"/>
      <c r="IC182" s="138"/>
      <c r="ID182" s="138"/>
      <c r="IE182" s="138"/>
      <c r="IF182" s="138"/>
      <c r="IG182" s="138"/>
      <c r="IH182" s="138"/>
      <c r="II182" s="138"/>
      <c r="IJ182" s="138"/>
      <c r="IK182" s="138"/>
      <c r="IL182" s="138"/>
      <c r="IM182" s="138"/>
      <c r="IN182" s="138"/>
      <c r="IO182" s="138"/>
    </row>
    <row r="183" spans="2:249">
      <c r="B183" s="132"/>
      <c r="C183" s="141" t="str">
        <f>C101</f>
        <v>Customer FTB (A) Status</v>
      </c>
      <c r="D183" s="107" t="str">
        <f>IF(D102="Y",$C$102,IF(D103="Y",$C$103,IF(D104="Y",$C$104,IF(D105="Y",$C$105,$C$106))))</f>
        <v>CUR</v>
      </c>
      <c r="E183" s="107" t="str">
        <f t="shared" ref="E183:AK183" si="34">IF(E102="Y",$C$102,IF(E103="Y",$C$103,IF(E104="Y",$C$104,IF(E105="Y",$C$105,$C$106))))</f>
        <v>NULL</v>
      </c>
      <c r="F183" s="107" t="str">
        <f t="shared" si="34"/>
        <v>NULL</v>
      </c>
      <c r="G183" s="107" t="str">
        <f t="shared" si="34"/>
        <v>CUR</v>
      </c>
      <c r="H183" s="107" t="str">
        <f t="shared" si="34"/>
        <v>CUR</v>
      </c>
      <c r="I183" s="107" t="str">
        <f t="shared" si="34"/>
        <v>NEF-NTP</v>
      </c>
      <c r="J183" s="107" t="str">
        <f t="shared" si="34"/>
        <v>NULL</v>
      </c>
      <c r="K183" s="107" t="str">
        <f t="shared" si="34"/>
        <v>NULL</v>
      </c>
      <c r="L183" s="107" t="str">
        <f t="shared" si="34"/>
        <v>NULL</v>
      </c>
      <c r="M183" s="107" t="str">
        <f t="shared" si="34"/>
        <v>NULL</v>
      </c>
      <c r="N183" s="107" t="str">
        <f t="shared" si="34"/>
        <v>CAN-INC</v>
      </c>
      <c r="O183" s="107" t="str">
        <f t="shared" si="34"/>
        <v>CAN-INC</v>
      </c>
      <c r="P183" s="107" t="str">
        <f t="shared" si="34"/>
        <v>CUR</v>
      </c>
      <c r="Q183" s="107" t="str">
        <f t="shared" si="34"/>
        <v>CAN-INC</v>
      </c>
      <c r="R183" s="107" t="str">
        <f t="shared" si="34"/>
        <v>CAN-INC</v>
      </c>
      <c r="S183" s="107" t="str">
        <f t="shared" si="34"/>
        <v>CUR</v>
      </c>
      <c r="T183" s="107" t="str">
        <f t="shared" si="34"/>
        <v>CUR</v>
      </c>
      <c r="U183" s="107" t="str">
        <f t="shared" si="34"/>
        <v>CUR</v>
      </c>
      <c r="V183" s="107" t="str">
        <f t="shared" si="34"/>
        <v>CUR</v>
      </c>
      <c r="W183" s="107" t="str">
        <f t="shared" si="34"/>
        <v>CUR</v>
      </c>
      <c r="X183" s="107" t="str">
        <f t="shared" si="34"/>
        <v>CUR</v>
      </c>
      <c r="Y183" s="107" t="str">
        <f t="shared" si="34"/>
        <v>CUR</v>
      </c>
      <c r="Z183" s="107" t="str">
        <f t="shared" si="34"/>
        <v>CUR</v>
      </c>
      <c r="AA183" s="107" t="str">
        <f t="shared" si="34"/>
        <v>CUR</v>
      </c>
      <c r="AB183" s="107" t="str">
        <f t="shared" si="34"/>
        <v>CUR</v>
      </c>
      <c r="AC183" s="107" t="str">
        <f t="shared" si="34"/>
        <v>CUR</v>
      </c>
      <c r="AD183" s="107" t="str">
        <f t="shared" si="34"/>
        <v>CUR</v>
      </c>
      <c r="AE183" s="107" t="str">
        <f t="shared" si="34"/>
        <v>CUR</v>
      </c>
      <c r="AF183" s="107" t="str">
        <f t="shared" si="34"/>
        <v>CUR</v>
      </c>
      <c r="AG183" s="107" t="str">
        <f t="shared" si="34"/>
        <v>CUR</v>
      </c>
      <c r="AH183" s="107" t="str">
        <f t="shared" si="34"/>
        <v>CUR</v>
      </c>
      <c r="AI183" s="107" t="str">
        <f t="shared" si="34"/>
        <v>REJ-NRQ</v>
      </c>
      <c r="AJ183" s="107" t="str">
        <f t="shared" si="34"/>
        <v>CUR</v>
      </c>
      <c r="AK183" s="107" t="str">
        <f t="shared" si="34"/>
        <v>REJ-NRQ</v>
      </c>
      <c r="AL183" s="107" t="str">
        <f t="shared" ref="AL183:BH183" si="35">IF(AL102="Y",$C$102,IF(AL103="Y",$C$103,IF(AL104="Y",$C$104,IF(AL105="Y",$C$105,$C$106))))</f>
        <v>CUR</v>
      </c>
      <c r="AM183" s="107" t="str">
        <f t="shared" si="35"/>
        <v>CUR</v>
      </c>
      <c r="AN183" s="107" t="str">
        <f t="shared" si="35"/>
        <v>NULL</v>
      </c>
      <c r="AO183" s="107" t="str">
        <f t="shared" si="35"/>
        <v>NULL</v>
      </c>
      <c r="AP183" s="107" t="str">
        <f t="shared" si="35"/>
        <v>NULL</v>
      </c>
      <c r="AQ183" s="107" t="str">
        <f t="shared" si="35"/>
        <v>CUR</v>
      </c>
      <c r="AR183" s="107" t="str">
        <f t="shared" si="35"/>
        <v>CUR</v>
      </c>
      <c r="AS183" s="107" t="str">
        <f t="shared" si="35"/>
        <v>CUR</v>
      </c>
      <c r="AT183" s="107" t="str">
        <f t="shared" si="35"/>
        <v>CUR</v>
      </c>
      <c r="AU183" s="107" t="str">
        <f t="shared" si="35"/>
        <v>CUR</v>
      </c>
      <c r="AV183" s="107" t="str">
        <f t="shared" si="35"/>
        <v>NULL</v>
      </c>
      <c r="AW183" s="107" t="str">
        <f t="shared" si="35"/>
        <v>NULL</v>
      </c>
      <c r="AX183" s="107" t="str">
        <f t="shared" si="35"/>
        <v>NULL</v>
      </c>
      <c r="AY183" s="107" t="str">
        <f t="shared" si="35"/>
        <v>CUR</v>
      </c>
      <c r="AZ183" s="107" t="str">
        <f t="shared" si="35"/>
        <v>CUR</v>
      </c>
      <c r="BA183" s="107" t="str">
        <f t="shared" si="35"/>
        <v>CUR</v>
      </c>
      <c r="BB183" s="107" t="str">
        <f t="shared" si="35"/>
        <v>CUR</v>
      </c>
      <c r="BC183" s="107" t="str">
        <f t="shared" si="35"/>
        <v>CUR</v>
      </c>
      <c r="BD183" s="107" t="str">
        <f t="shared" si="35"/>
        <v>CUR</v>
      </c>
      <c r="BE183" s="107" t="str">
        <f t="shared" si="35"/>
        <v>NULL</v>
      </c>
      <c r="BF183" s="107" t="str">
        <f t="shared" si="35"/>
        <v>NULL</v>
      </c>
      <c r="BG183" s="107" t="str">
        <f t="shared" si="35"/>
        <v>NULL</v>
      </c>
      <c r="BH183" s="107" t="str">
        <f t="shared" si="35"/>
        <v>CUR</v>
      </c>
      <c r="BI183" s="107" t="str">
        <f t="shared" ref="BI183:CD183" si="36">IF(BI102="Y",$C$102,IF(BI103="Y",$C$103,IF(BI104="Y",$C$104,IF(BI105="Y",$C$105,$C$106))))</f>
        <v>CUR</v>
      </c>
      <c r="BJ183" s="107" t="str">
        <f t="shared" si="36"/>
        <v>CUR</v>
      </c>
      <c r="BK183" s="107" t="str">
        <f t="shared" si="36"/>
        <v>CUR</v>
      </c>
      <c r="BL183" s="107" t="str">
        <f t="shared" si="36"/>
        <v>CUR</v>
      </c>
      <c r="BM183" s="107" t="str">
        <f t="shared" si="36"/>
        <v>CUR</v>
      </c>
      <c r="BN183" s="107" t="str">
        <f t="shared" si="36"/>
        <v>NULL</v>
      </c>
      <c r="BO183" s="107" t="str">
        <f t="shared" si="36"/>
        <v>NULL</v>
      </c>
      <c r="BP183" s="107" t="str">
        <f t="shared" si="36"/>
        <v>NULL</v>
      </c>
      <c r="BQ183" s="107" t="str">
        <f t="shared" si="36"/>
        <v>CUR</v>
      </c>
      <c r="BR183" s="107" t="str">
        <f t="shared" si="36"/>
        <v>CUR</v>
      </c>
      <c r="BS183" s="107" t="str">
        <f t="shared" si="36"/>
        <v>CUR</v>
      </c>
      <c r="BT183" s="107" t="str">
        <f t="shared" si="36"/>
        <v>CUR</v>
      </c>
      <c r="BU183" s="107" t="str">
        <f t="shared" si="36"/>
        <v>CUR</v>
      </c>
      <c r="BV183" s="107" t="str">
        <f t="shared" si="36"/>
        <v>CUR</v>
      </c>
      <c r="BW183" s="107" t="str">
        <f t="shared" si="36"/>
        <v>NULL</v>
      </c>
      <c r="BX183" s="107" t="str">
        <f t="shared" si="36"/>
        <v>NULL</v>
      </c>
      <c r="BY183" s="107" t="str">
        <f t="shared" si="36"/>
        <v>NULL</v>
      </c>
      <c r="BZ183" s="107" t="str">
        <f t="shared" si="36"/>
        <v>CUR</v>
      </c>
      <c r="CA183" s="107" t="str">
        <f t="shared" si="36"/>
        <v>CUR</v>
      </c>
      <c r="CB183" s="107" t="str">
        <f t="shared" si="36"/>
        <v>CUR</v>
      </c>
      <c r="CC183" s="107" t="str">
        <f t="shared" si="36"/>
        <v>CUR</v>
      </c>
      <c r="CD183" s="107" t="str">
        <f t="shared" si="36"/>
        <v>CUR</v>
      </c>
      <c r="CE183" s="107"/>
      <c r="CF183" s="107"/>
      <c r="CG183" s="107"/>
      <c r="CH183" s="107"/>
      <c r="CI183" s="107"/>
      <c r="CJ183" s="107"/>
      <c r="CK183" s="107"/>
      <c r="CL183" s="107"/>
      <c r="CM183" s="107"/>
      <c r="CN183" s="107"/>
      <c r="CO183" s="107"/>
      <c r="CP183" s="107"/>
      <c r="CQ183" s="107"/>
      <c r="CR183" s="107"/>
      <c r="CS183" s="107"/>
      <c r="CT183" s="107"/>
      <c r="CU183" s="107"/>
      <c r="CV183" s="107"/>
      <c r="CW183" s="107"/>
      <c r="CX183" s="107"/>
      <c r="CY183" s="107"/>
      <c r="CZ183" s="107"/>
      <c r="DA183" s="107"/>
      <c r="DB183" s="107"/>
      <c r="DC183" s="107"/>
      <c r="DD183" s="107"/>
      <c r="DE183" s="107"/>
      <c r="DF183" s="107"/>
      <c r="DG183" s="107"/>
      <c r="DH183" s="107"/>
      <c r="DI183" s="107"/>
      <c r="DJ183" s="107"/>
      <c r="DK183" s="107"/>
      <c r="DL183" s="107"/>
      <c r="DM183" s="107"/>
      <c r="DN183" s="107"/>
      <c r="DO183" s="107"/>
      <c r="DP183" s="107"/>
      <c r="DQ183" s="107"/>
      <c r="DR183" s="107"/>
      <c r="DS183" s="107"/>
      <c r="DT183" s="107"/>
      <c r="DU183" s="107"/>
      <c r="DV183" s="107"/>
      <c r="DW183" s="107"/>
      <c r="DX183" s="107"/>
      <c r="DY183" s="107"/>
      <c r="DZ183" s="107"/>
      <c r="EA183" s="107"/>
      <c r="EB183" s="107"/>
      <c r="EC183" s="107"/>
      <c r="ED183" s="107"/>
      <c r="EE183" s="107"/>
      <c r="EF183" s="107"/>
      <c r="EG183" s="107"/>
      <c r="EH183" s="107"/>
      <c r="EI183" s="107"/>
      <c r="EJ183" s="107"/>
      <c r="EK183" s="107"/>
      <c r="EL183" s="107"/>
      <c r="EM183" s="107"/>
      <c r="EN183" s="107"/>
      <c r="EO183" s="107"/>
      <c r="EP183" s="107"/>
      <c r="EQ183" s="107"/>
      <c r="ER183" s="107"/>
      <c r="ES183" s="107"/>
      <c r="ET183" s="107"/>
      <c r="EU183" s="107"/>
      <c r="EV183" s="107"/>
      <c r="EW183" s="107"/>
      <c r="EX183" s="107"/>
      <c r="EY183" s="107"/>
      <c r="EZ183" s="107"/>
      <c r="FA183" s="107"/>
      <c r="FB183" s="107"/>
      <c r="FC183" s="107"/>
      <c r="FD183" s="107"/>
      <c r="FE183" s="107"/>
      <c r="FF183" s="107"/>
      <c r="FG183" s="107"/>
      <c r="FH183" s="107"/>
      <c r="FI183" s="107"/>
      <c r="FJ183" s="107"/>
      <c r="FK183" s="107"/>
      <c r="FL183" s="107"/>
      <c r="FM183" s="107"/>
      <c r="FN183" s="107"/>
      <c r="FO183" s="107"/>
      <c r="FP183" s="107"/>
      <c r="FQ183" s="107"/>
      <c r="FR183" s="107"/>
      <c r="FS183" s="107"/>
      <c r="FT183" s="107"/>
      <c r="FU183" s="107"/>
      <c r="FV183" s="107"/>
      <c r="FW183" s="107"/>
      <c r="FX183" s="107"/>
      <c r="FY183" s="107"/>
      <c r="FZ183" s="107"/>
      <c r="GA183" s="107"/>
      <c r="GB183" s="107"/>
      <c r="GC183" s="107"/>
      <c r="GD183" s="107"/>
      <c r="GE183" s="107"/>
      <c r="GF183" s="107"/>
      <c r="GG183" s="107"/>
      <c r="GH183" s="107"/>
      <c r="GI183" s="107"/>
      <c r="GJ183" s="107"/>
      <c r="GK183" s="107"/>
      <c r="GL183" s="107"/>
      <c r="GM183" s="107"/>
      <c r="GN183" s="107"/>
      <c r="GO183" s="107"/>
      <c r="GP183" s="107"/>
      <c r="GQ183" s="107"/>
      <c r="GR183" s="107"/>
      <c r="GS183" s="107"/>
      <c r="GT183" s="107"/>
      <c r="GU183" s="107"/>
      <c r="GV183" s="107"/>
      <c r="GW183" s="107"/>
      <c r="GX183" s="107"/>
      <c r="GY183" s="107"/>
      <c r="GZ183" s="107"/>
      <c r="HA183" s="107"/>
      <c r="HB183" s="107"/>
      <c r="HC183" s="107"/>
      <c r="HD183" s="107"/>
      <c r="HE183" s="107"/>
      <c r="HF183" s="107"/>
      <c r="HG183" s="107"/>
      <c r="HH183" s="107"/>
      <c r="HI183" s="107"/>
      <c r="HJ183" s="107"/>
      <c r="HK183" s="107"/>
      <c r="HL183" s="107"/>
      <c r="HM183" s="107"/>
      <c r="HN183" s="107"/>
      <c r="HO183" s="107"/>
      <c r="HP183" s="107"/>
      <c r="HQ183" s="107"/>
      <c r="HR183" s="107"/>
      <c r="HS183" s="107"/>
      <c r="HT183" s="107"/>
      <c r="HU183" s="107"/>
      <c r="HV183" s="107"/>
      <c r="HW183" s="107"/>
      <c r="HX183" s="107"/>
      <c r="HY183" s="107"/>
      <c r="HZ183" s="107"/>
      <c r="IA183" s="107"/>
      <c r="IB183" s="107"/>
      <c r="IC183" s="107"/>
      <c r="ID183" s="107"/>
      <c r="IE183" s="107"/>
      <c r="IF183" s="107"/>
      <c r="IG183" s="107"/>
      <c r="IH183" s="107"/>
      <c r="II183" s="107"/>
      <c r="IJ183" s="107"/>
      <c r="IK183" s="107"/>
      <c r="IL183" s="107"/>
      <c r="IM183" s="107"/>
      <c r="IN183" s="107"/>
      <c r="IO183" s="107"/>
    </row>
    <row r="184" spans="2:249">
      <c r="B184" s="132"/>
      <c r="C184" s="141" t="str">
        <f>C107</f>
        <v>Customer FTB (B) Status</v>
      </c>
      <c r="D184" s="107" t="str">
        <f>IF(D108="Y",$C$108,IF(D109="Y",$C$109,IF(D110="Y",$C$110,IF(D111="Y",$C$111,IF(D112="Y",$C$112,$C$113)))))</f>
        <v>CUR</v>
      </c>
      <c r="E184" s="107" t="str">
        <f t="shared" ref="E184:AK184" si="37">IF(E108="Y",$C$108,IF(E109="Y",$C$109,IF(E110="Y",$C$110,IF(E111="Y",$C$111,IF(E112="Y",$C$112,$C$113)))))</f>
        <v>NULL</v>
      </c>
      <c r="F184" s="107" t="str">
        <f t="shared" si="37"/>
        <v>NULL</v>
      </c>
      <c r="G184" s="107" t="str">
        <f t="shared" si="37"/>
        <v>NULL</v>
      </c>
      <c r="H184" s="107" t="str">
        <f t="shared" si="37"/>
        <v>NULL</v>
      </c>
      <c r="I184" s="107" t="str">
        <f t="shared" si="37"/>
        <v>NEF-NTP</v>
      </c>
      <c r="J184" s="107" t="str">
        <f t="shared" si="37"/>
        <v>NULL</v>
      </c>
      <c r="K184" s="107" t="str">
        <f t="shared" si="37"/>
        <v>NULL</v>
      </c>
      <c r="L184" s="107" t="str">
        <f t="shared" si="37"/>
        <v>NULL</v>
      </c>
      <c r="M184" s="107" t="str">
        <f t="shared" si="37"/>
        <v>NULL</v>
      </c>
      <c r="N184" s="107" t="str">
        <f t="shared" si="37"/>
        <v>CUR</v>
      </c>
      <c r="O184" s="107" t="str">
        <f t="shared" si="37"/>
        <v>REJ-IEU</v>
      </c>
      <c r="P184" s="107" t="str">
        <f t="shared" si="37"/>
        <v>REJ-INC</v>
      </c>
      <c r="Q184" s="107" t="str">
        <f t="shared" si="37"/>
        <v>REJ-INC</v>
      </c>
      <c r="R184" s="107" t="str">
        <f t="shared" si="37"/>
        <v>REJ-INC</v>
      </c>
      <c r="S184" s="107" t="str">
        <f t="shared" si="37"/>
        <v>CUR</v>
      </c>
      <c r="T184" s="107" t="str">
        <f t="shared" si="37"/>
        <v>CUR</v>
      </c>
      <c r="U184" s="107" t="str">
        <f t="shared" si="37"/>
        <v>CUR</v>
      </c>
      <c r="V184" s="107" t="str">
        <f t="shared" si="37"/>
        <v>CUR</v>
      </c>
      <c r="W184" s="107" t="str">
        <f t="shared" si="37"/>
        <v>CUR</v>
      </c>
      <c r="X184" s="107" t="str">
        <f t="shared" si="37"/>
        <v>CUR</v>
      </c>
      <c r="Y184" s="107" t="str">
        <f t="shared" si="37"/>
        <v>CUR</v>
      </c>
      <c r="Z184" s="107" t="str">
        <f t="shared" si="37"/>
        <v>CUR</v>
      </c>
      <c r="AA184" s="107" t="str">
        <f t="shared" si="37"/>
        <v>CUR</v>
      </c>
      <c r="AB184" s="107" t="str">
        <f t="shared" si="37"/>
        <v>CUR</v>
      </c>
      <c r="AC184" s="107" t="str">
        <f t="shared" si="37"/>
        <v>CUR</v>
      </c>
      <c r="AD184" s="107" t="str">
        <f t="shared" si="37"/>
        <v>CUR</v>
      </c>
      <c r="AE184" s="107" t="str">
        <f t="shared" si="37"/>
        <v>CUR</v>
      </c>
      <c r="AF184" s="107" t="str">
        <f t="shared" si="37"/>
        <v>CUR</v>
      </c>
      <c r="AG184" s="107" t="str">
        <f t="shared" si="37"/>
        <v>CUR</v>
      </c>
      <c r="AH184" s="107" t="str">
        <f t="shared" si="37"/>
        <v>CUR</v>
      </c>
      <c r="AI184" s="107" t="str">
        <f t="shared" si="37"/>
        <v>REJ-NRQ</v>
      </c>
      <c r="AJ184" s="107" t="str">
        <f t="shared" si="37"/>
        <v>CUR</v>
      </c>
      <c r="AK184" s="107" t="str">
        <f t="shared" si="37"/>
        <v>REJ-NRQ</v>
      </c>
      <c r="AL184" s="107" t="str">
        <f t="shared" ref="AL184:BH184" si="38">IF(AL108="Y",$C$108,IF(AL109="Y",$C$109,IF(AL110="Y",$C$110,IF(AL111="Y",$C$111,IF(AL112="Y",$C$112,$C$113)))))</f>
        <v>CUR</v>
      </c>
      <c r="AM184" s="107" t="str">
        <f t="shared" si="38"/>
        <v>CUR</v>
      </c>
      <c r="AN184" s="107" t="str">
        <f t="shared" si="38"/>
        <v>NULL</v>
      </c>
      <c r="AO184" s="107" t="str">
        <f t="shared" si="38"/>
        <v>NULL</v>
      </c>
      <c r="AP184" s="107" t="str">
        <f t="shared" si="38"/>
        <v>NULL</v>
      </c>
      <c r="AQ184" s="107" t="str">
        <f t="shared" si="38"/>
        <v>CUR</v>
      </c>
      <c r="AR184" s="107" t="str">
        <f t="shared" si="38"/>
        <v>CUR</v>
      </c>
      <c r="AS184" s="107" t="str">
        <f t="shared" si="38"/>
        <v>CUR</v>
      </c>
      <c r="AT184" s="107" t="str">
        <f t="shared" si="38"/>
        <v>CUR</v>
      </c>
      <c r="AU184" s="107" t="str">
        <f t="shared" si="38"/>
        <v>CUR</v>
      </c>
      <c r="AV184" s="107" t="str">
        <f t="shared" si="38"/>
        <v>NULL</v>
      </c>
      <c r="AW184" s="107" t="str">
        <f t="shared" si="38"/>
        <v>NULL</v>
      </c>
      <c r="AX184" s="107" t="str">
        <f t="shared" si="38"/>
        <v>NULL</v>
      </c>
      <c r="AY184" s="107" t="str">
        <f t="shared" si="38"/>
        <v>CUR</v>
      </c>
      <c r="AZ184" s="107" t="str">
        <f t="shared" si="38"/>
        <v>CUR</v>
      </c>
      <c r="BA184" s="107" t="str">
        <f t="shared" si="38"/>
        <v>CUR</v>
      </c>
      <c r="BB184" s="107" t="str">
        <f t="shared" si="38"/>
        <v>CUR</v>
      </c>
      <c r="BC184" s="107" t="str">
        <f t="shared" si="38"/>
        <v>CUR</v>
      </c>
      <c r="BD184" s="107" t="str">
        <f t="shared" si="38"/>
        <v>CUR</v>
      </c>
      <c r="BE184" s="107" t="str">
        <f t="shared" si="38"/>
        <v>NULL</v>
      </c>
      <c r="BF184" s="107" t="str">
        <f t="shared" si="38"/>
        <v>NULL</v>
      </c>
      <c r="BG184" s="107" t="str">
        <f t="shared" si="38"/>
        <v>NULL</v>
      </c>
      <c r="BH184" s="107" t="str">
        <f t="shared" si="38"/>
        <v>CUR</v>
      </c>
      <c r="BI184" s="107" t="str">
        <f t="shared" ref="BI184:CD184" si="39">IF(BI108="Y",$C$108,IF(BI109="Y",$C$109,IF(BI110="Y",$C$110,IF(BI111="Y",$C$111,IF(BI112="Y",$C$112,$C$113)))))</f>
        <v>CUR</v>
      </c>
      <c r="BJ184" s="107" t="str">
        <f t="shared" si="39"/>
        <v>CUR</v>
      </c>
      <c r="BK184" s="107" t="str">
        <f t="shared" si="39"/>
        <v>CUR</v>
      </c>
      <c r="BL184" s="107" t="str">
        <f t="shared" si="39"/>
        <v>CUR</v>
      </c>
      <c r="BM184" s="107" t="str">
        <f t="shared" si="39"/>
        <v>CUR</v>
      </c>
      <c r="BN184" s="107" t="str">
        <f t="shared" si="39"/>
        <v>NULL</v>
      </c>
      <c r="BO184" s="107" t="str">
        <f t="shared" si="39"/>
        <v>NULL</v>
      </c>
      <c r="BP184" s="107" t="str">
        <f t="shared" si="39"/>
        <v>NULL</v>
      </c>
      <c r="BQ184" s="107" t="str">
        <f t="shared" si="39"/>
        <v>CUR</v>
      </c>
      <c r="BR184" s="107" t="str">
        <f t="shared" si="39"/>
        <v>CUR</v>
      </c>
      <c r="BS184" s="107" t="str">
        <f t="shared" si="39"/>
        <v>CUR</v>
      </c>
      <c r="BT184" s="107" t="str">
        <f t="shared" si="39"/>
        <v>CUR</v>
      </c>
      <c r="BU184" s="107" t="str">
        <f t="shared" si="39"/>
        <v>CUR</v>
      </c>
      <c r="BV184" s="107" t="str">
        <f t="shared" si="39"/>
        <v>CUR</v>
      </c>
      <c r="BW184" s="107" t="str">
        <f t="shared" si="39"/>
        <v>NULL</v>
      </c>
      <c r="BX184" s="107" t="str">
        <f t="shared" si="39"/>
        <v>NULL</v>
      </c>
      <c r="BY184" s="107" t="str">
        <f t="shared" si="39"/>
        <v>NULL</v>
      </c>
      <c r="BZ184" s="107" t="str">
        <f t="shared" si="39"/>
        <v>CUR</v>
      </c>
      <c r="CA184" s="107" t="str">
        <f t="shared" si="39"/>
        <v>CUR</v>
      </c>
      <c r="CB184" s="107" t="str">
        <f t="shared" si="39"/>
        <v>CUR</v>
      </c>
      <c r="CC184" s="107" t="str">
        <f t="shared" si="39"/>
        <v>CUR</v>
      </c>
      <c r="CD184" s="107" t="str">
        <f t="shared" si="39"/>
        <v>CUR</v>
      </c>
      <c r="CE184" s="107"/>
      <c r="CF184" s="107"/>
      <c r="CG184" s="107"/>
      <c r="CH184" s="107"/>
      <c r="CI184" s="107"/>
      <c r="CJ184" s="107"/>
      <c r="CK184" s="107"/>
      <c r="CL184" s="107"/>
      <c r="CM184" s="107"/>
      <c r="CN184" s="107"/>
      <c r="CO184" s="107"/>
      <c r="CP184" s="107"/>
      <c r="CQ184" s="107"/>
      <c r="CR184" s="107"/>
      <c r="CS184" s="107"/>
      <c r="CT184" s="107"/>
      <c r="CU184" s="107"/>
      <c r="CV184" s="107"/>
      <c r="CW184" s="107"/>
      <c r="CX184" s="107"/>
      <c r="CY184" s="107"/>
      <c r="CZ184" s="107"/>
      <c r="DA184" s="107"/>
      <c r="DB184" s="107"/>
      <c r="DC184" s="107"/>
      <c r="DD184" s="107"/>
      <c r="DE184" s="107"/>
      <c r="DF184" s="107"/>
      <c r="DG184" s="107"/>
      <c r="DH184" s="107"/>
      <c r="DI184" s="107"/>
      <c r="DJ184" s="107"/>
      <c r="DK184" s="107"/>
      <c r="DL184" s="107"/>
      <c r="DM184" s="107"/>
      <c r="DN184" s="107"/>
      <c r="DO184" s="107"/>
      <c r="DP184" s="107"/>
      <c r="DQ184" s="107"/>
      <c r="DR184" s="107"/>
      <c r="DS184" s="107"/>
      <c r="DT184" s="107"/>
      <c r="DU184" s="107"/>
      <c r="DV184" s="107"/>
      <c r="DW184" s="107"/>
      <c r="DX184" s="107"/>
      <c r="DY184" s="107"/>
      <c r="DZ184" s="107"/>
      <c r="EA184" s="107"/>
      <c r="EB184" s="107"/>
      <c r="EC184" s="107"/>
      <c r="ED184" s="107"/>
      <c r="EE184" s="107"/>
      <c r="EF184" s="107"/>
      <c r="EG184" s="107"/>
      <c r="EH184" s="107"/>
      <c r="EI184" s="107"/>
      <c r="EJ184" s="107"/>
      <c r="EK184" s="107"/>
      <c r="EL184" s="107"/>
      <c r="EM184" s="107"/>
      <c r="EN184" s="107"/>
      <c r="EO184" s="107"/>
      <c r="EP184" s="107"/>
      <c r="EQ184" s="107"/>
      <c r="ER184" s="107"/>
      <c r="ES184" s="107"/>
      <c r="ET184" s="107"/>
      <c r="EU184" s="107"/>
      <c r="EV184" s="107"/>
      <c r="EW184" s="107"/>
      <c r="EX184" s="107"/>
      <c r="EY184" s="107"/>
      <c r="EZ184" s="107"/>
      <c r="FA184" s="107"/>
      <c r="FB184" s="107"/>
      <c r="FC184" s="107"/>
      <c r="FD184" s="107"/>
      <c r="FE184" s="107"/>
      <c r="FF184" s="107"/>
      <c r="FG184" s="107"/>
      <c r="FH184" s="107"/>
      <c r="FI184" s="107"/>
      <c r="FJ184" s="107"/>
      <c r="FK184" s="107"/>
      <c r="FL184" s="107"/>
      <c r="FM184" s="107"/>
      <c r="FN184" s="107"/>
      <c r="FO184" s="107"/>
      <c r="FP184" s="107"/>
      <c r="FQ184" s="107"/>
      <c r="FR184" s="107"/>
      <c r="FS184" s="107"/>
      <c r="FT184" s="107"/>
      <c r="FU184" s="107"/>
      <c r="FV184" s="107"/>
      <c r="FW184" s="107"/>
      <c r="FX184" s="107"/>
      <c r="FY184" s="107"/>
      <c r="FZ184" s="107"/>
      <c r="GA184" s="107"/>
      <c r="GB184" s="107"/>
      <c r="GC184" s="107"/>
      <c r="GD184" s="107"/>
      <c r="GE184" s="107"/>
      <c r="GF184" s="107"/>
      <c r="GG184" s="107"/>
      <c r="GH184" s="107"/>
      <c r="GI184" s="107"/>
      <c r="GJ184" s="107"/>
      <c r="GK184" s="107"/>
      <c r="GL184" s="107"/>
      <c r="GM184" s="107"/>
      <c r="GN184" s="107"/>
      <c r="GO184" s="107"/>
      <c r="GP184" s="107"/>
      <c r="GQ184" s="107"/>
      <c r="GR184" s="107"/>
      <c r="GS184" s="107"/>
      <c r="GT184" s="107"/>
      <c r="GU184" s="107"/>
      <c r="GV184" s="107"/>
      <c r="GW184" s="107"/>
      <c r="GX184" s="107"/>
      <c r="GY184" s="107"/>
      <c r="GZ184" s="107"/>
      <c r="HA184" s="107"/>
      <c r="HB184" s="107"/>
      <c r="HC184" s="107"/>
      <c r="HD184" s="107"/>
      <c r="HE184" s="107"/>
      <c r="HF184" s="107"/>
      <c r="HG184" s="107"/>
      <c r="HH184" s="107"/>
      <c r="HI184" s="107"/>
      <c r="HJ184" s="107"/>
      <c r="HK184" s="107"/>
      <c r="HL184" s="107"/>
      <c r="HM184" s="107"/>
      <c r="HN184" s="107"/>
      <c r="HO184" s="107"/>
      <c r="HP184" s="107"/>
      <c r="HQ184" s="107"/>
      <c r="HR184" s="107"/>
      <c r="HS184" s="107"/>
      <c r="HT184" s="107"/>
      <c r="HU184" s="107"/>
      <c r="HV184" s="107"/>
      <c r="HW184" s="107"/>
      <c r="HX184" s="107"/>
      <c r="HY184" s="107"/>
      <c r="HZ184" s="107"/>
      <c r="IA184" s="107"/>
      <c r="IB184" s="107"/>
      <c r="IC184" s="107"/>
      <c r="ID184" s="107"/>
      <c r="IE184" s="107"/>
      <c r="IF184" s="107"/>
      <c r="IG184" s="107"/>
      <c r="IH184" s="107"/>
      <c r="II184" s="107"/>
      <c r="IJ184" s="107"/>
      <c r="IK184" s="107"/>
      <c r="IL184" s="107"/>
      <c r="IM184" s="107"/>
      <c r="IN184" s="107"/>
      <c r="IO184" s="107"/>
    </row>
    <row r="185" spans="2:249">
      <c r="B185" s="132"/>
      <c r="C185" s="141" t="str">
        <f>C114</f>
        <v>Customer RA Status</v>
      </c>
      <c r="D185" s="107" t="str">
        <f>IF(D115="Y",$C$115,IF(D116="Y",$C$116,$C$117))</f>
        <v>N-HOM</v>
      </c>
      <c r="E185" s="107" t="str">
        <f t="shared" ref="E185:AK185" si="40">IF(E115="Y",$C$115,IF(E116="Y",$C$116,$C$117))</f>
        <v>N-NULL</v>
      </c>
      <c r="F185" s="107" t="str">
        <f t="shared" si="40"/>
        <v>N-NULL</v>
      </c>
      <c r="G185" s="107" t="str">
        <f t="shared" si="40"/>
        <v>N-NULL</v>
      </c>
      <c r="H185" s="107" t="str">
        <f t="shared" si="40"/>
        <v>N-NULL</v>
      </c>
      <c r="I185" s="107" t="str">
        <f t="shared" si="40"/>
        <v>N-NULL</v>
      </c>
      <c r="J185" s="107" t="str">
        <f t="shared" si="40"/>
        <v>N-NULL</v>
      </c>
      <c r="K185" s="107" t="str">
        <f t="shared" si="40"/>
        <v>N-NULL</v>
      </c>
      <c r="L185" s="107" t="str">
        <f t="shared" si="40"/>
        <v>N-NULL</v>
      </c>
      <c r="M185" s="107" t="str">
        <f t="shared" si="40"/>
        <v>N-NULL</v>
      </c>
      <c r="N185" s="107" t="str">
        <f t="shared" si="40"/>
        <v>N-NULL</v>
      </c>
      <c r="O185" s="107" t="str">
        <f t="shared" si="40"/>
        <v>N-NULL</v>
      </c>
      <c r="P185" s="107" t="str">
        <f t="shared" si="40"/>
        <v>N-HOM</v>
      </c>
      <c r="Q185" s="107" t="str">
        <f t="shared" si="40"/>
        <v>N-NULL</v>
      </c>
      <c r="R185" s="107" t="str">
        <f t="shared" si="40"/>
        <v>N-NULL</v>
      </c>
      <c r="S185" s="107" t="str">
        <f t="shared" si="40"/>
        <v>N-HOM</v>
      </c>
      <c r="T185" s="107" t="str">
        <f t="shared" si="40"/>
        <v>N-HOM</v>
      </c>
      <c r="U185" s="107" t="str">
        <f t="shared" si="40"/>
        <v>N-HOM</v>
      </c>
      <c r="V185" s="107" t="str">
        <f t="shared" si="40"/>
        <v>N-HOM</v>
      </c>
      <c r="W185" s="107" t="str">
        <f t="shared" si="40"/>
        <v>N-HOM</v>
      </c>
      <c r="X185" s="107" t="str">
        <f t="shared" si="40"/>
        <v>N-HOM</v>
      </c>
      <c r="Y185" s="107" t="str">
        <f t="shared" si="40"/>
        <v>N-HOM</v>
      </c>
      <c r="Z185" s="107" t="str">
        <f t="shared" si="40"/>
        <v>N-HOM</v>
      </c>
      <c r="AA185" s="107" t="str">
        <f t="shared" si="40"/>
        <v>N-HOM</v>
      </c>
      <c r="AB185" s="107" t="str">
        <f t="shared" si="40"/>
        <v>N-HOM</v>
      </c>
      <c r="AC185" s="107" t="str">
        <f t="shared" si="40"/>
        <v>N-HOM</v>
      </c>
      <c r="AD185" s="107" t="str">
        <f t="shared" si="40"/>
        <v>N-HOM</v>
      </c>
      <c r="AE185" s="107" t="str">
        <f t="shared" si="40"/>
        <v>N-HOM</v>
      </c>
      <c r="AF185" s="107" t="str">
        <f t="shared" si="40"/>
        <v>N-HOM</v>
      </c>
      <c r="AG185" s="107" t="str">
        <f t="shared" si="40"/>
        <v>N-HOM</v>
      </c>
      <c r="AH185" s="107" t="str">
        <f t="shared" si="40"/>
        <v>N-HOM</v>
      </c>
      <c r="AI185" s="107" t="str">
        <f t="shared" si="40"/>
        <v>N-NULL</v>
      </c>
      <c r="AJ185" s="107" t="str">
        <f t="shared" si="40"/>
        <v>N-HOM</v>
      </c>
      <c r="AK185" s="107" t="str">
        <f t="shared" si="40"/>
        <v>N-NULL</v>
      </c>
      <c r="AL185" s="107" t="str">
        <f t="shared" ref="AL185:BH185" si="41">IF(AL115="Y",$C$115,IF(AL116="Y",$C$116,$C$117))</f>
        <v>N-HOM</v>
      </c>
      <c r="AM185" s="107" t="str">
        <f t="shared" si="41"/>
        <v>N-HOM</v>
      </c>
      <c r="AN185" s="107" t="str">
        <f t="shared" si="41"/>
        <v>N-NULL</v>
      </c>
      <c r="AO185" s="107" t="str">
        <f t="shared" si="41"/>
        <v>N-NULL</v>
      </c>
      <c r="AP185" s="107" t="str">
        <f t="shared" si="41"/>
        <v>N-NULL</v>
      </c>
      <c r="AQ185" s="107" t="str">
        <f t="shared" si="41"/>
        <v>N-HOM</v>
      </c>
      <c r="AR185" s="107" t="str">
        <f t="shared" si="41"/>
        <v>N-HOM</v>
      </c>
      <c r="AS185" s="107" t="str">
        <f t="shared" si="41"/>
        <v>N-HOM</v>
      </c>
      <c r="AT185" s="107" t="str">
        <f t="shared" si="41"/>
        <v>N-HOM</v>
      </c>
      <c r="AU185" s="107" t="str">
        <f t="shared" si="41"/>
        <v>N-HOM</v>
      </c>
      <c r="AV185" s="107" t="str">
        <f t="shared" si="41"/>
        <v>N-NULL</v>
      </c>
      <c r="AW185" s="107" t="str">
        <f t="shared" si="41"/>
        <v>N-NULL</v>
      </c>
      <c r="AX185" s="107" t="str">
        <f t="shared" si="41"/>
        <v>N-NULL</v>
      </c>
      <c r="AY185" s="107" t="str">
        <f t="shared" si="41"/>
        <v>N-HOM</v>
      </c>
      <c r="AZ185" s="107" t="str">
        <f t="shared" si="41"/>
        <v>N-HOM</v>
      </c>
      <c r="BA185" s="107" t="str">
        <f t="shared" si="41"/>
        <v>N-HOM</v>
      </c>
      <c r="BB185" s="107" t="str">
        <f t="shared" si="41"/>
        <v>N-HOM</v>
      </c>
      <c r="BC185" s="107" t="str">
        <f t="shared" si="41"/>
        <v>N-HOM</v>
      </c>
      <c r="BD185" s="107" t="str">
        <f t="shared" si="41"/>
        <v>N-HOM</v>
      </c>
      <c r="BE185" s="107" t="str">
        <f t="shared" si="41"/>
        <v>N-NULL</v>
      </c>
      <c r="BF185" s="107" t="str">
        <f t="shared" si="41"/>
        <v>N-NULL</v>
      </c>
      <c r="BG185" s="107" t="str">
        <f t="shared" si="41"/>
        <v>N-NULL</v>
      </c>
      <c r="BH185" s="107" t="str">
        <f t="shared" si="41"/>
        <v>N-HOM</v>
      </c>
      <c r="BI185" s="107" t="str">
        <f t="shared" ref="BI185:CD185" si="42">IF(BI115="Y",$C$115,IF(BI116="Y",$C$116,$C$117))</f>
        <v>N-HOM</v>
      </c>
      <c r="BJ185" s="107" t="str">
        <f t="shared" si="42"/>
        <v>N-HOM</v>
      </c>
      <c r="BK185" s="107" t="str">
        <f t="shared" si="42"/>
        <v>N-HOM</v>
      </c>
      <c r="BL185" s="107" t="str">
        <f t="shared" si="42"/>
        <v>N-HOM</v>
      </c>
      <c r="BM185" s="107" t="str">
        <f t="shared" si="42"/>
        <v>N-HOM</v>
      </c>
      <c r="BN185" s="107" t="str">
        <f t="shared" si="42"/>
        <v>N-NULL</v>
      </c>
      <c r="BO185" s="107" t="str">
        <f t="shared" si="42"/>
        <v>N-NULL</v>
      </c>
      <c r="BP185" s="107" t="str">
        <f t="shared" si="42"/>
        <v>N-NULL</v>
      </c>
      <c r="BQ185" s="107" t="str">
        <f t="shared" si="42"/>
        <v>N-HOM</v>
      </c>
      <c r="BR185" s="107" t="str">
        <f t="shared" si="42"/>
        <v>N-HOM</v>
      </c>
      <c r="BS185" s="107" t="str">
        <f t="shared" si="42"/>
        <v>N-HOM</v>
      </c>
      <c r="BT185" s="107" t="str">
        <f t="shared" si="42"/>
        <v>N-HOM</v>
      </c>
      <c r="BU185" s="107" t="str">
        <f t="shared" si="42"/>
        <v>N-HOM</v>
      </c>
      <c r="BV185" s="107" t="str">
        <f t="shared" si="42"/>
        <v>N-HOM</v>
      </c>
      <c r="BW185" s="107" t="str">
        <f t="shared" si="42"/>
        <v>N-NULL</v>
      </c>
      <c r="BX185" s="107" t="str">
        <f t="shared" si="42"/>
        <v>N-NULL</v>
      </c>
      <c r="BY185" s="107" t="str">
        <f t="shared" si="42"/>
        <v>N-NULL</v>
      </c>
      <c r="BZ185" s="107" t="str">
        <f t="shared" si="42"/>
        <v>N-HOM</v>
      </c>
      <c r="CA185" s="107" t="str">
        <f t="shared" si="42"/>
        <v>N-HOM</v>
      </c>
      <c r="CB185" s="107" t="str">
        <f t="shared" si="42"/>
        <v>N-HOM</v>
      </c>
      <c r="CC185" s="107" t="str">
        <f t="shared" si="42"/>
        <v>N-HOM</v>
      </c>
      <c r="CD185" s="107" t="str">
        <f t="shared" si="42"/>
        <v>N-HOM</v>
      </c>
      <c r="CE185" s="107"/>
      <c r="CF185" s="107"/>
      <c r="CG185" s="107"/>
      <c r="CH185" s="107"/>
      <c r="CI185" s="107"/>
      <c r="CJ185" s="107"/>
      <c r="CK185" s="107"/>
      <c r="CL185" s="107"/>
      <c r="CM185" s="107"/>
      <c r="CN185" s="107"/>
      <c r="CO185" s="107"/>
      <c r="CP185" s="107"/>
      <c r="CQ185" s="107"/>
      <c r="CR185" s="107"/>
      <c r="CS185" s="107"/>
      <c r="CT185" s="107"/>
      <c r="CU185" s="107"/>
      <c r="CV185" s="107"/>
      <c r="CW185" s="107"/>
      <c r="CX185" s="107"/>
      <c r="CY185" s="107"/>
      <c r="CZ185" s="107"/>
      <c r="DA185" s="107"/>
      <c r="DB185" s="107"/>
      <c r="DC185" s="107"/>
      <c r="DD185" s="107"/>
      <c r="DE185" s="107"/>
      <c r="DF185" s="107"/>
      <c r="DG185" s="107"/>
      <c r="DH185" s="107"/>
      <c r="DI185" s="107"/>
      <c r="DJ185" s="107"/>
      <c r="DK185" s="107"/>
      <c r="DL185" s="107"/>
      <c r="DM185" s="107"/>
      <c r="DN185" s="107"/>
      <c r="DO185" s="107"/>
      <c r="DP185" s="107"/>
      <c r="DQ185" s="107"/>
      <c r="DR185" s="107"/>
      <c r="DS185" s="107"/>
      <c r="DT185" s="107"/>
      <c r="DU185" s="107"/>
      <c r="DV185" s="107"/>
      <c r="DW185" s="107"/>
      <c r="DX185" s="107"/>
      <c r="DY185" s="107"/>
      <c r="DZ185" s="107"/>
      <c r="EA185" s="107"/>
      <c r="EB185" s="107"/>
      <c r="EC185" s="107"/>
      <c r="ED185" s="107"/>
      <c r="EE185" s="107"/>
      <c r="EF185" s="107"/>
      <c r="EG185" s="107"/>
      <c r="EH185" s="107"/>
      <c r="EI185" s="107"/>
      <c r="EJ185" s="107"/>
      <c r="EK185" s="107"/>
      <c r="EL185" s="107"/>
      <c r="EM185" s="107"/>
      <c r="EN185" s="107"/>
      <c r="EO185" s="107"/>
      <c r="EP185" s="107"/>
      <c r="EQ185" s="107"/>
      <c r="ER185" s="107"/>
      <c r="ES185" s="107"/>
      <c r="ET185" s="107"/>
      <c r="EU185" s="107"/>
      <c r="EV185" s="107"/>
      <c r="EW185" s="107"/>
      <c r="EX185" s="107"/>
      <c r="EY185" s="107"/>
      <c r="EZ185" s="107"/>
      <c r="FA185" s="107"/>
      <c r="FB185" s="107"/>
      <c r="FC185" s="107"/>
      <c r="FD185" s="107"/>
      <c r="FE185" s="107"/>
      <c r="FF185" s="107"/>
      <c r="FG185" s="107"/>
      <c r="FH185" s="107"/>
      <c r="FI185" s="107"/>
      <c r="FJ185" s="107"/>
      <c r="FK185" s="107"/>
      <c r="FL185" s="107"/>
      <c r="FM185" s="107"/>
      <c r="FN185" s="107"/>
      <c r="FO185" s="107"/>
      <c r="FP185" s="107"/>
      <c r="FQ185" s="107"/>
      <c r="FR185" s="107"/>
      <c r="FS185" s="107"/>
      <c r="FT185" s="107"/>
      <c r="FU185" s="107"/>
      <c r="FV185" s="107"/>
      <c r="FW185" s="107"/>
      <c r="FX185" s="107"/>
      <c r="FY185" s="107"/>
      <c r="FZ185" s="107"/>
      <c r="GA185" s="107"/>
      <c r="GB185" s="107"/>
      <c r="GC185" s="107"/>
      <c r="GD185" s="107"/>
      <c r="GE185" s="107"/>
      <c r="GF185" s="107"/>
      <c r="GG185" s="107"/>
      <c r="GH185" s="107"/>
      <c r="GI185" s="107"/>
      <c r="GJ185" s="107"/>
      <c r="GK185" s="107"/>
      <c r="GL185" s="107"/>
      <c r="GM185" s="107"/>
      <c r="GN185" s="107"/>
      <c r="GO185" s="107"/>
      <c r="GP185" s="107"/>
      <c r="GQ185" s="107"/>
      <c r="GR185" s="107"/>
      <c r="GS185" s="107"/>
      <c r="GT185" s="107"/>
      <c r="GU185" s="107"/>
      <c r="GV185" s="107"/>
      <c r="GW185" s="107"/>
      <c r="GX185" s="107"/>
      <c r="GY185" s="107"/>
      <c r="GZ185" s="107"/>
      <c r="HA185" s="107"/>
      <c r="HB185" s="107"/>
      <c r="HC185" s="107"/>
      <c r="HD185" s="107"/>
      <c r="HE185" s="107"/>
      <c r="HF185" s="107"/>
      <c r="HG185" s="107"/>
      <c r="HH185" s="107"/>
      <c r="HI185" s="107"/>
      <c r="HJ185" s="107"/>
      <c r="HK185" s="107"/>
      <c r="HL185" s="107"/>
      <c r="HM185" s="107"/>
      <c r="HN185" s="107"/>
      <c r="HO185" s="107"/>
      <c r="HP185" s="107"/>
      <c r="HQ185" s="107"/>
      <c r="HR185" s="107"/>
      <c r="HS185" s="107"/>
      <c r="HT185" s="107"/>
      <c r="HU185" s="107"/>
      <c r="HV185" s="107"/>
      <c r="HW185" s="107"/>
      <c r="HX185" s="107"/>
      <c r="HY185" s="107"/>
      <c r="HZ185" s="107"/>
      <c r="IA185" s="107"/>
      <c r="IB185" s="107"/>
      <c r="IC185" s="107"/>
      <c r="ID185" s="107"/>
      <c r="IE185" s="107"/>
      <c r="IF185" s="107"/>
      <c r="IG185" s="107"/>
      <c r="IH185" s="107"/>
      <c r="II185" s="107"/>
      <c r="IJ185" s="107"/>
      <c r="IK185" s="107"/>
      <c r="IL185" s="107"/>
      <c r="IM185" s="107"/>
      <c r="IN185" s="107"/>
      <c r="IO185" s="107"/>
    </row>
    <row r="186" spans="2:249">
      <c r="B186" s="140" t="s">
        <v>473</v>
      </c>
      <c r="C186" s="140"/>
      <c r="D186" s="138"/>
      <c r="E186" s="138"/>
      <c r="F186" s="138"/>
      <c r="G186" s="138"/>
      <c r="H186" s="138"/>
      <c r="I186" s="138"/>
      <c r="J186" s="138"/>
      <c r="K186" s="138"/>
      <c r="L186" s="138"/>
      <c r="M186" s="138"/>
      <c r="N186" s="138"/>
      <c r="O186" s="138"/>
      <c r="P186" s="138"/>
      <c r="Q186" s="138"/>
      <c r="R186" s="138"/>
      <c r="S186" s="138"/>
      <c r="T186" s="138"/>
      <c r="U186" s="138"/>
      <c r="V186" s="138"/>
      <c r="W186" s="138"/>
      <c r="X186" s="138"/>
      <c r="Y186" s="138"/>
      <c r="Z186" s="138"/>
      <c r="AA186" s="138"/>
      <c r="AB186" s="138"/>
      <c r="AC186" s="138"/>
      <c r="AD186" s="138"/>
      <c r="AE186" s="138"/>
      <c r="AF186" s="138"/>
      <c r="AG186" s="138"/>
      <c r="AH186" s="138"/>
      <c r="AI186" s="138"/>
      <c r="AJ186" s="138"/>
      <c r="AK186" s="138"/>
      <c r="AL186" s="138"/>
      <c r="AM186" s="138"/>
      <c r="AN186" s="138"/>
      <c r="AO186" s="138"/>
      <c r="AP186" s="138"/>
      <c r="AQ186" s="138"/>
      <c r="AR186" s="138"/>
      <c r="AS186" s="138"/>
      <c r="AT186" s="138"/>
      <c r="AU186" s="138"/>
      <c r="AV186" s="138"/>
      <c r="AW186" s="138"/>
      <c r="AX186" s="138"/>
      <c r="AY186" s="138"/>
      <c r="AZ186" s="138"/>
      <c r="BA186" s="138"/>
      <c r="BB186" s="138"/>
      <c r="BC186" s="138"/>
      <c r="BD186" s="138"/>
      <c r="BE186" s="138"/>
      <c r="BF186" s="138"/>
      <c r="BG186" s="138"/>
      <c r="BH186" s="138"/>
      <c r="BI186" s="138"/>
      <c r="BJ186" s="138"/>
      <c r="BK186" s="138"/>
      <c r="BL186" s="138"/>
      <c r="BM186" s="138"/>
      <c r="BN186" s="138"/>
      <c r="BO186" s="138"/>
      <c r="BP186" s="138"/>
      <c r="BQ186" s="138"/>
      <c r="BR186" s="138"/>
      <c r="BS186" s="138"/>
      <c r="BT186" s="138"/>
      <c r="BU186" s="138"/>
      <c r="BV186" s="138"/>
      <c r="BW186" s="138"/>
      <c r="BX186" s="138"/>
      <c r="BY186" s="138"/>
      <c r="BZ186" s="138"/>
      <c r="CA186" s="138"/>
      <c r="CB186" s="138"/>
      <c r="CC186" s="138"/>
      <c r="CD186" s="138"/>
      <c r="CE186" s="138"/>
      <c r="CF186" s="138"/>
      <c r="CG186" s="138"/>
      <c r="CH186" s="138"/>
      <c r="CI186" s="138"/>
      <c r="CJ186" s="138"/>
      <c r="CK186" s="138"/>
      <c r="CL186" s="138"/>
      <c r="CM186" s="138"/>
      <c r="CN186" s="138"/>
      <c r="CO186" s="138"/>
      <c r="CP186" s="138"/>
      <c r="CQ186" s="138"/>
      <c r="CR186" s="138"/>
      <c r="CS186" s="138"/>
      <c r="CT186" s="138"/>
      <c r="CU186" s="138"/>
      <c r="CV186" s="138"/>
      <c r="CW186" s="138"/>
      <c r="CX186" s="138"/>
      <c r="CY186" s="138"/>
      <c r="CZ186" s="138"/>
      <c r="DA186" s="138"/>
      <c r="DB186" s="138"/>
      <c r="DC186" s="138"/>
      <c r="DD186" s="138"/>
      <c r="DE186" s="138"/>
      <c r="DF186" s="138"/>
      <c r="DG186" s="138"/>
      <c r="DH186" s="138"/>
      <c r="DI186" s="138"/>
      <c r="DJ186" s="138"/>
      <c r="DK186" s="138"/>
      <c r="DL186" s="138"/>
      <c r="DM186" s="138"/>
      <c r="DN186" s="138"/>
      <c r="DO186" s="138"/>
      <c r="DP186" s="138"/>
      <c r="DQ186" s="138"/>
      <c r="DR186" s="138"/>
      <c r="DS186" s="138"/>
      <c r="DT186" s="138"/>
      <c r="DU186" s="138"/>
      <c r="DV186" s="138"/>
      <c r="DW186" s="138"/>
      <c r="DX186" s="138"/>
      <c r="DY186" s="138"/>
      <c r="DZ186" s="138"/>
      <c r="EA186" s="138"/>
      <c r="EB186" s="138"/>
      <c r="EC186" s="138"/>
      <c r="ED186" s="138"/>
      <c r="EE186" s="138"/>
      <c r="EF186" s="138"/>
      <c r="EG186" s="138"/>
      <c r="EH186" s="138"/>
      <c r="EI186" s="138"/>
      <c r="EJ186" s="138"/>
      <c r="EK186" s="138"/>
      <c r="EL186" s="138"/>
      <c r="EM186" s="138"/>
      <c r="EN186" s="138"/>
      <c r="EO186" s="138"/>
      <c r="EP186" s="138"/>
      <c r="EQ186" s="138"/>
      <c r="ER186" s="138"/>
      <c r="ES186" s="138"/>
      <c r="ET186" s="138"/>
      <c r="EU186" s="138"/>
      <c r="EV186" s="138"/>
      <c r="EW186" s="138"/>
      <c r="EX186" s="138"/>
      <c r="EY186" s="138"/>
      <c r="EZ186" s="138"/>
      <c r="FA186" s="138"/>
      <c r="FB186" s="138"/>
      <c r="FC186" s="138"/>
      <c r="FD186" s="138"/>
      <c r="FE186" s="138"/>
      <c r="FF186" s="138"/>
      <c r="FG186" s="138"/>
      <c r="FH186" s="138"/>
      <c r="FI186" s="138"/>
      <c r="FJ186" s="138"/>
      <c r="FK186" s="138"/>
      <c r="FL186" s="138"/>
      <c r="FM186" s="138"/>
      <c r="FN186" s="138"/>
      <c r="FO186" s="138"/>
      <c r="FP186" s="138"/>
      <c r="FQ186" s="138"/>
      <c r="FR186" s="138"/>
      <c r="FS186" s="138"/>
      <c r="FT186" s="138"/>
      <c r="FU186" s="138"/>
      <c r="FV186" s="138"/>
      <c r="FW186" s="138"/>
      <c r="FX186" s="138"/>
      <c r="FY186" s="138"/>
      <c r="FZ186" s="138"/>
      <c r="GA186" s="138"/>
      <c r="GB186" s="138"/>
      <c r="GC186" s="138"/>
      <c r="GD186" s="138"/>
      <c r="GE186" s="138"/>
      <c r="GF186" s="138"/>
      <c r="GG186" s="138"/>
      <c r="GH186" s="138"/>
      <c r="GI186" s="138"/>
      <c r="GJ186" s="138"/>
      <c r="GK186" s="138"/>
      <c r="GL186" s="138"/>
      <c r="GM186" s="138"/>
      <c r="GN186" s="138"/>
      <c r="GO186" s="138"/>
      <c r="GP186" s="138"/>
      <c r="GQ186" s="138"/>
      <c r="GR186" s="138"/>
      <c r="GS186" s="138"/>
      <c r="GT186" s="138"/>
      <c r="GU186" s="138"/>
      <c r="GV186" s="138"/>
      <c r="GW186" s="138"/>
      <c r="GX186" s="138"/>
      <c r="GY186" s="138"/>
      <c r="GZ186" s="138"/>
      <c r="HA186" s="138"/>
      <c r="HB186" s="138"/>
      <c r="HC186" s="138"/>
      <c r="HD186" s="138"/>
      <c r="HE186" s="138"/>
      <c r="HF186" s="138"/>
      <c r="HG186" s="138"/>
      <c r="HH186" s="138"/>
      <c r="HI186" s="138"/>
      <c r="HJ186" s="138"/>
      <c r="HK186" s="138"/>
      <c r="HL186" s="138"/>
      <c r="HM186" s="138"/>
      <c r="HN186" s="138"/>
      <c r="HO186" s="138"/>
      <c r="HP186" s="138"/>
      <c r="HQ186" s="138"/>
      <c r="HR186" s="138"/>
      <c r="HS186" s="138"/>
      <c r="HT186" s="138"/>
      <c r="HU186" s="138"/>
      <c r="HV186" s="138"/>
      <c r="HW186" s="138"/>
      <c r="HX186" s="138"/>
      <c r="HY186" s="138"/>
      <c r="HZ186" s="138"/>
      <c r="IA186" s="138"/>
      <c r="IB186" s="138"/>
      <c r="IC186" s="138"/>
      <c r="ID186" s="138"/>
      <c r="IE186" s="138"/>
      <c r="IF186" s="138"/>
      <c r="IG186" s="138"/>
      <c r="IH186" s="138"/>
      <c r="II186" s="138"/>
      <c r="IJ186" s="138"/>
      <c r="IK186" s="138"/>
      <c r="IL186" s="138"/>
      <c r="IM186" s="138"/>
      <c r="IN186" s="138"/>
      <c r="IO186" s="138"/>
    </row>
    <row r="187" spans="2:249">
      <c r="B187" s="132"/>
      <c r="C187" s="141" t="str">
        <f>CONCATENATE(C118, " ", C119)</f>
        <v>Child Eligibility FTB(A)</v>
      </c>
      <c r="D187" s="107" t="str">
        <f>D119</f>
        <v>Y</v>
      </c>
      <c r="E187" s="107" t="str">
        <f t="shared" ref="E187:AK187" si="43">E119</f>
        <v>Y</v>
      </c>
      <c r="F187" s="107" t="str">
        <f t="shared" si="43"/>
        <v>Y</v>
      </c>
      <c r="G187" s="107" t="str">
        <f t="shared" si="43"/>
        <v>Y</v>
      </c>
      <c r="H187" s="107" t="str">
        <f t="shared" si="43"/>
        <v>Y</v>
      </c>
      <c r="I187" s="107" t="str">
        <f t="shared" si="43"/>
        <v>Y</v>
      </c>
      <c r="J187" s="107" t="str">
        <f t="shared" si="43"/>
        <v>Y</v>
      </c>
      <c r="K187" s="107" t="str">
        <f t="shared" si="43"/>
        <v>Y</v>
      </c>
      <c r="L187" s="107" t="str">
        <f t="shared" si="43"/>
        <v>Y</v>
      </c>
      <c r="M187" s="107" t="str">
        <f t="shared" si="43"/>
        <v>Y</v>
      </c>
      <c r="N187" s="107" t="str">
        <f t="shared" si="43"/>
        <v>Y</v>
      </c>
      <c r="O187" s="107" t="str">
        <f t="shared" si="43"/>
        <v>Y</v>
      </c>
      <c r="P187" s="107" t="str">
        <f t="shared" si="43"/>
        <v>Y</v>
      </c>
      <c r="Q187" s="107" t="str">
        <f t="shared" si="43"/>
        <v>Y</v>
      </c>
      <c r="R187" s="107" t="str">
        <f t="shared" si="43"/>
        <v>Y</v>
      </c>
      <c r="S187" s="107" t="str">
        <f t="shared" si="43"/>
        <v>Y</v>
      </c>
      <c r="T187" s="107" t="str">
        <f t="shared" si="43"/>
        <v>Y</v>
      </c>
      <c r="U187" s="107" t="str">
        <f t="shared" si="43"/>
        <v>Y</v>
      </c>
      <c r="V187" s="107" t="str">
        <f t="shared" si="43"/>
        <v>Y</v>
      </c>
      <c r="W187" s="107" t="str">
        <f t="shared" si="43"/>
        <v>Y</v>
      </c>
      <c r="X187" s="107" t="str">
        <f t="shared" si="43"/>
        <v>Y</v>
      </c>
      <c r="Y187" s="107" t="str">
        <f t="shared" si="43"/>
        <v>Y</v>
      </c>
      <c r="Z187" s="107" t="str">
        <f t="shared" si="43"/>
        <v>Y</v>
      </c>
      <c r="AA187" s="107" t="str">
        <f t="shared" si="43"/>
        <v>Y</v>
      </c>
      <c r="AB187" s="107" t="str">
        <f t="shared" si="43"/>
        <v>Y</v>
      </c>
      <c r="AC187" s="107" t="str">
        <f t="shared" si="43"/>
        <v>Y</v>
      </c>
      <c r="AD187" s="107" t="str">
        <f t="shared" si="43"/>
        <v>Y</v>
      </c>
      <c r="AE187" s="107" t="str">
        <f t="shared" si="43"/>
        <v>Y</v>
      </c>
      <c r="AF187" s="107" t="str">
        <f t="shared" si="43"/>
        <v>Y</v>
      </c>
      <c r="AG187" s="107" t="str">
        <f t="shared" si="43"/>
        <v>Y</v>
      </c>
      <c r="AH187" s="107" t="str">
        <f t="shared" si="43"/>
        <v>Y</v>
      </c>
      <c r="AI187" s="107" t="str">
        <f t="shared" si="43"/>
        <v>Y</v>
      </c>
      <c r="AJ187" s="107" t="str">
        <f t="shared" si="43"/>
        <v>Y</v>
      </c>
      <c r="AK187" s="107" t="str">
        <f t="shared" si="43"/>
        <v>Y</v>
      </c>
      <c r="AL187" s="107" t="str">
        <f t="shared" ref="AL187:BH187" si="44">AL119</f>
        <v>Y</v>
      </c>
      <c r="AM187" s="107" t="str">
        <f t="shared" si="44"/>
        <v>Y</v>
      </c>
      <c r="AN187" s="107" t="str">
        <f t="shared" si="44"/>
        <v>Y</v>
      </c>
      <c r="AO187" s="107" t="str">
        <f t="shared" si="44"/>
        <v>Y</v>
      </c>
      <c r="AP187" s="107" t="str">
        <f t="shared" si="44"/>
        <v>Y</v>
      </c>
      <c r="AQ187" s="107" t="str">
        <f t="shared" si="44"/>
        <v>Y</v>
      </c>
      <c r="AR187" s="107" t="str">
        <f t="shared" si="44"/>
        <v>Y</v>
      </c>
      <c r="AS187" s="107" t="str">
        <f t="shared" si="44"/>
        <v>Y</v>
      </c>
      <c r="AT187" s="107" t="str">
        <f t="shared" si="44"/>
        <v>Y</v>
      </c>
      <c r="AU187" s="107" t="str">
        <f t="shared" si="44"/>
        <v>Y</v>
      </c>
      <c r="AV187" s="107" t="str">
        <f t="shared" si="44"/>
        <v>Y</v>
      </c>
      <c r="AW187" s="107" t="str">
        <f t="shared" si="44"/>
        <v>Y</v>
      </c>
      <c r="AX187" s="107" t="str">
        <f t="shared" si="44"/>
        <v>Y</v>
      </c>
      <c r="AY187" s="107" t="str">
        <f t="shared" si="44"/>
        <v>Y</v>
      </c>
      <c r="AZ187" s="107" t="str">
        <f t="shared" si="44"/>
        <v>Y</v>
      </c>
      <c r="BA187" s="107" t="str">
        <f t="shared" si="44"/>
        <v>Y</v>
      </c>
      <c r="BB187" s="107" t="str">
        <f t="shared" si="44"/>
        <v>Y</v>
      </c>
      <c r="BC187" s="107" t="str">
        <f t="shared" si="44"/>
        <v>Y</v>
      </c>
      <c r="BD187" s="107" t="str">
        <f t="shared" si="44"/>
        <v>Y</v>
      </c>
      <c r="BE187" s="107" t="str">
        <f t="shared" si="44"/>
        <v>Y</v>
      </c>
      <c r="BF187" s="107" t="str">
        <f t="shared" si="44"/>
        <v>Y</v>
      </c>
      <c r="BG187" s="107" t="str">
        <f t="shared" si="44"/>
        <v>Y</v>
      </c>
      <c r="BH187" s="107" t="str">
        <f t="shared" si="44"/>
        <v>Y</v>
      </c>
      <c r="BI187" s="107" t="str">
        <f t="shared" ref="BI187:CD187" si="45">BI119</f>
        <v>Y</v>
      </c>
      <c r="BJ187" s="107" t="str">
        <f t="shared" si="45"/>
        <v>Y</v>
      </c>
      <c r="BK187" s="107" t="str">
        <f t="shared" si="45"/>
        <v>Y</v>
      </c>
      <c r="BL187" s="107" t="str">
        <f t="shared" si="45"/>
        <v>Y</v>
      </c>
      <c r="BM187" s="107" t="str">
        <f t="shared" si="45"/>
        <v>Y</v>
      </c>
      <c r="BN187" s="107" t="str">
        <f t="shared" si="45"/>
        <v>Y</v>
      </c>
      <c r="BO187" s="107" t="str">
        <f t="shared" si="45"/>
        <v>Y</v>
      </c>
      <c r="BP187" s="107" t="str">
        <f t="shared" si="45"/>
        <v>Y</v>
      </c>
      <c r="BQ187" s="107" t="str">
        <f t="shared" si="45"/>
        <v>Y</v>
      </c>
      <c r="BR187" s="107" t="str">
        <f t="shared" si="45"/>
        <v>Y</v>
      </c>
      <c r="BS187" s="107" t="str">
        <f t="shared" si="45"/>
        <v>Y</v>
      </c>
      <c r="BT187" s="107" t="str">
        <f t="shared" si="45"/>
        <v>Y</v>
      </c>
      <c r="BU187" s="107" t="str">
        <f t="shared" si="45"/>
        <v>Y</v>
      </c>
      <c r="BV187" s="107" t="str">
        <f t="shared" si="45"/>
        <v>Y</v>
      </c>
      <c r="BW187" s="107" t="str">
        <f t="shared" si="45"/>
        <v>Y</v>
      </c>
      <c r="BX187" s="107" t="str">
        <f t="shared" si="45"/>
        <v>Y</v>
      </c>
      <c r="BY187" s="107" t="str">
        <f t="shared" si="45"/>
        <v>Y</v>
      </c>
      <c r="BZ187" s="107" t="str">
        <f t="shared" si="45"/>
        <v>Y</v>
      </c>
      <c r="CA187" s="107" t="str">
        <f t="shared" si="45"/>
        <v>Y</v>
      </c>
      <c r="CB187" s="107" t="str">
        <f t="shared" si="45"/>
        <v>Y</v>
      </c>
      <c r="CC187" s="107" t="str">
        <f t="shared" si="45"/>
        <v>Y</v>
      </c>
      <c r="CD187" s="107" t="str">
        <f t="shared" si="45"/>
        <v>Y</v>
      </c>
      <c r="CE187" s="107"/>
      <c r="CF187" s="107"/>
      <c r="CG187" s="107"/>
      <c r="CH187" s="107"/>
      <c r="CI187" s="107"/>
      <c r="CJ187" s="107"/>
      <c r="CK187" s="107"/>
      <c r="CL187" s="107"/>
      <c r="CM187" s="107"/>
      <c r="CN187" s="107"/>
      <c r="CO187" s="107"/>
      <c r="CP187" s="107"/>
      <c r="CQ187" s="107"/>
      <c r="CR187" s="107"/>
      <c r="CS187" s="107"/>
      <c r="CT187" s="107"/>
      <c r="CU187" s="107"/>
      <c r="CV187" s="107"/>
      <c r="CW187" s="107"/>
      <c r="CX187" s="107"/>
      <c r="CY187" s="107"/>
      <c r="CZ187" s="107"/>
      <c r="DA187" s="107"/>
      <c r="DB187" s="107"/>
      <c r="DC187" s="107"/>
      <c r="DD187" s="107"/>
      <c r="DE187" s="107"/>
      <c r="DF187" s="107"/>
      <c r="DG187" s="107"/>
      <c r="DH187" s="107"/>
      <c r="DI187" s="107"/>
      <c r="DJ187" s="107"/>
      <c r="DK187" s="107"/>
      <c r="DL187" s="107"/>
      <c r="DM187" s="107"/>
      <c r="DN187" s="107"/>
      <c r="DO187" s="107"/>
      <c r="DP187" s="107"/>
      <c r="DQ187" s="107"/>
      <c r="DR187" s="107"/>
      <c r="DS187" s="107"/>
      <c r="DT187" s="107"/>
      <c r="DU187" s="107"/>
      <c r="DV187" s="107"/>
      <c r="DW187" s="107"/>
      <c r="DX187" s="107"/>
      <c r="DY187" s="107"/>
      <c r="DZ187" s="107"/>
      <c r="EA187" s="107"/>
      <c r="EB187" s="107"/>
      <c r="EC187" s="107"/>
      <c r="ED187" s="107"/>
      <c r="EE187" s="107"/>
      <c r="EF187" s="107"/>
      <c r="EG187" s="107"/>
      <c r="EH187" s="107"/>
      <c r="EI187" s="107"/>
      <c r="EJ187" s="107"/>
      <c r="EK187" s="107"/>
      <c r="EL187" s="107"/>
      <c r="EM187" s="107"/>
      <c r="EN187" s="107"/>
      <c r="EO187" s="107"/>
      <c r="EP187" s="107"/>
      <c r="EQ187" s="107"/>
      <c r="ER187" s="107"/>
      <c r="ES187" s="107"/>
      <c r="ET187" s="107"/>
      <c r="EU187" s="107"/>
      <c r="EV187" s="107"/>
      <c r="EW187" s="107"/>
      <c r="EX187" s="107"/>
      <c r="EY187" s="107"/>
      <c r="EZ187" s="107"/>
      <c r="FA187" s="107"/>
      <c r="FB187" s="107"/>
      <c r="FC187" s="107"/>
      <c r="FD187" s="107"/>
      <c r="FE187" s="107"/>
      <c r="FF187" s="107"/>
      <c r="FG187" s="107"/>
      <c r="FH187" s="107"/>
      <c r="FI187" s="107"/>
      <c r="FJ187" s="107"/>
      <c r="FK187" s="107"/>
      <c r="FL187" s="107"/>
      <c r="FM187" s="107"/>
      <c r="FN187" s="107"/>
      <c r="FO187" s="107"/>
      <c r="FP187" s="107"/>
      <c r="FQ187" s="107"/>
      <c r="FR187" s="107"/>
      <c r="FS187" s="107"/>
      <c r="FT187" s="107"/>
      <c r="FU187" s="107"/>
      <c r="FV187" s="107"/>
      <c r="FW187" s="107"/>
      <c r="FX187" s="107"/>
      <c r="FY187" s="107"/>
      <c r="FZ187" s="107"/>
      <c r="GA187" s="107"/>
      <c r="GB187" s="107"/>
      <c r="GC187" s="107"/>
      <c r="GD187" s="107"/>
      <c r="GE187" s="107"/>
      <c r="GF187" s="107"/>
      <c r="GG187" s="107"/>
      <c r="GH187" s="107"/>
      <c r="GI187" s="107"/>
      <c r="GJ187" s="107"/>
      <c r="GK187" s="107"/>
      <c r="GL187" s="107"/>
      <c r="GM187" s="107"/>
      <c r="GN187" s="107"/>
      <c r="GO187" s="107"/>
      <c r="GP187" s="107"/>
      <c r="GQ187" s="107"/>
      <c r="GR187" s="107"/>
      <c r="GS187" s="107"/>
      <c r="GT187" s="107"/>
      <c r="GU187" s="107"/>
      <c r="GV187" s="107"/>
      <c r="GW187" s="107"/>
      <c r="GX187" s="107"/>
      <c r="GY187" s="107"/>
      <c r="GZ187" s="107"/>
      <c r="HA187" s="107"/>
      <c r="HB187" s="107"/>
      <c r="HC187" s="107"/>
      <c r="HD187" s="107"/>
      <c r="HE187" s="107"/>
      <c r="HF187" s="107"/>
      <c r="HG187" s="107"/>
      <c r="HH187" s="107"/>
      <c r="HI187" s="107"/>
      <c r="HJ187" s="107"/>
      <c r="HK187" s="107"/>
      <c r="HL187" s="107"/>
      <c r="HM187" s="107"/>
      <c r="HN187" s="107"/>
      <c r="HO187" s="107"/>
      <c r="HP187" s="107"/>
      <c r="HQ187" s="107"/>
      <c r="HR187" s="107"/>
      <c r="HS187" s="107"/>
      <c r="HT187" s="107"/>
      <c r="HU187" s="107"/>
      <c r="HV187" s="107"/>
      <c r="HW187" s="107"/>
      <c r="HX187" s="107"/>
      <c r="HY187" s="107"/>
      <c r="HZ187" s="107"/>
      <c r="IA187" s="107"/>
      <c r="IB187" s="107"/>
      <c r="IC187" s="107"/>
      <c r="ID187" s="107"/>
      <c r="IE187" s="107"/>
      <c r="IF187" s="107"/>
      <c r="IG187" s="107"/>
      <c r="IH187" s="107"/>
      <c r="II187" s="107"/>
      <c r="IJ187" s="107"/>
      <c r="IK187" s="107"/>
      <c r="IL187" s="107"/>
      <c r="IM187" s="107"/>
      <c r="IN187" s="107"/>
      <c r="IO187" s="107"/>
    </row>
    <row r="188" spans="2:249">
      <c r="B188" s="132"/>
      <c r="C188" s="141" t="str">
        <f>CONCATENATE(C118, " ", C120)</f>
        <v>Child Eligibility FTB(B)</v>
      </c>
      <c r="D188" s="107" t="str">
        <f>D120</f>
        <v>Y</v>
      </c>
      <c r="E188" s="107" t="str">
        <f t="shared" ref="E188:AK188" si="46">E120</f>
        <v>Y</v>
      </c>
      <c r="F188" s="107" t="str">
        <f t="shared" si="46"/>
        <v>Y</v>
      </c>
      <c r="G188" s="107" t="str">
        <f t="shared" si="46"/>
        <v>Y</v>
      </c>
      <c r="H188" s="107" t="str">
        <f t="shared" si="46"/>
        <v>Y</v>
      </c>
      <c r="I188" s="107" t="str">
        <f t="shared" si="46"/>
        <v>Y</v>
      </c>
      <c r="J188" s="107" t="str">
        <f t="shared" si="46"/>
        <v>Y</v>
      </c>
      <c r="K188" s="107" t="str">
        <f t="shared" si="46"/>
        <v>Y</v>
      </c>
      <c r="L188" s="107" t="str">
        <f t="shared" si="46"/>
        <v>Y</v>
      </c>
      <c r="M188" s="107" t="str">
        <f t="shared" si="46"/>
        <v>Y</v>
      </c>
      <c r="N188" s="107" t="str">
        <f t="shared" si="46"/>
        <v>Y</v>
      </c>
      <c r="O188" s="107" t="str">
        <f t="shared" si="46"/>
        <v>Y</v>
      </c>
      <c r="P188" s="107" t="str">
        <f t="shared" si="46"/>
        <v>Y</v>
      </c>
      <c r="Q188" s="107" t="str">
        <f t="shared" si="46"/>
        <v>Y</v>
      </c>
      <c r="R188" s="107" t="str">
        <f t="shared" si="46"/>
        <v>Y</v>
      </c>
      <c r="S188" s="107" t="str">
        <f t="shared" si="46"/>
        <v>Y</v>
      </c>
      <c r="T188" s="107" t="str">
        <f t="shared" si="46"/>
        <v>Y</v>
      </c>
      <c r="U188" s="107" t="str">
        <f t="shared" si="46"/>
        <v>Y</v>
      </c>
      <c r="V188" s="107" t="str">
        <f t="shared" si="46"/>
        <v>Y</v>
      </c>
      <c r="W188" s="107" t="str">
        <f t="shared" si="46"/>
        <v>Y</v>
      </c>
      <c r="X188" s="107" t="str">
        <f t="shared" si="46"/>
        <v>Y</v>
      </c>
      <c r="Y188" s="107" t="str">
        <f t="shared" si="46"/>
        <v>Y</v>
      </c>
      <c r="Z188" s="107" t="str">
        <f t="shared" si="46"/>
        <v>Y</v>
      </c>
      <c r="AA188" s="107" t="str">
        <f t="shared" si="46"/>
        <v>Y</v>
      </c>
      <c r="AB188" s="107" t="str">
        <f t="shared" si="46"/>
        <v>Y</v>
      </c>
      <c r="AC188" s="107" t="str">
        <f t="shared" si="46"/>
        <v>Y</v>
      </c>
      <c r="AD188" s="107" t="str">
        <f t="shared" si="46"/>
        <v>Y</v>
      </c>
      <c r="AE188" s="107" t="str">
        <f t="shared" si="46"/>
        <v>Y</v>
      </c>
      <c r="AF188" s="107" t="str">
        <f t="shared" si="46"/>
        <v>Y</v>
      </c>
      <c r="AG188" s="107" t="str">
        <f t="shared" si="46"/>
        <v>Y</v>
      </c>
      <c r="AH188" s="107" t="str">
        <f t="shared" si="46"/>
        <v>Y</v>
      </c>
      <c r="AI188" s="107" t="str">
        <f t="shared" si="46"/>
        <v>Y</v>
      </c>
      <c r="AJ188" s="107" t="str">
        <f t="shared" si="46"/>
        <v>Y</v>
      </c>
      <c r="AK188" s="107" t="str">
        <f t="shared" si="46"/>
        <v>Y</v>
      </c>
      <c r="AL188" s="107" t="str">
        <f t="shared" ref="AL188:BH188" si="47">AL120</f>
        <v>Y</v>
      </c>
      <c r="AM188" s="107" t="str">
        <f t="shared" si="47"/>
        <v>Y</v>
      </c>
      <c r="AN188" s="107" t="str">
        <f t="shared" si="47"/>
        <v>Y</v>
      </c>
      <c r="AO188" s="107" t="str">
        <f t="shared" si="47"/>
        <v>Y</v>
      </c>
      <c r="AP188" s="107" t="str">
        <f t="shared" si="47"/>
        <v>Y</v>
      </c>
      <c r="AQ188" s="107" t="str">
        <f t="shared" si="47"/>
        <v>Y</v>
      </c>
      <c r="AR188" s="107" t="str">
        <f t="shared" si="47"/>
        <v>Y</v>
      </c>
      <c r="AS188" s="107" t="str">
        <f t="shared" si="47"/>
        <v>Y</v>
      </c>
      <c r="AT188" s="107" t="str">
        <f t="shared" si="47"/>
        <v>Y</v>
      </c>
      <c r="AU188" s="107" t="str">
        <f t="shared" si="47"/>
        <v>Y</v>
      </c>
      <c r="AV188" s="107" t="str">
        <f t="shared" si="47"/>
        <v>Y</v>
      </c>
      <c r="AW188" s="107" t="str">
        <f t="shared" si="47"/>
        <v>Y</v>
      </c>
      <c r="AX188" s="107" t="str">
        <f t="shared" si="47"/>
        <v>Y</v>
      </c>
      <c r="AY188" s="107" t="str">
        <f t="shared" si="47"/>
        <v>Y</v>
      </c>
      <c r="AZ188" s="107" t="str">
        <f t="shared" si="47"/>
        <v>Y</v>
      </c>
      <c r="BA188" s="107" t="str">
        <f t="shared" si="47"/>
        <v>Y</v>
      </c>
      <c r="BB188" s="107" t="str">
        <f t="shared" si="47"/>
        <v>Y</v>
      </c>
      <c r="BC188" s="107" t="str">
        <f t="shared" si="47"/>
        <v>Y</v>
      </c>
      <c r="BD188" s="107" t="str">
        <f t="shared" si="47"/>
        <v>Y</v>
      </c>
      <c r="BE188" s="107" t="str">
        <f t="shared" si="47"/>
        <v>Y</v>
      </c>
      <c r="BF188" s="107" t="str">
        <f t="shared" si="47"/>
        <v>Y</v>
      </c>
      <c r="BG188" s="107" t="str">
        <f t="shared" si="47"/>
        <v>Y</v>
      </c>
      <c r="BH188" s="107" t="str">
        <f t="shared" si="47"/>
        <v>Y</v>
      </c>
      <c r="BI188" s="107" t="str">
        <f t="shared" ref="BI188:CD188" si="48">BI120</f>
        <v>Y</v>
      </c>
      <c r="BJ188" s="107" t="str">
        <f t="shared" si="48"/>
        <v>Y</v>
      </c>
      <c r="BK188" s="107" t="str">
        <f t="shared" si="48"/>
        <v>Y</v>
      </c>
      <c r="BL188" s="107" t="str">
        <f t="shared" si="48"/>
        <v>Y</v>
      </c>
      <c r="BM188" s="107" t="str">
        <f t="shared" si="48"/>
        <v>Y</v>
      </c>
      <c r="BN188" s="107" t="str">
        <f t="shared" si="48"/>
        <v>Y</v>
      </c>
      <c r="BO188" s="107" t="str">
        <f t="shared" si="48"/>
        <v>Y</v>
      </c>
      <c r="BP188" s="107" t="str">
        <f t="shared" si="48"/>
        <v>Y</v>
      </c>
      <c r="BQ188" s="107" t="str">
        <f t="shared" si="48"/>
        <v>Y</v>
      </c>
      <c r="BR188" s="107" t="str">
        <f t="shared" si="48"/>
        <v>Y</v>
      </c>
      <c r="BS188" s="107" t="str">
        <f t="shared" si="48"/>
        <v>Y</v>
      </c>
      <c r="BT188" s="107" t="str">
        <f t="shared" si="48"/>
        <v>Y</v>
      </c>
      <c r="BU188" s="107" t="str">
        <f t="shared" si="48"/>
        <v>Y</v>
      </c>
      <c r="BV188" s="107" t="str">
        <f t="shared" si="48"/>
        <v>Y</v>
      </c>
      <c r="BW188" s="107" t="str">
        <f t="shared" si="48"/>
        <v>Y</v>
      </c>
      <c r="BX188" s="107" t="str">
        <f t="shared" si="48"/>
        <v>Y</v>
      </c>
      <c r="BY188" s="107" t="str">
        <f t="shared" si="48"/>
        <v>Y</v>
      </c>
      <c r="BZ188" s="107" t="str">
        <f t="shared" si="48"/>
        <v>Y</v>
      </c>
      <c r="CA188" s="107" t="str">
        <f t="shared" si="48"/>
        <v>Y</v>
      </c>
      <c r="CB188" s="107" t="str">
        <f t="shared" si="48"/>
        <v>Y</v>
      </c>
      <c r="CC188" s="107" t="str">
        <f t="shared" si="48"/>
        <v>Y</v>
      </c>
      <c r="CD188" s="107" t="str">
        <f t="shared" si="48"/>
        <v>Y</v>
      </c>
      <c r="CE188" s="107"/>
      <c r="CF188" s="107"/>
      <c r="CG188" s="107"/>
      <c r="CH188" s="107"/>
      <c r="CI188" s="107"/>
      <c r="CJ188" s="107"/>
      <c r="CK188" s="107"/>
      <c r="CL188" s="107"/>
      <c r="CM188" s="107"/>
      <c r="CN188" s="107"/>
      <c r="CO188" s="107"/>
      <c r="CP188" s="107"/>
      <c r="CQ188" s="107"/>
      <c r="CR188" s="107"/>
      <c r="CS188" s="107"/>
      <c r="CT188" s="107"/>
      <c r="CU188" s="107"/>
      <c r="CV188" s="107"/>
      <c r="CW188" s="107"/>
      <c r="CX188" s="107"/>
      <c r="CY188" s="107"/>
      <c r="CZ188" s="107"/>
      <c r="DA188" s="107"/>
      <c r="DB188" s="107"/>
      <c r="DC188" s="107"/>
      <c r="DD188" s="107"/>
      <c r="DE188" s="107"/>
      <c r="DF188" s="107"/>
      <c r="DG188" s="107"/>
      <c r="DH188" s="107"/>
      <c r="DI188" s="107"/>
      <c r="DJ188" s="107"/>
      <c r="DK188" s="107"/>
      <c r="DL188" s="107"/>
      <c r="DM188" s="107"/>
      <c r="DN188" s="107"/>
      <c r="DO188" s="107"/>
      <c r="DP188" s="107"/>
      <c r="DQ188" s="107"/>
      <c r="DR188" s="107"/>
      <c r="DS188" s="107"/>
      <c r="DT188" s="107"/>
      <c r="DU188" s="107"/>
      <c r="DV188" s="107"/>
      <c r="DW188" s="107"/>
      <c r="DX188" s="107"/>
      <c r="DY188" s="107"/>
      <c r="DZ188" s="107"/>
      <c r="EA188" s="107"/>
      <c r="EB188" s="107"/>
      <c r="EC188" s="107"/>
      <c r="ED188" s="107"/>
      <c r="EE188" s="107"/>
      <c r="EF188" s="107"/>
      <c r="EG188" s="107"/>
      <c r="EH188" s="107"/>
      <c r="EI188" s="107"/>
      <c r="EJ188" s="107"/>
      <c r="EK188" s="107"/>
      <c r="EL188" s="107"/>
      <c r="EM188" s="107"/>
      <c r="EN188" s="107"/>
      <c r="EO188" s="107"/>
      <c r="EP188" s="107"/>
      <c r="EQ188" s="107"/>
      <c r="ER188" s="107"/>
      <c r="ES188" s="107"/>
      <c r="ET188" s="107"/>
      <c r="EU188" s="107"/>
      <c r="EV188" s="107"/>
      <c r="EW188" s="107"/>
      <c r="EX188" s="107"/>
      <c r="EY188" s="107"/>
      <c r="EZ188" s="107"/>
      <c r="FA188" s="107"/>
      <c r="FB188" s="107"/>
      <c r="FC188" s="107"/>
      <c r="FD188" s="107"/>
      <c r="FE188" s="107"/>
      <c r="FF188" s="107"/>
      <c r="FG188" s="107"/>
      <c r="FH188" s="107"/>
      <c r="FI188" s="107"/>
      <c r="FJ188" s="107"/>
      <c r="FK188" s="107"/>
      <c r="FL188" s="107"/>
      <c r="FM188" s="107"/>
      <c r="FN188" s="107"/>
      <c r="FO188" s="107"/>
      <c r="FP188" s="107"/>
      <c r="FQ188" s="107"/>
      <c r="FR188" s="107"/>
      <c r="FS188" s="107"/>
      <c r="FT188" s="107"/>
      <c r="FU188" s="107"/>
      <c r="FV188" s="107"/>
      <c r="FW188" s="107"/>
      <c r="FX188" s="107"/>
      <c r="FY188" s="107"/>
      <c r="FZ188" s="107"/>
      <c r="GA188" s="107"/>
      <c r="GB188" s="107"/>
      <c r="GC188" s="107"/>
      <c r="GD188" s="107"/>
      <c r="GE188" s="107"/>
      <c r="GF188" s="107"/>
      <c r="GG188" s="107"/>
      <c r="GH188" s="107"/>
      <c r="GI188" s="107"/>
      <c r="GJ188" s="107"/>
      <c r="GK188" s="107"/>
      <c r="GL188" s="107"/>
      <c r="GM188" s="107"/>
      <c r="GN188" s="107"/>
      <c r="GO188" s="107"/>
      <c r="GP188" s="107"/>
      <c r="GQ188" s="107"/>
      <c r="GR188" s="107"/>
      <c r="GS188" s="107"/>
      <c r="GT188" s="107"/>
      <c r="GU188" s="107"/>
      <c r="GV188" s="107"/>
      <c r="GW188" s="107"/>
      <c r="GX188" s="107"/>
      <c r="GY188" s="107"/>
      <c r="GZ188" s="107"/>
      <c r="HA188" s="107"/>
      <c r="HB188" s="107"/>
      <c r="HC188" s="107"/>
      <c r="HD188" s="107"/>
      <c r="HE188" s="107"/>
      <c r="HF188" s="107"/>
      <c r="HG188" s="107"/>
      <c r="HH188" s="107"/>
      <c r="HI188" s="107"/>
      <c r="HJ188" s="107"/>
      <c r="HK188" s="107"/>
      <c r="HL188" s="107"/>
      <c r="HM188" s="107"/>
      <c r="HN188" s="107"/>
      <c r="HO188" s="107"/>
      <c r="HP188" s="107"/>
      <c r="HQ188" s="107"/>
      <c r="HR188" s="107"/>
      <c r="HS188" s="107"/>
      <c r="HT188" s="107"/>
      <c r="HU188" s="107"/>
      <c r="HV188" s="107"/>
      <c r="HW188" s="107"/>
      <c r="HX188" s="107"/>
      <c r="HY188" s="107"/>
      <c r="HZ188" s="107"/>
      <c r="IA188" s="107"/>
      <c r="IB188" s="107"/>
      <c r="IC188" s="107"/>
      <c r="ID188" s="107"/>
      <c r="IE188" s="107"/>
      <c r="IF188" s="107"/>
      <c r="IG188" s="107"/>
      <c r="IH188" s="107"/>
      <c r="II188" s="107"/>
      <c r="IJ188" s="107"/>
      <c r="IK188" s="107"/>
      <c r="IL188" s="107"/>
      <c r="IM188" s="107"/>
      <c r="IN188" s="107"/>
      <c r="IO188" s="107"/>
    </row>
    <row r="189" spans="2:249">
      <c r="B189" s="140" t="s">
        <v>484</v>
      </c>
      <c r="C189" s="140"/>
      <c r="D189" s="125"/>
      <c r="E189" s="125"/>
      <c r="F189" s="125"/>
      <c r="G189" s="125"/>
      <c r="H189" s="125"/>
      <c r="I189" s="125"/>
      <c r="J189" s="125"/>
      <c r="K189" s="125"/>
      <c r="L189" s="125"/>
      <c r="M189" s="125"/>
      <c r="N189" s="125"/>
      <c r="O189" s="125"/>
      <c r="P189" s="125"/>
      <c r="Q189" s="125"/>
      <c r="R189" s="125"/>
      <c r="S189" s="125"/>
      <c r="T189" s="125"/>
      <c r="U189" s="125"/>
      <c r="V189" s="125"/>
      <c r="W189" s="125"/>
      <c r="X189" s="125"/>
      <c r="Y189" s="125"/>
      <c r="Z189" s="125"/>
      <c r="AA189" s="125"/>
      <c r="AB189" s="125"/>
      <c r="AC189" s="125"/>
      <c r="AD189" s="125"/>
      <c r="AE189" s="125"/>
      <c r="AF189" s="125"/>
      <c r="AG189" s="125"/>
      <c r="AH189" s="125"/>
      <c r="AI189" s="125"/>
      <c r="AJ189" s="125"/>
      <c r="AK189" s="125"/>
      <c r="AL189" s="125"/>
      <c r="AM189" s="125"/>
      <c r="AN189" s="125"/>
      <c r="AO189" s="125"/>
      <c r="AP189" s="125"/>
      <c r="AQ189" s="125"/>
      <c r="AR189" s="125"/>
      <c r="AS189" s="125"/>
      <c r="AT189" s="125"/>
      <c r="AU189" s="125"/>
      <c r="AV189" s="125"/>
      <c r="AW189" s="125"/>
      <c r="AX189" s="125"/>
      <c r="AY189" s="125"/>
      <c r="AZ189" s="125"/>
      <c r="BA189" s="125"/>
      <c r="BB189" s="125"/>
      <c r="BC189" s="125"/>
      <c r="BD189" s="125"/>
      <c r="BE189" s="125"/>
      <c r="BF189" s="125"/>
      <c r="BG189" s="125"/>
      <c r="BH189" s="125"/>
      <c r="BI189" s="125"/>
      <c r="BJ189" s="125"/>
      <c r="BK189" s="125"/>
      <c r="BL189" s="125"/>
      <c r="BM189" s="125"/>
      <c r="BN189" s="125"/>
      <c r="BO189" s="125"/>
      <c r="BP189" s="125"/>
      <c r="BQ189" s="125"/>
      <c r="BR189" s="125"/>
      <c r="BS189" s="125"/>
      <c r="BT189" s="125"/>
      <c r="BU189" s="125"/>
      <c r="BV189" s="125"/>
      <c r="BW189" s="125"/>
      <c r="BX189" s="125"/>
      <c r="BY189" s="125"/>
      <c r="BZ189" s="125"/>
      <c r="CA189" s="125"/>
      <c r="CB189" s="125"/>
      <c r="CC189" s="125"/>
      <c r="CD189" s="125"/>
      <c r="CE189" s="125"/>
      <c r="CF189" s="125"/>
      <c r="CG189" s="125"/>
      <c r="CH189" s="125"/>
      <c r="CI189" s="125"/>
      <c r="CJ189" s="125"/>
      <c r="CK189" s="125"/>
      <c r="CL189" s="125"/>
      <c r="CM189" s="125"/>
      <c r="CN189" s="125"/>
      <c r="CO189" s="125"/>
      <c r="CP189" s="125"/>
      <c r="CQ189" s="125"/>
      <c r="CR189" s="125"/>
      <c r="CS189" s="125"/>
      <c r="CT189" s="125"/>
      <c r="CU189" s="125"/>
      <c r="CV189" s="125"/>
      <c r="CW189" s="125"/>
      <c r="CX189" s="125"/>
      <c r="CY189" s="125"/>
      <c r="CZ189" s="125"/>
      <c r="DA189" s="125"/>
      <c r="DB189" s="125"/>
      <c r="DC189" s="125"/>
      <c r="DD189" s="125"/>
      <c r="DE189" s="125"/>
      <c r="DF189" s="125"/>
      <c r="DG189" s="125"/>
      <c r="DH189" s="125"/>
      <c r="DI189" s="125"/>
      <c r="DJ189" s="125"/>
      <c r="DK189" s="125"/>
      <c r="DL189" s="125"/>
      <c r="DM189" s="125"/>
      <c r="DN189" s="125"/>
      <c r="DO189" s="125"/>
      <c r="DP189" s="125"/>
      <c r="DQ189" s="125"/>
      <c r="DR189" s="125"/>
      <c r="DS189" s="125"/>
      <c r="DT189" s="125"/>
      <c r="DU189" s="125"/>
      <c r="DV189" s="125"/>
      <c r="DW189" s="125"/>
      <c r="DX189" s="125"/>
      <c r="DY189" s="125"/>
      <c r="DZ189" s="125"/>
      <c r="EA189" s="125"/>
      <c r="EB189" s="125"/>
      <c r="EC189" s="125"/>
      <c r="ED189" s="125"/>
      <c r="EE189" s="125"/>
      <c r="EF189" s="125"/>
      <c r="EG189" s="125"/>
      <c r="EH189" s="125"/>
      <c r="EI189" s="125"/>
      <c r="EJ189" s="125"/>
      <c r="EK189" s="125"/>
      <c r="EL189" s="125"/>
      <c r="EM189" s="125"/>
      <c r="EN189" s="125"/>
      <c r="EO189" s="125"/>
      <c r="EP189" s="125"/>
      <c r="EQ189" s="125"/>
      <c r="ER189" s="125"/>
      <c r="ES189" s="125"/>
      <c r="ET189" s="125"/>
      <c r="EU189" s="125"/>
      <c r="EV189" s="125"/>
      <c r="EW189" s="125"/>
      <c r="EX189" s="125"/>
      <c r="EY189" s="125"/>
      <c r="EZ189" s="125"/>
      <c r="FA189" s="125"/>
      <c r="FB189" s="125"/>
      <c r="FC189" s="125"/>
      <c r="FD189" s="125"/>
      <c r="FE189" s="125"/>
      <c r="FF189" s="125"/>
      <c r="FG189" s="125"/>
      <c r="FH189" s="125"/>
      <c r="FI189" s="125"/>
      <c r="FJ189" s="125"/>
      <c r="FK189" s="125"/>
      <c r="FL189" s="125"/>
      <c r="FM189" s="125"/>
      <c r="FN189" s="125"/>
      <c r="FO189" s="125"/>
      <c r="FP189" s="125"/>
      <c r="FQ189" s="125"/>
      <c r="FR189" s="125"/>
      <c r="FS189" s="125"/>
      <c r="FT189" s="125"/>
      <c r="FU189" s="125"/>
      <c r="FV189" s="125"/>
      <c r="FW189" s="125"/>
      <c r="FX189" s="125"/>
      <c r="FY189" s="125"/>
      <c r="FZ189" s="125"/>
      <c r="GA189" s="125"/>
      <c r="GB189" s="125"/>
      <c r="GC189" s="125"/>
      <c r="GD189" s="125"/>
      <c r="GE189" s="125"/>
      <c r="GF189" s="125"/>
      <c r="GG189" s="125"/>
      <c r="GH189" s="125"/>
      <c r="GI189" s="125"/>
      <c r="GJ189" s="125"/>
      <c r="GK189" s="125"/>
      <c r="GL189" s="125"/>
      <c r="GM189" s="125"/>
      <c r="GN189" s="125"/>
      <c r="GO189" s="125"/>
      <c r="GP189" s="125"/>
      <c r="GQ189" s="125"/>
      <c r="GR189" s="125"/>
      <c r="GS189" s="125"/>
      <c r="GT189" s="125"/>
      <c r="GU189" s="125"/>
      <c r="GV189" s="125"/>
      <c r="GW189" s="125"/>
      <c r="GX189" s="125"/>
      <c r="GY189" s="125"/>
      <c r="GZ189" s="125"/>
      <c r="HA189" s="125"/>
      <c r="HB189" s="125"/>
      <c r="HC189" s="125"/>
      <c r="HD189" s="125"/>
      <c r="HE189" s="125"/>
      <c r="HF189" s="125"/>
      <c r="HG189" s="125"/>
      <c r="HH189" s="125"/>
      <c r="HI189" s="125"/>
      <c r="HJ189" s="125"/>
      <c r="HK189" s="125"/>
      <c r="HL189" s="125"/>
      <c r="HM189" s="125"/>
      <c r="HN189" s="125"/>
      <c r="HO189" s="125"/>
      <c r="HP189" s="125"/>
      <c r="HQ189" s="125"/>
      <c r="HR189" s="125"/>
      <c r="HS189" s="125"/>
      <c r="HT189" s="125"/>
      <c r="HU189" s="125"/>
      <c r="HV189" s="125"/>
      <c r="HW189" s="125"/>
      <c r="HX189" s="125"/>
      <c r="HY189" s="125"/>
      <c r="HZ189" s="125"/>
      <c r="IA189" s="125"/>
      <c r="IB189" s="125"/>
      <c r="IC189" s="125"/>
      <c r="ID189" s="125"/>
      <c r="IE189" s="125"/>
      <c r="IF189" s="125"/>
      <c r="IG189" s="125"/>
      <c r="IH189" s="125"/>
      <c r="II189" s="125"/>
      <c r="IJ189" s="125"/>
      <c r="IK189" s="125"/>
      <c r="IL189" s="125"/>
      <c r="IM189" s="125"/>
      <c r="IN189" s="125"/>
      <c r="IO189" s="125"/>
    </row>
    <row r="190" spans="2:249" ht="409.5">
      <c r="B190" s="132"/>
      <c r="C190" s="141" t="s">
        <v>485</v>
      </c>
      <c r="D190" s="157" t="str">
        <f xml:space="preserve"> CONCATENATE("&lt;BR&gt;","&lt;BR&gt;",$C$179, "=", D179, "&lt;BR&gt;",$C$181, "=",D181,"&lt;BR&gt;",$C$183, "=",D183,"&lt;BR&gt;",$C$184, "=",D184,"&lt;BR&gt;",$C$185, "=",D185,"&lt;BR&gt;",$C$187, "=",D187,"&lt;BR&gt;",$C$188, "=",D188)</f>
        <v>&lt;BR&gt;&lt;BR&gt;Benefit Status=CUR&lt;BR&gt;Review created on FAL screen=No Review&lt;BR&gt;Customer FTB (A) Status=CUR&lt;BR&gt;Customer FTB (B) Status=CUR&lt;BR&gt;Customer RA Status=N-HOM&lt;BR&gt;Child Eligibility FTB(A)=Y&lt;BR&gt;Child Eligibility FTB(B)=Y</v>
      </c>
      <c r="E190" s="157" t="str">
        <f t="shared" ref="E190:AK190" si="49" xml:space="preserve"> CONCATENATE("&lt;BR&gt;","&lt;BR&gt;",$C$179, "=", E179, "&lt;BR&gt;",$C$181, "=",E181,"&lt;BR&gt;",$C$183, "=",E183,"&lt;BR&gt;",$C$184, "=",E184,"&lt;BR&gt;",$C$185, "=",E185,"&lt;BR&gt;",$C$187, "=",E187,"&lt;BR&gt;",$C$188, "=",E188)</f>
        <v>&lt;BR&gt;&lt;BR&gt;Benefit Status=CUR&lt;BR&gt;Review created on FAL screen=No Review&lt;BR&gt;Customer FTB (A) Status=NULL&lt;BR&gt;Customer FTB (B) Status=NULL&lt;BR&gt;Customer RA Status=N-NULL&lt;BR&gt;Child Eligibility FTB(A)=Y&lt;BR&gt;Child Eligibility FTB(B)=Y</v>
      </c>
      <c r="F190" s="157" t="str">
        <f t="shared" si="49"/>
        <v>&lt;BR&gt;&lt;BR&gt;Benefit Status=NEF-BAN&lt;BR&gt;Review created on FAL screen=No Review&lt;BR&gt;Customer FTB (A) Status=NULL&lt;BR&gt;Customer FTB (B) Status=NULL&lt;BR&gt;Customer RA Status=N-NULL&lt;BR&gt;Child Eligibility FTB(A)=Y&lt;BR&gt;Child Eligibility FTB(B)=Y</v>
      </c>
      <c r="G190" s="157" t="str">
        <f t="shared" si="49"/>
        <v>&lt;BR&gt;&lt;BR&gt;Benefit Status=CUR&lt;BR&gt;Review created on FAL screen=TFN - EXEMPTION REVIEW (TEX)&lt;BR&gt;Customer FTB (A) Status=CUR&lt;BR&gt;Customer FTB (B) Status=NULL&lt;BR&gt;Customer RA Status=N-NULL&lt;BR&gt;Child Eligibility FTB(A)=Y&lt;BR&gt;Child Eligibility FTB(B)=Y</v>
      </c>
      <c r="H190" s="157" t="str">
        <f t="shared" si="49"/>
        <v>&lt;BR&gt;&lt;BR&gt;Benefit Status=CUR&lt;BR&gt;Review created on FAL screen=TFN - EXEMPTION REVIEW (TEX)&lt;BR&gt;Customer FTB (A) Status=CUR&lt;BR&gt;Customer FTB (B) Status=NULL&lt;BR&gt;Customer RA Status=N-NULL&lt;BR&gt;Child Eligibility FTB(A)=Y&lt;BR&gt;Child Eligibility FTB(B)=Y</v>
      </c>
      <c r="I190" s="157" t="str">
        <f t="shared" si="49"/>
        <v>&lt;BR&gt;&lt;BR&gt;Benefit Status=NEF-NTP&lt;BR&gt;Review created on FAL screen=No Review&lt;BR&gt;Customer FTB (A) Status=NEF-NTP&lt;BR&gt;Customer FTB (B) Status=NEF-NTP&lt;BR&gt;Customer RA Status=N-NULL&lt;BR&gt;Child Eligibility FTB(A)=Y&lt;BR&gt;Child Eligibility FTB(B)=Y</v>
      </c>
      <c r="J190" s="157" t="str">
        <f t="shared" si="49"/>
        <v>&lt;BR&gt;&lt;BR&gt;Benefit Status=NEF-NTC&lt;BR&gt;Review created on FAL screen=TFN - EXEMPTION REVIEW (TEX)&lt;BR&gt;Customer FTB (A) Status=NULL&lt;BR&gt;Customer FTB (B) Status=NULL&lt;BR&gt;Customer RA Status=N-NULL&lt;BR&gt;Child Eligibility FTB(A)=Y&lt;BR&gt;Child Eligibility FTB(B)=Y</v>
      </c>
      <c r="K190" s="157" t="str">
        <f t="shared" si="49"/>
        <v>&lt;BR&gt;&lt;BR&gt;Benefit Status=NEF-NTC&lt;BR&gt;Review created on FAL screen=TFN - EXEMPTION REVIEW (TEX)&lt;BR&gt;Customer FTB (A) Status=NULL&lt;BR&gt;Customer FTB (B) Status=NULL&lt;BR&gt;Customer RA Status=N-NULL&lt;BR&gt;Child Eligibility FTB(A)=Y&lt;BR&gt;Child Eligibility FTB(B)=Y</v>
      </c>
      <c r="L190" s="157" t="str">
        <f t="shared" si="49"/>
        <v>&lt;BR&gt;&lt;BR&gt;Benefit Status=NEF-NTC&lt;BR&gt;Review created on FAL screen=TFN - EXEMPTION REVIEW (TEX)&lt;BR&gt;Customer FTB (A) Status=NULL&lt;BR&gt;Customer FTB (B) Status=NULL&lt;BR&gt;Customer RA Status=N-NULL&lt;BR&gt;Child Eligibility FTB(A)=Y&lt;BR&gt;Child Eligibility FTB(B)=Y</v>
      </c>
      <c r="M190" s="157" t="str">
        <f t="shared" si="49"/>
        <v>&lt;BR&gt;&lt;BR&gt;Benefit Status=NEF-NTB&lt;BR&gt;Review created on FAL screen=TFN - EXEMPTION REVIEW (TEX)&lt;BR&gt;Customer FTB (A) Status=NULL&lt;BR&gt;Customer FTB (B) Status=NULL&lt;BR&gt;Customer RA Status=N-NULL&lt;BR&gt;Child Eligibility FTB(A)=Y&lt;BR&gt;Child Eligibility FTB(B)=Y</v>
      </c>
      <c r="N190" s="157" t="str">
        <f t="shared" si="49"/>
        <v>&lt;BR&gt;&lt;BR&gt;Benefit Status=CUR&lt;BR&gt;Review created on FAL screen=No Review&lt;BR&gt;Customer FTB (A) Status=CAN-INC&lt;BR&gt;Customer FTB (B) Status=CUR&lt;BR&gt;Customer RA Status=N-NULL&lt;BR&gt;Child Eligibility FTB(A)=Y&lt;BR&gt;Child Eligibility FTB(B)=Y</v>
      </c>
      <c r="O190" s="157" t="str">
        <f t="shared" si="49"/>
        <v>&lt;BR&gt;&lt;BR&gt;Benefit Status=REJ-INC&lt;BR&gt;Review created on FAL screen=No Review&lt;BR&gt;Customer FTB (A) Status=CAN-INC&lt;BR&gt;Customer FTB (B) Status=REJ-IEU&lt;BR&gt;Customer RA Status=N-NULL&lt;BR&gt;Child Eligibility FTB(A)=Y&lt;BR&gt;Child Eligibility FTB(B)=Y</v>
      </c>
      <c r="P190" s="157" t="str">
        <f t="shared" si="49"/>
        <v>&lt;BR&gt;&lt;BR&gt;Benefit Status=CUR&lt;BR&gt;Review created on FAL screen=No Review&lt;BR&gt;Customer FTB (A) Status=CUR&lt;BR&gt;Customer FTB (B) Status=REJ-INC&lt;BR&gt;Customer RA Status=N-HOM&lt;BR&gt;Child Eligibility FTB(A)=Y&lt;BR&gt;Child Eligibility FTB(B)=Y</v>
      </c>
      <c r="Q190" s="157" t="str">
        <f t="shared" si="49"/>
        <v>&lt;BR&gt;&lt;BR&gt;Benefit Status=REJ-INC&lt;BR&gt;Review created on FAL screen=No Review&lt;BR&gt;Customer FTB (A) Status=CAN-INC&lt;BR&gt;Customer FTB (B) Status=REJ-INC&lt;BR&gt;Customer RA Status=N-NULL&lt;BR&gt;Child Eligibility FTB(A)=Y&lt;BR&gt;Child Eligibility FTB(B)=Y</v>
      </c>
      <c r="R190" s="157" t="str">
        <f t="shared" si="49"/>
        <v>&lt;BR&gt;&lt;BR&gt;Benefit Status=REJ-INC&lt;BR&gt;Review created on FAL screen=No Review&lt;BR&gt;Customer FTB (A) Status=CAN-INC&lt;BR&gt;Customer FTB (B) Status=REJ-INC&lt;BR&gt;Customer RA Status=N-NULL&lt;BR&gt;Child Eligibility FTB(A)=Y&lt;BR&gt;Child Eligibility FTB(B)=Y</v>
      </c>
      <c r="S190" s="157" t="str">
        <f t="shared" si="49"/>
        <v>&lt;BR&gt;&lt;BR&gt;Benefit Status=CUR&lt;BR&gt;Review created on FAL screen=No Review&lt;BR&gt;Customer FTB (A) Status=CUR&lt;BR&gt;Customer FTB (B) Status=CUR&lt;BR&gt;Customer RA Status=N-HOM&lt;BR&gt;Child Eligibility FTB(A)=Y&lt;BR&gt;Child Eligibility FTB(B)=Y</v>
      </c>
      <c r="T190" s="157" t="str">
        <f t="shared" si="49"/>
        <v>&lt;BR&gt;&lt;BR&gt;Benefit Status=CUR&lt;BR&gt;Review created on FAL screen=No Review&lt;BR&gt;Customer FTB (A) Status=CUR&lt;BR&gt;Customer FTB (B) Status=CUR&lt;BR&gt;Customer RA Status=N-HOM&lt;BR&gt;Child Eligibility FTB(A)=Y&lt;BR&gt;Child Eligibility FTB(B)=Y</v>
      </c>
      <c r="U190" s="157" t="str">
        <f t="shared" si="49"/>
        <v>&lt;BR&gt;&lt;BR&gt;Benefit Status=CUR&lt;BR&gt;Review created on FAL screen=No Review&lt;BR&gt;Customer FTB (A) Status=CUR&lt;BR&gt;Customer FTB (B) Status=CUR&lt;BR&gt;Customer RA Status=N-HOM&lt;BR&gt;Child Eligibility FTB(A)=Y&lt;BR&gt;Child Eligibility FTB(B)=Y</v>
      </c>
      <c r="V190" s="157" t="str">
        <f t="shared" si="49"/>
        <v>&lt;BR&gt;&lt;BR&gt;Benefit Status=CUR&lt;BR&gt;Review created on FAL screen=No Review&lt;BR&gt;Customer FTB (A) Status=CUR&lt;BR&gt;Customer FTB (B) Status=CUR&lt;BR&gt;Customer RA Status=N-HOM&lt;BR&gt;Child Eligibility FTB(A)=Y&lt;BR&gt;Child Eligibility FTB(B)=Y</v>
      </c>
      <c r="W190" s="157" t="str">
        <f t="shared" si="49"/>
        <v>&lt;BR&gt;&lt;BR&gt;Benefit Status=CUR&lt;BR&gt;Review created on FAL screen=No Review&lt;BR&gt;Customer FTB (A) Status=CUR&lt;BR&gt;Customer FTB (B) Status=CUR&lt;BR&gt;Customer RA Status=N-HOM&lt;BR&gt;Child Eligibility FTB(A)=Y&lt;BR&gt;Child Eligibility FTB(B)=Y</v>
      </c>
      <c r="X190" s="157" t="str">
        <f t="shared" si="49"/>
        <v>&lt;BR&gt;&lt;BR&gt;Benefit Status=CUR&lt;BR&gt;Review created on FAL screen=No Review&lt;BR&gt;Customer FTB (A) Status=CUR&lt;BR&gt;Customer FTB (B) Status=CUR&lt;BR&gt;Customer RA Status=N-HOM&lt;BR&gt;Child Eligibility FTB(A)=Y&lt;BR&gt;Child Eligibility FTB(B)=Y</v>
      </c>
      <c r="Y190" s="157" t="str">
        <f t="shared" si="49"/>
        <v>&lt;BR&gt;&lt;BR&gt;Benefit Status=CUR&lt;BR&gt;Review created on FAL screen=No Review&lt;BR&gt;Customer FTB (A) Status=CUR&lt;BR&gt;Customer FTB (B) Status=CUR&lt;BR&gt;Customer RA Status=N-HOM&lt;BR&gt;Child Eligibility FTB(A)=Y&lt;BR&gt;Child Eligibility FTB(B)=Y</v>
      </c>
      <c r="Z190" s="157" t="str">
        <f t="shared" si="49"/>
        <v>&lt;BR&gt;&lt;BR&gt;Benefit Status=CUR&lt;BR&gt;Review created on FAL screen=No Review&lt;BR&gt;Customer FTB (A) Status=CUR&lt;BR&gt;Customer FTB (B) Status=CUR&lt;BR&gt;Customer RA Status=N-HOM&lt;BR&gt;Child Eligibility FTB(A)=Y&lt;BR&gt;Child Eligibility FTB(B)=Y</v>
      </c>
      <c r="AA190" s="157" t="str">
        <f t="shared" si="49"/>
        <v>&lt;BR&gt;&lt;BR&gt;Benefit Status=CUR&lt;BR&gt;Review created on FAL screen=No Review&lt;BR&gt;Customer FTB (A) Status=CUR&lt;BR&gt;Customer FTB (B) Status=CUR&lt;BR&gt;Customer RA Status=N-HOM&lt;BR&gt;Child Eligibility FTB(A)=Y&lt;BR&gt;Child Eligibility FTB(B)=Y</v>
      </c>
      <c r="AB190" s="157" t="str">
        <f t="shared" si="49"/>
        <v>&lt;BR&gt;&lt;BR&gt;Benefit Status=CUR&lt;BR&gt;Review created on FAL screen=No Review&lt;BR&gt;Customer FTB (A) Status=CUR&lt;BR&gt;Customer FTB (B) Status=CUR&lt;BR&gt;Customer RA Status=N-HOM&lt;BR&gt;Child Eligibility FTB(A)=Y&lt;BR&gt;Child Eligibility FTB(B)=Y</v>
      </c>
      <c r="AC190" s="157" t="str">
        <f t="shared" si="49"/>
        <v>&lt;BR&gt;&lt;BR&gt;Benefit Status=CUR&lt;BR&gt;Review created on FAL screen=No Review&lt;BR&gt;Customer FTB (A) Status=CUR&lt;BR&gt;Customer FTB (B) Status=CUR&lt;BR&gt;Customer RA Status=N-HOM&lt;BR&gt;Child Eligibility FTB(A)=Y&lt;BR&gt;Child Eligibility FTB(B)=Y</v>
      </c>
      <c r="AD190" s="157" t="str">
        <f t="shared" si="49"/>
        <v>&lt;BR&gt;&lt;BR&gt;Benefit Status=CUR&lt;BR&gt;Review created on FAL screen=No Review&lt;BR&gt;Customer FTB (A) Status=CUR&lt;BR&gt;Customer FTB (B) Status=CUR&lt;BR&gt;Customer RA Status=N-HOM&lt;BR&gt;Child Eligibility FTB(A)=Y&lt;BR&gt;Child Eligibility FTB(B)=Y</v>
      </c>
      <c r="AE190" s="157" t="str">
        <f t="shared" si="49"/>
        <v>&lt;BR&gt;&lt;BR&gt;Benefit Status=CUR&lt;BR&gt;Review created on FAL screen=No Review&lt;BR&gt;Customer FTB (A) Status=CUR&lt;BR&gt;Customer FTB (B) Status=CUR&lt;BR&gt;Customer RA Status=N-HOM&lt;BR&gt;Child Eligibility FTB(A)=Y&lt;BR&gt;Child Eligibility FTB(B)=Y</v>
      </c>
      <c r="AF190" s="157" t="str">
        <f t="shared" si="49"/>
        <v>&lt;BR&gt;&lt;BR&gt;Benefit Status=CUR&lt;BR&gt;Review created on FAL screen=No Review&lt;BR&gt;Customer FTB (A) Status=CUR&lt;BR&gt;Customer FTB (B) Status=CUR&lt;BR&gt;Customer RA Status=N-HOM&lt;BR&gt;Child Eligibility FTB(A)=Y&lt;BR&gt;Child Eligibility FTB(B)=Y</v>
      </c>
      <c r="AG190" s="157" t="str">
        <f t="shared" si="49"/>
        <v>&lt;BR&gt;&lt;BR&gt;Benefit Status=CUR&lt;BR&gt;Review created on FAL screen=No Review&lt;BR&gt;Customer FTB (A) Status=CUR&lt;BR&gt;Customer FTB (B) Status=CUR&lt;BR&gt;Customer RA Status=N-HOM&lt;BR&gt;Child Eligibility FTB(A)=Y&lt;BR&gt;Child Eligibility FTB(B)=Y</v>
      </c>
      <c r="AH190" s="157" t="str">
        <f t="shared" si="49"/>
        <v>&lt;BR&gt;&lt;BR&gt;Benefit Status=CUR&lt;BR&gt;Review created on FAL screen=No Review&lt;BR&gt;Customer FTB (A) Status=CUR&lt;BR&gt;Customer FTB (B) Status=CUR&lt;BR&gt;Customer RA Status=N-HOM&lt;BR&gt;Child Eligibility FTB(A)=Y&lt;BR&gt;Child Eligibility FTB(B)=Y</v>
      </c>
      <c r="AI190" s="157" t="str">
        <f t="shared" si="49"/>
        <v>&lt;BR&gt;&lt;BR&gt;Benefit Status=CUR&lt;BR&gt;Review created on FAL screen=No Review&lt;BR&gt;Customer FTB (A) Status=REJ-NRQ&lt;BR&gt;Customer FTB (B) Status=REJ-NRQ&lt;BR&gt;Customer RA Status=N-NULL&lt;BR&gt;Child Eligibility FTB(A)=Y&lt;BR&gt;Child Eligibility FTB(B)=Y</v>
      </c>
      <c r="AJ190" s="157" t="str">
        <f t="shared" si="49"/>
        <v>&lt;BR&gt;&lt;BR&gt;Benefit Status=CUR&lt;BR&gt;Review created on FAL screen=No Review&lt;BR&gt;Customer FTB (A) Status=CUR&lt;BR&gt;Customer FTB (B) Status=CUR&lt;BR&gt;Customer RA Status=N-HOM&lt;BR&gt;Child Eligibility FTB(A)=Y&lt;BR&gt;Child Eligibility FTB(B)=Y</v>
      </c>
      <c r="AK190" s="157" t="str">
        <f t="shared" si="49"/>
        <v>&lt;BR&gt;&lt;BR&gt;Benefit Status=CUR&lt;BR&gt;Review created on FAL screen=No Review&lt;BR&gt;Customer FTB (A) Status=REJ-NRQ&lt;BR&gt;Customer FTB (B) Status=REJ-NRQ&lt;BR&gt;Customer RA Status=N-NULL&lt;BR&gt;Child Eligibility FTB(A)=Y&lt;BR&gt;Child Eligibility FTB(B)=Y</v>
      </c>
      <c r="AL190" s="157" t="str">
        <f t="shared" ref="AL190:BH190" si="50" xml:space="preserve"> CONCATENATE("&lt;BR&gt;","&lt;BR&gt;",$C$179, "=", AL179, "&lt;BR&gt;",$C$181, "=",AL181,"&lt;BR&gt;",$C$183, "=",AL183,"&lt;BR&gt;",$C$184, "=",AL184,"&lt;BR&gt;",$C$185, "=",AL185,"&lt;BR&gt;",$C$187, "=",AL187,"&lt;BR&gt;",$C$188, "=",AL188)</f>
        <v>&lt;BR&gt;&lt;BR&gt;Benefit Status=CUR&lt;BR&gt;Review created on FAL screen=No Review&lt;BR&gt;Customer FTB (A) Status=CUR&lt;BR&gt;Customer FTB (B) Status=CUR&lt;BR&gt;Customer RA Status=N-HOM&lt;BR&gt;Child Eligibility FTB(A)=Y&lt;BR&gt;Child Eligibility FTB(B)=Y</v>
      </c>
      <c r="AM190" s="157" t="str">
        <f t="shared" si="50"/>
        <v>&lt;BR&gt;&lt;BR&gt;Benefit Status=CUR&lt;BR&gt;Review created on FAL screen=No Review&lt;BR&gt;Customer FTB (A) Status=CUR&lt;BR&gt;Customer FTB (B) Status=CUR&lt;BR&gt;Customer RA Status=N-HOM&lt;BR&gt;Child Eligibility FTB(A)=Y&lt;BR&gt;Child Eligibility FTB(B)=Y</v>
      </c>
      <c r="AN190" s="157" t="str">
        <f t="shared" si="50"/>
        <v>&lt;BR&gt;&lt;BR&gt;Benefit Status=NEF-BAN&lt;BR&gt;Review created on FAL screen=No Review&lt;BR&gt;Customer FTB (A) Status=NULL&lt;BR&gt;Customer FTB (B) Status=NULL&lt;BR&gt;Customer RA Status=N-NULL&lt;BR&gt;Child Eligibility FTB(A)=Y&lt;BR&gt;Child Eligibility FTB(B)=Y</v>
      </c>
      <c r="AO190" s="157" t="str">
        <f t="shared" si="50"/>
        <v>&lt;BR&gt;&lt;BR&gt;Benefit Status=NEF-NTC&lt;BR&gt;Review created on FAL screen=No Review&lt;BR&gt;Customer FTB (A) Status=NULL&lt;BR&gt;Customer FTB (B) Status=NULL&lt;BR&gt;Customer RA Status=N-NULL&lt;BR&gt;Child Eligibility FTB(A)=Y&lt;BR&gt;Child Eligibility FTB(B)=Y</v>
      </c>
      <c r="AP190" s="157" t="str">
        <f t="shared" si="50"/>
        <v>&lt;BR&gt;&lt;BR&gt;Benefit Status=REJ-INC&lt;BR&gt;Review created on FAL screen=No Review&lt;BR&gt;Customer FTB (A) Status=NULL&lt;BR&gt;Customer FTB (B) Status=NULL&lt;BR&gt;Customer RA Status=N-NULL&lt;BR&gt;Child Eligibility FTB(A)=Y&lt;BR&gt;Child Eligibility FTB(B)=Y</v>
      </c>
      <c r="AQ190" s="157" t="str">
        <f t="shared" si="50"/>
        <v>&lt;BR&gt;&lt;BR&gt;Benefit Status=CUR&lt;BR&gt;Review created on FAL screen=No Review&lt;BR&gt;Customer FTB (A) Status=CUR&lt;BR&gt;Customer FTB (B) Status=CUR&lt;BR&gt;Customer RA Status=N-HOM&lt;BR&gt;Child Eligibility FTB(A)=Y&lt;BR&gt;Child Eligibility FTB(B)=Y</v>
      </c>
      <c r="AR190" s="157" t="str">
        <f t="shared" si="50"/>
        <v>&lt;BR&gt;&lt;BR&gt;Benefit Status=CUR&lt;BR&gt;Review created on FAL screen=No Review&lt;BR&gt;Customer FTB (A) Status=CUR&lt;BR&gt;Customer FTB (B) Status=CUR&lt;BR&gt;Customer RA Status=N-HOM&lt;BR&gt;Child Eligibility FTB(A)=Y&lt;BR&gt;Child Eligibility FTB(B)=Y</v>
      </c>
      <c r="AS190" s="157" t="str">
        <f t="shared" si="50"/>
        <v>&lt;BR&gt;&lt;BR&gt;Benefit Status=CUR&lt;BR&gt;Review created on FAL screen=No Review&lt;BR&gt;Customer FTB (A) Status=CUR&lt;BR&gt;Customer FTB (B) Status=CUR&lt;BR&gt;Customer RA Status=N-HOM&lt;BR&gt;Child Eligibility FTB(A)=Y&lt;BR&gt;Child Eligibility FTB(B)=Y</v>
      </c>
      <c r="AT190" s="157" t="str">
        <f t="shared" si="50"/>
        <v>&lt;BR&gt;&lt;BR&gt;Benefit Status=CUR&lt;BR&gt;Review created on FAL screen=No Review&lt;BR&gt;Customer FTB (A) Status=CUR&lt;BR&gt;Customer FTB (B) Status=CUR&lt;BR&gt;Customer RA Status=N-HOM&lt;BR&gt;Child Eligibility FTB(A)=Y&lt;BR&gt;Child Eligibility FTB(B)=Y</v>
      </c>
      <c r="AU190" s="157" t="str">
        <f t="shared" si="50"/>
        <v>&lt;BR&gt;&lt;BR&gt;Benefit Status=CUR&lt;BR&gt;Review created on FAL screen=No Review&lt;BR&gt;Customer FTB (A) Status=CUR&lt;BR&gt;Customer FTB (B) Status=CUR&lt;BR&gt;Customer RA Status=N-HOM&lt;BR&gt;Child Eligibility FTB(A)=Y&lt;BR&gt;Child Eligibility FTB(B)=Y</v>
      </c>
      <c r="AV190" s="157" t="str">
        <f t="shared" si="50"/>
        <v>&lt;BR&gt;&lt;BR&gt;Benefit Status=NEF-BAN&lt;BR&gt;Review created on FAL screen=No Review&lt;BR&gt;Customer FTB (A) Status=NULL&lt;BR&gt;Customer FTB (B) Status=NULL&lt;BR&gt;Customer RA Status=N-NULL&lt;BR&gt;Child Eligibility FTB(A)=Y&lt;BR&gt;Child Eligibility FTB(B)=Y</v>
      </c>
      <c r="AW190" s="157" t="str">
        <f t="shared" si="50"/>
        <v>&lt;BR&gt;&lt;BR&gt;Benefit Status=NEF-NTC&lt;BR&gt;Review created on FAL screen=No Review&lt;BR&gt;Customer FTB (A) Status=NULL&lt;BR&gt;Customer FTB (B) Status=NULL&lt;BR&gt;Customer RA Status=N-NULL&lt;BR&gt;Child Eligibility FTB(A)=Y&lt;BR&gt;Child Eligibility FTB(B)=Y</v>
      </c>
      <c r="AX190" s="157" t="str">
        <f t="shared" si="50"/>
        <v>&lt;BR&gt;&lt;BR&gt;Benefit Status=REJ-INC&lt;BR&gt;Review created on FAL screen=No Review&lt;BR&gt;Customer FTB (A) Status=NULL&lt;BR&gt;Customer FTB (B) Status=NULL&lt;BR&gt;Customer RA Status=N-NULL&lt;BR&gt;Child Eligibility FTB(A)=Y&lt;BR&gt;Child Eligibility FTB(B)=Y</v>
      </c>
      <c r="AY190" s="157" t="str">
        <f t="shared" si="50"/>
        <v>&lt;BR&gt;&lt;BR&gt;Benefit Status=CUR&lt;BR&gt;Review created on FAL screen=No Review&lt;BR&gt;Customer FTB (A) Status=CUR&lt;BR&gt;Customer FTB (B) Status=CUR&lt;BR&gt;Customer RA Status=N-HOM&lt;BR&gt;Child Eligibility FTB(A)=Y&lt;BR&gt;Child Eligibility FTB(B)=Y</v>
      </c>
      <c r="AZ190" s="157" t="str">
        <f t="shared" si="50"/>
        <v>&lt;BR&gt;&lt;BR&gt;Benefit Status=CUR&lt;BR&gt;Review created on FAL screen=No Review&lt;BR&gt;Customer FTB (A) Status=CUR&lt;BR&gt;Customer FTB (B) Status=CUR&lt;BR&gt;Customer RA Status=N-HOM&lt;BR&gt;Child Eligibility FTB(A)=Y&lt;BR&gt;Child Eligibility FTB(B)=Y</v>
      </c>
      <c r="BA190" s="157" t="str">
        <f t="shared" si="50"/>
        <v>&lt;BR&gt;&lt;BR&gt;Benefit Status=CUR&lt;BR&gt;Review created on FAL screen=No Review&lt;BR&gt;Customer FTB (A) Status=CUR&lt;BR&gt;Customer FTB (B) Status=CUR&lt;BR&gt;Customer RA Status=N-HOM&lt;BR&gt;Child Eligibility FTB(A)=Y&lt;BR&gt;Child Eligibility FTB(B)=Y</v>
      </c>
      <c r="BB190" s="157" t="str">
        <f t="shared" si="50"/>
        <v>&lt;BR&gt;&lt;BR&gt;Benefit Status=CUR&lt;BR&gt;Review created on FAL screen=No Review&lt;BR&gt;Customer FTB (A) Status=CUR&lt;BR&gt;Customer FTB (B) Status=CUR&lt;BR&gt;Customer RA Status=N-HOM&lt;BR&gt;Child Eligibility FTB(A)=Y&lt;BR&gt;Child Eligibility FTB(B)=Y</v>
      </c>
      <c r="BC190" s="157" t="str">
        <f t="shared" si="50"/>
        <v>&lt;BR&gt;&lt;BR&gt;Benefit Status=CUR&lt;BR&gt;Review created on FAL screen=No Review&lt;BR&gt;Customer FTB (A) Status=CUR&lt;BR&gt;Customer FTB (B) Status=CUR&lt;BR&gt;Customer RA Status=N-HOM&lt;BR&gt;Child Eligibility FTB(A)=Y&lt;BR&gt;Child Eligibility FTB(B)=Y</v>
      </c>
      <c r="BD190" s="157" t="str">
        <f t="shared" si="50"/>
        <v>&lt;BR&gt;&lt;BR&gt;Benefit Status=CUR&lt;BR&gt;Review created on FAL screen=No Review&lt;BR&gt;Customer FTB (A) Status=CUR&lt;BR&gt;Customer FTB (B) Status=CUR&lt;BR&gt;Customer RA Status=N-HOM&lt;BR&gt;Child Eligibility FTB(A)=Y&lt;BR&gt;Child Eligibility FTB(B)=Y</v>
      </c>
      <c r="BE190" s="157" t="str">
        <f t="shared" si="50"/>
        <v>&lt;BR&gt;&lt;BR&gt;Benefit Status=NEF-BAN&lt;BR&gt;Review created on FAL screen=No Review&lt;BR&gt;Customer FTB (A) Status=NULL&lt;BR&gt;Customer FTB (B) Status=NULL&lt;BR&gt;Customer RA Status=N-NULL&lt;BR&gt;Child Eligibility FTB(A)=Y&lt;BR&gt;Child Eligibility FTB(B)=Y</v>
      </c>
      <c r="BF190" s="157" t="str">
        <f t="shared" si="50"/>
        <v>&lt;BR&gt;&lt;BR&gt;Benefit Status=NEF-NTC&lt;BR&gt;Review created on FAL screen=No Review&lt;BR&gt;Customer FTB (A) Status=NULL&lt;BR&gt;Customer FTB (B) Status=NULL&lt;BR&gt;Customer RA Status=N-NULL&lt;BR&gt;Child Eligibility FTB(A)=Y&lt;BR&gt;Child Eligibility FTB(B)=Y</v>
      </c>
      <c r="BG190" s="157" t="str">
        <f t="shared" si="50"/>
        <v>&lt;BR&gt;&lt;BR&gt;Benefit Status=REJ-INC&lt;BR&gt;Review created on FAL screen=No Review&lt;BR&gt;Customer FTB (A) Status=NULL&lt;BR&gt;Customer FTB (B) Status=NULL&lt;BR&gt;Customer RA Status=N-NULL&lt;BR&gt;Child Eligibility FTB(A)=Y&lt;BR&gt;Child Eligibility FTB(B)=Y</v>
      </c>
      <c r="BH190" s="157" t="str">
        <f t="shared" si="50"/>
        <v>&lt;BR&gt;&lt;BR&gt;Benefit Status=CUR&lt;BR&gt;Review created on FAL screen=No Review&lt;BR&gt;Customer FTB (A) Status=CUR&lt;BR&gt;Customer FTB (B) Status=CUR&lt;BR&gt;Customer RA Status=N-HOM&lt;BR&gt;Child Eligibility FTB(A)=Y&lt;BR&gt;Child Eligibility FTB(B)=Y</v>
      </c>
      <c r="BI190" s="157" t="str">
        <f t="shared" ref="BI190:CD190" si="51" xml:space="preserve"> CONCATENATE("&lt;BR&gt;","&lt;BR&gt;",$C$179, "=", BI179, "&lt;BR&gt;",$C$181, "=",BI181,"&lt;BR&gt;",$C$183, "=",BI183,"&lt;BR&gt;",$C$184, "=",BI184,"&lt;BR&gt;",$C$185, "=",BI185,"&lt;BR&gt;",$C$187, "=",BI187,"&lt;BR&gt;",$C$188, "=",BI188)</f>
        <v>&lt;BR&gt;&lt;BR&gt;Benefit Status=CUR&lt;BR&gt;Review created on FAL screen=No Review&lt;BR&gt;Customer FTB (A) Status=CUR&lt;BR&gt;Customer FTB (B) Status=CUR&lt;BR&gt;Customer RA Status=N-HOM&lt;BR&gt;Child Eligibility FTB(A)=Y&lt;BR&gt;Child Eligibility FTB(B)=Y</v>
      </c>
      <c r="BJ190" s="157" t="str">
        <f t="shared" si="51"/>
        <v>&lt;BR&gt;&lt;BR&gt;Benefit Status=CUR&lt;BR&gt;Review created on FAL screen=No Review&lt;BR&gt;Customer FTB (A) Status=CUR&lt;BR&gt;Customer FTB (B) Status=CUR&lt;BR&gt;Customer RA Status=N-HOM&lt;BR&gt;Child Eligibility FTB(A)=Y&lt;BR&gt;Child Eligibility FTB(B)=Y</v>
      </c>
      <c r="BK190" s="157" t="str">
        <f t="shared" si="51"/>
        <v>&lt;BR&gt;&lt;BR&gt;Benefit Status=CUR&lt;BR&gt;Review created on FAL screen=No Review&lt;BR&gt;Customer FTB (A) Status=CUR&lt;BR&gt;Customer FTB (B) Status=CUR&lt;BR&gt;Customer RA Status=N-HOM&lt;BR&gt;Child Eligibility FTB(A)=Y&lt;BR&gt;Child Eligibility FTB(B)=Y</v>
      </c>
      <c r="BL190" s="157" t="str">
        <f t="shared" si="51"/>
        <v>&lt;BR&gt;&lt;BR&gt;Benefit Status=CUR&lt;BR&gt;Review created on FAL screen=No Review&lt;BR&gt;Customer FTB (A) Status=CUR&lt;BR&gt;Customer FTB (B) Status=CUR&lt;BR&gt;Customer RA Status=N-HOM&lt;BR&gt;Child Eligibility FTB(A)=Y&lt;BR&gt;Child Eligibility FTB(B)=Y</v>
      </c>
      <c r="BM190" s="157" t="str">
        <f t="shared" si="51"/>
        <v>&lt;BR&gt;&lt;BR&gt;Benefit Status=CUR&lt;BR&gt;Review created on FAL screen=No Review&lt;BR&gt;Customer FTB (A) Status=CUR&lt;BR&gt;Customer FTB (B) Status=CUR&lt;BR&gt;Customer RA Status=N-HOM&lt;BR&gt;Child Eligibility FTB(A)=Y&lt;BR&gt;Child Eligibility FTB(B)=Y</v>
      </c>
      <c r="BN190" s="157" t="str">
        <f t="shared" si="51"/>
        <v>&lt;BR&gt;&lt;BR&gt;Benefit Status=NEF-BAN&lt;BR&gt;Review created on FAL screen=No Review&lt;BR&gt;Customer FTB (A) Status=NULL&lt;BR&gt;Customer FTB (B) Status=NULL&lt;BR&gt;Customer RA Status=N-NULL&lt;BR&gt;Child Eligibility FTB(A)=Y&lt;BR&gt;Child Eligibility FTB(B)=Y</v>
      </c>
      <c r="BO190" s="157" t="str">
        <f t="shared" si="51"/>
        <v>&lt;BR&gt;&lt;BR&gt;Benefit Status=NEF-NTC&lt;BR&gt;Review created on FAL screen=No Review&lt;BR&gt;Customer FTB (A) Status=NULL&lt;BR&gt;Customer FTB (B) Status=NULL&lt;BR&gt;Customer RA Status=N-NULL&lt;BR&gt;Child Eligibility FTB(A)=Y&lt;BR&gt;Child Eligibility FTB(B)=Y</v>
      </c>
      <c r="BP190" s="157" t="str">
        <f t="shared" si="51"/>
        <v>&lt;BR&gt;&lt;BR&gt;Benefit Status=REJ-INC&lt;BR&gt;Review created on FAL screen=No Review&lt;BR&gt;Customer FTB (A) Status=NULL&lt;BR&gt;Customer FTB (B) Status=NULL&lt;BR&gt;Customer RA Status=N-NULL&lt;BR&gt;Child Eligibility FTB(A)=Y&lt;BR&gt;Child Eligibility FTB(B)=Y</v>
      </c>
      <c r="BQ190" s="157" t="str">
        <f t="shared" si="51"/>
        <v>&lt;BR&gt;&lt;BR&gt;Benefit Status=CUR&lt;BR&gt;Review created on FAL screen=No Review&lt;BR&gt;Customer FTB (A) Status=CUR&lt;BR&gt;Customer FTB (B) Status=CUR&lt;BR&gt;Customer RA Status=N-HOM&lt;BR&gt;Child Eligibility FTB(A)=Y&lt;BR&gt;Child Eligibility FTB(B)=Y</v>
      </c>
      <c r="BR190" s="157" t="str">
        <f t="shared" si="51"/>
        <v>&lt;BR&gt;&lt;BR&gt;Benefit Status=CUR&lt;BR&gt;Review created on FAL screen=No Review&lt;BR&gt;Customer FTB (A) Status=CUR&lt;BR&gt;Customer FTB (B) Status=CUR&lt;BR&gt;Customer RA Status=N-HOM&lt;BR&gt;Child Eligibility FTB(A)=Y&lt;BR&gt;Child Eligibility FTB(B)=Y</v>
      </c>
      <c r="BS190" s="157" t="str">
        <f t="shared" si="51"/>
        <v>&lt;BR&gt;&lt;BR&gt;Benefit Status=CUR&lt;BR&gt;Review created on FAL screen=No Review&lt;BR&gt;Customer FTB (A) Status=CUR&lt;BR&gt;Customer FTB (B) Status=CUR&lt;BR&gt;Customer RA Status=N-HOM&lt;BR&gt;Child Eligibility FTB(A)=Y&lt;BR&gt;Child Eligibility FTB(B)=Y</v>
      </c>
      <c r="BT190" s="157" t="str">
        <f t="shared" si="51"/>
        <v>&lt;BR&gt;&lt;BR&gt;Benefit Status=CUR&lt;BR&gt;Review created on FAL screen=No Review&lt;BR&gt;Customer FTB (A) Status=CUR&lt;BR&gt;Customer FTB (B) Status=CUR&lt;BR&gt;Customer RA Status=N-HOM&lt;BR&gt;Child Eligibility FTB(A)=Y&lt;BR&gt;Child Eligibility FTB(B)=Y</v>
      </c>
      <c r="BU190" s="157" t="str">
        <f t="shared" si="51"/>
        <v>&lt;BR&gt;&lt;BR&gt;Benefit Status=CUR&lt;BR&gt;Review created on FAL screen=No Review&lt;BR&gt;Customer FTB (A) Status=CUR&lt;BR&gt;Customer FTB (B) Status=CUR&lt;BR&gt;Customer RA Status=N-HOM&lt;BR&gt;Child Eligibility FTB(A)=Y&lt;BR&gt;Child Eligibility FTB(B)=Y</v>
      </c>
      <c r="BV190" s="157" t="str">
        <f t="shared" si="51"/>
        <v>&lt;BR&gt;&lt;BR&gt;Benefit Status=CUR&lt;BR&gt;Review created on FAL screen=No Review&lt;BR&gt;Customer FTB (A) Status=CUR&lt;BR&gt;Customer FTB (B) Status=CUR&lt;BR&gt;Customer RA Status=N-HOM&lt;BR&gt;Child Eligibility FTB(A)=Y&lt;BR&gt;Child Eligibility FTB(B)=Y</v>
      </c>
      <c r="BW190" s="157" t="str">
        <f t="shared" si="51"/>
        <v>&lt;BR&gt;&lt;BR&gt;Benefit Status=NEF-BAN&lt;BR&gt;Review created on FAL screen=No Review&lt;BR&gt;Customer FTB (A) Status=NULL&lt;BR&gt;Customer FTB (B) Status=NULL&lt;BR&gt;Customer RA Status=N-NULL&lt;BR&gt;Child Eligibility FTB(A)=Y&lt;BR&gt;Child Eligibility FTB(B)=Y</v>
      </c>
      <c r="BX190" s="157" t="str">
        <f t="shared" si="51"/>
        <v>&lt;BR&gt;&lt;BR&gt;Benefit Status=NEF-NTC&lt;BR&gt;Review created on FAL screen=No Review&lt;BR&gt;Customer FTB (A) Status=NULL&lt;BR&gt;Customer FTB (B) Status=NULL&lt;BR&gt;Customer RA Status=N-NULL&lt;BR&gt;Child Eligibility FTB(A)=Y&lt;BR&gt;Child Eligibility FTB(B)=Y</v>
      </c>
      <c r="BY190" s="157" t="str">
        <f t="shared" si="51"/>
        <v>&lt;BR&gt;&lt;BR&gt;Benefit Status=REJ-INC&lt;BR&gt;Review created on FAL screen=No Review&lt;BR&gt;Customer FTB (A) Status=NULL&lt;BR&gt;Customer FTB (B) Status=NULL&lt;BR&gt;Customer RA Status=N-NULL&lt;BR&gt;Child Eligibility FTB(A)=Y&lt;BR&gt;Child Eligibility FTB(B)=Y</v>
      </c>
      <c r="BZ190" s="157" t="str">
        <f t="shared" si="51"/>
        <v>&lt;BR&gt;&lt;BR&gt;Benefit Status=CUR&lt;BR&gt;Review created on FAL screen=No Review&lt;BR&gt;Customer FTB (A) Status=CUR&lt;BR&gt;Customer FTB (B) Status=CUR&lt;BR&gt;Customer RA Status=N-HOM&lt;BR&gt;Child Eligibility FTB(A)=Y&lt;BR&gt;Child Eligibility FTB(B)=Y</v>
      </c>
      <c r="CA190" s="157" t="str">
        <f t="shared" si="51"/>
        <v>&lt;BR&gt;&lt;BR&gt;Benefit Status=CUR&lt;BR&gt;Review created on FAL screen=No Review&lt;BR&gt;Customer FTB (A) Status=CUR&lt;BR&gt;Customer FTB (B) Status=CUR&lt;BR&gt;Customer RA Status=N-HOM&lt;BR&gt;Child Eligibility FTB(A)=Y&lt;BR&gt;Child Eligibility FTB(B)=Y</v>
      </c>
      <c r="CB190" s="157" t="str">
        <f t="shared" si="51"/>
        <v>&lt;BR&gt;&lt;BR&gt;Benefit Status=CUR&lt;BR&gt;Review created on FAL screen=No Review&lt;BR&gt;Customer FTB (A) Status=CUR&lt;BR&gt;Customer FTB (B) Status=CUR&lt;BR&gt;Customer RA Status=N-HOM&lt;BR&gt;Child Eligibility FTB(A)=Y&lt;BR&gt;Child Eligibility FTB(B)=Y</v>
      </c>
      <c r="CC190" s="157" t="str">
        <f t="shared" si="51"/>
        <v>&lt;BR&gt;&lt;BR&gt;Benefit Status=CUR&lt;BR&gt;Review created on FAL screen=No Review&lt;BR&gt;Customer FTB (A) Status=CUR&lt;BR&gt;Customer FTB (B) Status=CUR&lt;BR&gt;Customer RA Status=N-HOM&lt;BR&gt;Child Eligibility FTB(A)=Y&lt;BR&gt;Child Eligibility FTB(B)=Y</v>
      </c>
      <c r="CD190" s="157" t="str">
        <f t="shared" si="51"/>
        <v>&lt;BR&gt;&lt;BR&gt;Benefit Status=CUR&lt;BR&gt;Review created on FAL screen=No Review&lt;BR&gt;Customer FTB (A) Status=CUR&lt;BR&gt;Customer FTB (B) Status=CUR&lt;BR&gt;Customer RA Status=N-HOM&lt;BR&gt;Child Eligibility FTB(A)=Y&lt;BR&gt;Child Eligibility FTB(B)=Y</v>
      </c>
      <c r="CE190" s="157"/>
      <c r="CF190" s="157"/>
      <c r="CG190" s="157"/>
      <c r="CH190" s="157"/>
      <c r="CI190" s="157"/>
      <c r="CJ190" s="157"/>
      <c r="CK190" s="157"/>
      <c r="CL190" s="157"/>
      <c r="CM190" s="157"/>
      <c r="CN190" s="157"/>
      <c r="CO190" s="157"/>
      <c r="CP190" s="157"/>
      <c r="CQ190" s="157"/>
      <c r="CR190" s="157"/>
      <c r="CS190" s="157"/>
      <c r="CT190" s="157"/>
      <c r="CU190" s="157"/>
      <c r="CV190" s="157"/>
      <c r="CW190" s="157"/>
      <c r="CX190" s="157"/>
      <c r="CY190" s="157"/>
      <c r="CZ190" s="157"/>
      <c r="DA190" s="157"/>
      <c r="DB190" s="157"/>
      <c r="DC190" s="157"/>
      <c r="DD190" s="157"/>
      <c r="DE190" s="157"/>
      <c r="DF190" s="157"/>
      <c r="DG190" s="157"/>
      <c r="DH190" s="157"/>
      <c r="DI190" s="157"/>
      <c r="DJ190" s="157"/>
      <c r="DK190" s="157"/>
      <c r="DL190" s="157"/>
      <c r="DM190" s="157"/>
      <c r="DN190" s="157"/>
      <c r="DO190" s="157"/>
      <c r="DP190" s="157"/>
      <c r="DQ190" s="157"/>
      <c r="DR190" s="157"/>
      <c r="DS190" s="157"/>
      <c r="DT190" s="157"/>
      <c r="DU190" s="157"/>
      <c r="DV190" s="157"/>
      <c r="DW190" s="157"/>
      <c r="DX190" s="157"/>
      <c r="DY190" s="157"/>
      <c r="DZ190" s="157"/>
      <c r="EA190" s="157"/>
      <c r="EB190" s="157"/>
      <c r="EC190" s="157"/>
      <c r="ED190" s="157"/>
      <c r="EE190" s="157"/>
      <c r="EF190" s="157"/>
      <c r="EG190" s="157"/>
      <c r="EH190" s="157"/>
      <c r="EI190" s="157"/>
      <c r="EJ190" s="157"/>
      <c r="EK190" s="157"/>
      <c r="EL190" s="157"/>
      <c r="EM190" s="157"/>
      <c r="EN190" s="157"/>
      <c r="EO190" s="157"/>
      <c r="EP190" s="157"/>
      <c r="EQ190" s="157"/>
      <c r="ER190" s="157"/>
      <c r="ES190" s="157"/>
      <c r="ET190" s="157"/>
      <c r="EU190" s="157"/>
      <c r="EV190" s="157"/>
      <c r="EW190" s="157"/>
      <c r="EX190" s="157"/>
      <c r="EY190" s="157"/>
      <c r="EZ190" s="157"/>
      <c r="FA190" s="157"/>
      <c r="FB190" s="157"/>
      <c r="FC190" s="157"/>
      <c r="FD190" s="157"/>
      <c r="FE190" s="157"/>
      <c r="FF190" s="157"/>
      <c r="FG190" s="157"/>
      <c r="FH190" s="157"/>
      <c r="FI190" s="157"/>
      <c r="FJ190" s="157"/>
      <c r="FK190" s="157"/>
      <c r="FL190" s="157"/>
      <c r="FM190" s="157"/>
      <c r="FN190" s="157"/>
      <c r="FO190" s="157"/>
      <c r="FP190" s="157"/>
      <c r="FQ190" s="157"/>
      <c r="FR190" s="157"/>
      <c r="FS190" s="157"/>
      <c r="FT190" s="157"/>
      <c r="FU190" s="157"/>
      <c r="FV190" s="157"/>
      <c r="FW190" s="157"/>
      <c r="FX190" s="157"/>
      <c r="FY190" s="157"/>
      <c r="FZ190" s="157"/>
      <c r="GA190" s="157"/>
      <c r="GB190" s="157"/>
      <c r="GC190" s="157"/>
      <c r="GD190" s="157"/>
      <c r="GE190" s="157"/>
      <c r="GF190" s="157"/>
      <c r="GG190" s="157"/>
      <c r="GH190" s="157"/>
      <c r="GI190" s="157"/>
      <c r="GJ190" s="157"/>
      <c r="GK190" s="157"/>
      <c r="GL190" s="157"/>
      <c r="GM190" s="157"/>
      <c r="GN190" s="157"/>
      <c r="GO190" s="157"/>
      <c r="GP190" s="157"/>
      <c r="GQ190" s="157"/>
      <c r="GR190" s="157"/>
      <c r="GS190" s="157"/>
      <c r="GT190" s="157"/>
      <c r="GU190" s="157"/>
      <c r="GV190" s="157"/>
      <c r="GW190" s="157"/>
      <c r="GX190" s="157"/>
      <c r="GY190" s="157"/>
      <c r="GZ190" s="157"/>
      <c r="HA190" s="157"/>
      <c r="HB190" s="157"/>
      <c r="HC190" s="157"/>
      <c r="HD190" s="157"/>
      <c r="HE190" s="157"/>
      <c r="HF190" s="157"/>
      <c r="HG190" s="157"/>
      <c r="HH190" s="157"/>
      <c r="HI190" s="157"/>
      <c r="HJ190" s="157"/>
      <c r="HK190" s="157"/>
      <c r="HL190" s="157"/>
      <c r="HM190" s="157"/>
      <c r="HN190" s="157"/>
      <c r="HO190" s="157"/>
      <c r="HP190" s="157"/>
      <c r="HQ190" s="157"/>
      <c r="HR190" s="157"/>
      <c r="HS190" s="157"/>
      <c r="HT190" s="157"/>
      <c r="HU190" s="157"/>
      <c r="HV190" s="157"/>
      <c r="HW190" s="157"/>
      <c r="HX190" s="157"/>
      <c r="HY190" s="157"/>
      <c r="HZ190" s="157"/>
      <c r="IA190" s="157"/>
      <c r="IB190" s="157"/>
      <c r="IC190" s="157"/>
      <c r="ID190" s="157"/>
      <c r="IE190" s="157"/>
      <c r="IF190" s="157"/>
      <c r="IG190" s="157"/>
      <c r="IH190" s="157"/>
      <c r="II190" s="157"/>
      <c r="IJ190" s="157"/>
      <c r="IK190" s="157"/>
      <c r="IL190" s="157"/>
      <c r="IM190" s="157"/>
      <c r="IN190" s="157"/>
      <c r="IO190" s="157"/>
    </row>
    <row r="191" spans="2:249">
      <c r="D191" s="55"/>
      <c r="E191" s="55"/>
      <c r="F191" s="55"/>
      <c r="G191" s="55"/>
      <c r="H191" s="55"/>
      <c r="I191" s="55"/>
      <c r="J191" s="55"/>
      <c r="K191" s="55"/>
      <c r="L191" s="55"/>
      <c r="M191" s="55"/>
      <c r="N191" s="55"/>
      <c r="O191" s="55"/>
      <c r="P191" s="55"/>
      <c r="Q191" s="55"/>
      <c r="R191" s="55"/>
      <c r="S191" s="55"/>
      <c r="T191" s="55"/>
      <c r="U191" s="55"/>
      <c r="V191" s="55"/>
      <c r="W191" s="55"/>
      <c r="X191" s="55"/>
      <c r="Y191" s="55"/>
      <c r="Z191" s="55"/>
      <c r="AA191" s="55"/>
      <c r="AB191" s="55"/>
      <c r="AC191" s="55"/>
      <c r="AD191" s="55"/>
      <c r="AE191" s="55"/>
      <c r="AF191" s="55"/>
      <c r="AG191" s="55"/>
      <c r="AH191" s="55"/>
      <c r="AI191" s="55"/>
      <c r="AJ191" s="55"/>
      <c r="AK191" s="55"/>
      <c r="AL191" s="55"/>
      <c r="AM191" s="55"/>
      <c r="AN191" s="55"/>
      <c r="AO191" s="55"/>
      <c r="AP191" s="55"/>
      <c r="AQ191" s="55"/>
      <c r="AR191" s="55"/>
      <c r="AS191" s="55"/>
      <c r="AT191" s="55"/>
      <c r="AU191" s="55"/>
      <c r="AV191" s="55"/>
      <c r="AW191" s="55"/>
      <c r="AX191" s="55"/>
      <c r="AY191" s="55"/>
      <c r="AZ191" s="55"/>
      <c r="BA191" s="55"/>
      <c r="BB191" s="55"/>
      <c r="BC191" s="55"/>
      <c r="BD191" s="55"/>
      <c r="BE191" s="55"/>
      <c r="BF191" s="55"/>
      <c r="BG191" s="55"/>
      <c r="BH191" s="55"/>
      <c r="BI191" s="55"/>
      <c r="BJ191" s="55"/>
      <c r="BK191" s="55"/>
      <c r="BL191" s="55"/>
      <c r="BM191" s="55"/>
      <c r="BN191" s="55"/>
      <c r="BO191" s="55"/>
      <c r="BP191" s="55"/>
      <c r="BQ191" s="55"/>
      <c r="BR191" s="55"/>
      <c r="BS191" s="55"/>
      <c r="BT191" s="55"/>
      <c r="BU191" s="55"/>
      <c r="BV191" s="55"/>
      <c r="BW191" s="55"/>
      <c r="BX191" s="55"/>
      <c r="BY191" s="55"/>
      <c r="BZ191" s="55"/>
      <c r="CA191" s="55"/>
      <c r="CB191" s="55"/>
      <c r="CC191" s="55"/>
      <c r="CD191" s="55"/>
      <c r="CE191" s="55"/>
      <c r="CF191" s="55"/>
      <c r="CG191" s="55"/>
      <c r="CH191" s="55"/>
      <c r="CI191" s="55"/>
      <c r="CJ191" s="55"/>
      <c r="CK191" s="55"/>
      <c r="CL191" s="55"/>
      <c r="CM191" s="55"/>
      <c r="CN191" s="55"/>
      <c r="CO191" s="55"/>
      <c r="CP191" s="55"/>
      <c r="CQ191" s="55"/>
      <c r="CR191" s="55"/>
      <c r="CS191" s="55"/>
      <c r="CT191" s="55"/>
      <c r="CU191" s="55"/>
      <c r="CV191" s="55"/>
      <c r="CW191" s="55"/>
      <c r="CX191" s="55"/>
      <c r="CY191" s="55"/>
      <c r="CZ191" s="55"/>
      <c r="DA191" s="55"/>
      <c r="DB191" s="55"/>
      <c r="DC191" s="55"/>
      <c r="DD191" s="55"/>
      <c r="DE191" s="55"/>
      <c r="DF191" s="55"/>
      <c r="DG191" s="55"/>
      <c r="DH191" s="55"/>
      <c r="DI191" s="55"/>
      <c r="DJ191" s="55"/>
      <c r="DK191" s="55"/>
      <c r="DL191" s="55"/>
      <c r="DM191" s="55"/>
      <c r="DN191" s="55"/>
      <c r="DO191" s="55"/>
      <c r="DP191" s="55"/>
      <c r="DQ191" s="55"/>
      <c r="DR191" s="55"/>
      <c r="DS191" s="55"/>
      <c r="DT191" s="55"/>
      <c r="DU191" s="55"/>
      <c r="DV191" s="55"/>
      <c r="DW191" s="55"/>
      <c r="DX191" s="55"/>
      <c r="DY191" s="55"/>
      <c r="DZ191" s="55"/>
      <c r="EA191" s="55"/>
      <c r="EB191" s="55"/>
      <c r="EC191" s="55"/>
      <c r="ED191" s="55"/>
      <c r="EE191" s="55"/>
      <c r="EF191" s="55"/>
      <c r="EG191" s="55"/>
      <c r="EH191" s="55"/>
      <c r="EI191" s="55"/>
      <c r="EJ191" s="55"/>
      <c r="EK191" s="55"/>
      <c r="EL191" s="55"/>
      <c r="EM191" s="55"/>
      <c r="EN191" s="55"/>
      <c r="EO191" s="55"/>
      <c r="EP191" s="55"/>
      <c r="EQ191" s="55"/>
      <c r="ER191" s="55"/>
      <c r="ES191" s="55"/>
      <c r="ET191" s="55"/>
      <c r="EU191" s="55"/>
      <c r="EV191" s="55"/>
      <c r="EW191" s="55"/>
      <c r="EX191" s="55"/>
      <c r="EY191" s="55"/>
      <c r="EZ191" s="55"/>
      <c r="FA191" s="55"/>
      <c r="FB191" s="55"/>
      <c r="FC191" s="55"/>
      <c r="FD191" s="55"/>
      <c r="FE191" s="55"/>
      <c r="FF191" s="55"/>
      <c r="FG191" s="55"/>
      <c r="FH191" s="55"/>
      <c r="FI191" s="55"/>
      <c r="FJ191" s="55"/>
      <c r="FK191" s="55"/>
      <c r="FL191" s="55"/>
      <c r="FM191" s="55"/>
      <c r="FN191" s="55"/>
      <c r="FO191" s="55"/>
      <c r="FP191" s="55"/>
      <c r="FQ191" s="55"/>
      <c r="FR191" s="55"/>
      <c r="FS191" s="55"/>
      <c r="FT191" s="55"/>
      <c r="FU191" s="55"/>
      <c r="FV191" s="55"/>
      <c r="FW191" s="55"/>
      <c r="FX191" s="55"/>
      <c r="FY191" s="55"/>
      <c r="FZ191" s="55"/>
      <c r="GA191" s="55"/>
      <c r="GB191" s="55"/>
      <c r="GC191" s="55"/>
      <c r="GD191" s="55"/>
      <c r="GE191" s="55"/>
      <c r="GF191" s="55"/>
      <c r="GG191" s="55"/>
      <c r="GH191" s="55"/>
      <c r="GI191" s="55"/>
      <c r="GJ191" s="55"/>
      <c r="GK191" s="55"/>
      <c r="GL191" s="55"/>
      <c r="GM191" s="55"/>
      <c r="GN191" s="55"/>
      <c r="GO191" s="55"/>
      <c r="GP191" s="55"/>
      <c r="GQ191" s="55"/>
      <c r="GR191" s="55"/>
      <c r="GS191" s="55"/>
      <c r="GT191" s="55"/>
      <c r="GU191" s="55"/>
      <c r="GV191" s="55"/>
      <c r="GW191" s="55"/>
      <c r="GX191" s="55"/>
      <c r="GY191" s="55"/>
      <c r="GZ191" s="55"/>
      <c r="HA191" s="55"/>
      <c r="HB191" s="55"/>
      <c r="HC191" s="55"/>
      <c r="HD191" s="55"/>
      <c r="HE191" s="55"/>
      <c r="HF191" s="55"/>
      <c r="HG191" s="55"/>
      <c r="HH191" s="55"/>
      <c r="HI191" s="55"/>
      <c r="HJ191" s="55"/>
      <c r="HK191" s="55"/>
      <c r="HL191" s="55"/>
      <c r="HM191" s="55"/>
      <c r="HN191" s="55"/>
      <c r="HO191" s="55"/>
      <c r="HP191" s="55"/>
      <c r="HQ191" s="55"/>
      <c r="HR191" s="55"/>
      <c r="HS191" s="55"/>
      <c r="HT191" s="55"/>
      <c r="HU191" s="55"/>
      <c r="HV191" s="55"/>
      <c r="HW191" s="55"/>
      <c r="HX191" s="55"/>
      <c r="HY191" s="55"/>
      <c r="HZ191" s="55"/>
      <c r="IA191" s="55"/>
      <c r="IB191" s="55"/>
      <c r="IC191" s="55"/>
      <c r="ID191" s="55"/>
      <c r="IE191" s="55"/>
      <c r="IF191" s="55"/>
      <c r="IG191" s="55"/>
      <c r="IH191" s="55"/>
      <c r="II191" s="55"/>
      <c r="IJ191" s="55"/>
      <c r="IK191" s="55"/>
      <c r="IL191" s="55"/>
      <c r="IM191" s="55"/>
      <c r="IN191" s="55"/>
      <c r="IO191" s="55"/>
    </row>
    <row r="192" spans="2:249" ht="38.25">
      <c r="B192" s="139" t="s">
        <v>6</v>
      </c>
      <c r="C192" s="139" t="s">
        <v>471</v>
      </c>
      <c r="D192" s="122"/>
      <c r="E192" s="122"/>
      <c r="F192" s="122"/>
      <c r="G192" s="122"/>
      <c r="H192" s="122"/>
      <c r="I192" s="122"/>
      <c r="J192" s="122"/>
      <c r="K192" s="122"/>
      <c r="L192" s="122"/>
      <c r="M192" s="122"/>
      <c r="N192" s="122"/>
      <c r="O192" s="122"/>
      <c r="P192" s="122"/>
      <c r="Q192" s="122"/>
      <c r="R192" s="122"/>
      <c r="S192" s="122"/>
      <c r="T192" s="122"/>
      <c r="U192" s="122"/>
      <c r="V192" s="122"/>
      <c r="W192" s="122"/>
      <c r="X192" s="122"/>
      <c r="Y192" s="122"/>
      <c r="Z192" s="122"/>
      <c r="AA192" s="122"/>
      <c r="AB192" s="122"/>
      <c r="AC192" s="122"/>
      <c r="AD192" s="122"/>
      <c r="AE192" s="122"/>
      <c r="AF192" s="122"/>
      <c r="AG192" s="122"/>
      <c r="AH192" s="122"/>
      <c r="AI192" s="122"/>
      <c r="AJ192" s="122"/>
      <c r="AK192" s="122"/>
      <c r="AL192" s="122"/>
      <c r="AM192" s="122"/>
      <c r="AN192" s="122"/>
      <c r="AO192" s="122"/>
      <c r="AP192" s="122"/>
      <c r="AQ192" s="122"/>
      <c r="AR192" s="122"/>
      <c r="AS192" s="122"/>
      <c r="AT192" s="122"/>
      <c r="AU192" s="122"/>
      <c r="AV192" s="122"/>
      <c r="AW192" s="122"/>
      <c r="AX192" s="122"/>
      <c r="AY192" s="122"/>
      <c r="AZ192" s="122"/>
      <c r="BA192" s="122"/>
      <c r="BB192" s="122"/>
      <c r="BC192" s="122"/>
      <c r="BD192" s="122"/>
      <c r="BE192" s="122"/>
      <c r="BF192" s="122"/>
      <c r="BG192" s="122"/>
      <c r="BH192" s="122"/>
      <c r="BI192" s="122"/>
      <c r="BJ192" s="122"/>
      <c r="BK192" s="122"/>
      <c r="BL192" s="122"/>
      <c r="BM192" s="122"/>
      <c r="BN192" s="122"/>
      <c r="BO192" s="122"/>
      <c r="BP192" s="122"/>
      <c r="BQ192" s="122"/>
      <c r="BR192" s="122"/>
      <c r="BS192" s="122"/>
      <c r="BT192" s="122"/>
      <c r="BU192" s="122"/>
      <c r="BV192" s="122"/>
      <c r="BW192" s="122"/>
      <c r="BX192" s="122"/>
      <c r="BY192" s="122"/>
      <c r="BZ192" s="122"/>
      <c r="CA192" s="122"/>
      <c r="CB192" s="122"/>
      <c r="CC192" s="122"/>
      <c r="CD192" s="122"/>
      <c r="CE192" s="122"/>
      <c r="CF192" s="122"/>
      <c r="CG192" s="122"/>
      <c r="CH192" s="122"/>
      <c r="CI192" s="122"/>
      <c r="CJ192" s="122"/>
      <c r="CK192" s="122"/>
      <c r="CL192" s="122"/>
      <c r="CM192" s="122"/>
      <c r="CN192" s="122"/>
      <c r="CO192" s="122"/>
      <c r="CP192" s="122"/>
      <c r="CQ192" s="122"/>
      <c r="CR192" s="122"/>
      <c r="CS192" s="122"/>
      <c r="CT192" s="122"/>
      <c r="CU192" s="122"/>
      <c r="CV192" s="122"/>
      <c r="CW192" s="122"/>
      <c r="CX192" s="122"/>
      <c r="CY192" s="122"/>
      <c r="CZ192" s="122"/>
      <c r="DA192" s="122"/>
      <c r="DB192" s="122"/>
      <c r="DC192" s="122"/>
      <c r="DD192" s="122"/>
      <c r="DE192" s="122"/>
      <c r="DF192" s="122"/>
      <c r="DG192" s="122"/>
      <c r="DH192" s="122"/>
      <c r="DI192" s="122"/>
      <c r="DJ192" s="122"/>
      <c r="DK192" s="122"/>
      <c r="DL192" s="122"/>
      <c r="DM192" s="122"/>
      <c r="DN192" s="122"/>
      <c r="DO192" s="122"/>
      <c r="DP192" s="122"/>
      <c r="DQ192" s="122"/>
      <c r="DR192" s="122"/>
      <c r="DS192" s="122"/>
      <c r="DT192" s="122"/>
      <c r="DU192" s="122"/>
      <c r="DV192" s="122"/>
      <c r="DW192" s="122"/>
      <c r="DX192" s="122"/>
      <c r="DY192" s="122"/>
      <c r="DZ192" s="122"/>
      <c r="EA192" s="122"/>
      <c r="EB192" s="122"/>
      <c r="EC192" s="122"/>
      <c r="ED192" s="122"/>
      <c r="EE192" s="122"/>
      <c r="EF192" s="122"/>
      <c r="EG192" s="122"/>
      <c r="EH192" s="122"/>
      <c r="EI192" s="122"/>
      <c r="EJ192" s="122"/>
      <c r="EK192" s="122"/>
      <c r="EL192" s="122"/>
      <c r="EM192" s="122"/>
      <c r="EN192" s="122"/>
      <c r="EO192" s="122"/>
      <c r="EP192" s="122"/>
      <c r="EQ192" s="122"/>
      <c r="ER192" s="122"/>
      <c r="ES192" s="122"/>
      <c r="ET192" s="122"/>
      <c r="EU192" s="122"/>
      <c r="EV192" s="122"/>
      <c r="EW192" s="122"/>
      <c r="EX192" s="122"/>
      <c r="EY192" s="122"/>
      <c r="EZ192" s="122"/>
      <c r="FA192" s="122"/>
      <c r="FB192" s="122"/>
      <c r="FC192" s="122"/>
      <c r="FD192" s="122"/>
      <c r="FE192" s="122"/>
      <c r="FF192" s="122"/>
      <c r="FG192" s="122"/>
      <c r="FH192" s="122"/>
      <c r="FI192" s="122"/>
      <c r="FJ192" s="122"/>
      <c r="FK192" s="122"/>
      <c r="FL192" s="122"/>
      <c r="FM192" s="122"/>
      <c r="FN192" s="122"/>
      <c r="FO192" s="122"/>
      <c r="FP192" s="122"/>
      <c r="FQ192" s="122"/>
      <c r="FR192" s="122"/>
      <c r="FS192" s="122"/>
      <c r="FT192" s="122"/>
      <c r="FU192" s="122"/>
      <c r="FV192" s="122"/>
      <c r="FW192" s="122"/>
      <c r="FX192" s="122"/>
      <c r="FY192" s="122"/>
      <c r="FZ192" s="122"/>
      <c r="GA192" s="122"/>
      <c r="GB192" s="122"/>
      <c r="GC192" s="122"/>
      <c r="GD192" s="122"/>
      <c r="GE192" s="122"/>
      <c r="GF192" s="122"/>
      <c r="GG192" s="122"/>
      <c r="GH192" s="122"/>
      <c r="GI192" s="122"/>
      <c r="GJ192" s="122"/>
      <c r="GK192" s="122"/>
      <c r="GL192" s="122"/>
      <c r="GM192" s="122"/>
      <c r="GN192" s="122"/>
      <c r="GO192" s="122"/>
      <c r="GP192" s="122"/>
      <c r="GQ192" s="122"/>
      <c r="GR192" s="122"/>
      <c r="GS192" s="122"/>
      <c r="GT192" s="122"/>
      <c r="GU192" s="122"/>
      <c r="GV192" s="122"/>
      <c r="GW192" s="122"/>
      <c r="GX192" s="122"/>
      <c r="GY192" s="122"/>
      <c r="GZ192" s="122"/>
      <c r="HA192" s="122"/>
      <c r="HB192" s="122"/>
      <c r="HC192" s="122"/>
      <c r="HD192" s="122"/>
      <c r="HE192" s="122"/>
      <c r="HF192" s="122"/>
      <c r="HG192" s="122"/>
      <c r="HH192" s="122"/>
      <c r="HI192" s="122"/>
      <c r="HJ192" s="122"/>
      <c r="HK192" s="122"/>
      <c r="HL192" s="122"/>
      <c r="HM192" s="122"/>
      <c r="HN192" s="122"/>
      <c r="HO192" s="122"/>
      <c r="HP192" s="122"/>
      <c r="HQ192" s="122"/>
      <c r="HR192" s="122"/>
      <c r="HS192" s="122"/>
      <c r="HT192" s="122"/>
      <c r="HU192" s="122"/>
      <c r="HV192" s="122"/>
      <c r="HW192" s="122"/>
      <c r="HX192" s="122"/>
      <c r="HY192" s="122"/>
      <c r="HZ192" s="122"/>
      <c r="IA192" s="122"/>
      <c r="IB192" s="122"/>
      <c r="IC192" s="122"/>
      <c r="ID192" s="122"/>
      <c r="IE192" s="122"/>
      <c r="IF192" s="122"/>
      <c r="IG192" s="122"/>
      <c r="IH192" s="122"/>
      <c r="II192" s="122"/>
      <c r="IJ192" s="122"/>
      <c r="IK192" s="122"/>
      <c r="IL192" s="122"/>
      <c r="IM192" s="122"/>
      <c r="IN192" s="122"/>
      <c r="IO192" s="122"/>
    </row>
    <row r="193" spans="2:249">
      <c r="B193" s="140" t="s">
        <v>462</v>
      </c>
      <c r="C193" s="140"/>
      <c r="D193" s="125"/>
      <c r="E193" s="125"/>
      <c r="F193" s="125"/>
      <c r="G193" s="125"/>
      <c r="H193" s="125"/>
      <c r="I193" s="125"/>
      <c r="J193" s="125"/>
      <c r="K193" s="125"/>
      <c r="L193" s="125"/>
      <c r="M193" s="125"/>
      <c r="N193" s="125"/>
      <c r="O193" s="125"/>
      <c r="P193" s="125"/>
      <c r="Q193" s="125"/>
      <c r="R193" s="125"/>
      <c r="S193" s="125"/>
      <c r="T193" s="125"/>
      <c r="U193" s="125"/>
      <c r="V193" s="125"/>
      <c r="W193" s="125"/>
      <c r="X193" s="125"/>
      <c r="Y193" s="125"/>
      <c r="Z193" s="125"/>
      <c r="AA193" s="125"/>
      <c r="AB193" s="125"/>
      <c r="AC193" s="125"/>
      <c r="AD193" s="125"/>
      <c r="AE193" s="125"/>
      <c r="AF193" s="125"/>
      <c r="AG193" s="125"/>
      <c r="AH193" s="125"/>
      <c r="AI193" s="125"/>
      <c r="AJ193" s="125"/>
      <c r="AK193" s="125"/>
      <c r="AL193" s="125"/>
      <c r="AM193" s="125"/>
      <c r="AN193" s="125"/>
      <c r="AO193" s="125"/>
      <c r="AP193" s="125"/>
      <c r="AQ193" s="125"/>
      <c r="AR193" s="125"/>
      <c r="AS193" s="125"/>
      <c r="AT193" s="125"/>
      <c r="AU193" s="125"/>
      <c r="AV193" s="125"/>
      <c r="AW193" s="125"/>
      <c r="AX193" s="125"/>
      <c r="AY193" s="125"/>
      <c r="AZ193" s="125"/>
      <c r="BA193" s="125"/>
      <c r="BB193" s="125"/>
      <c r="BC193" s="125"/>
      <c r="BD193" s="125"/>
      <c r="BE193" s="125"/>
      <c r="BF193" s="125"/>
      <c r="BG193" s="125"/>
      <c r="BH193" s="125"/>
      <c r="BI193" s="125"/>
      <c r="BJ193" s="125"/>
      <c r="BK193" s="125"/>
      <c r="BL193" s="125"/>
      <c r="BM193" s="125"/>
      <c r="BN193" s="125"/>
      <c r="BO193" s="125"/>
      <c r="BP193" s="125"/>
      <c r="BQ193" s="125"/>
      <c r="BR193" s="125"/>
      <c r="BS193" s="125"/>
      <c r="BT193" s="125"/>
      <c r="BU193" s="125"/>
      <c r="BV193" s="125"/>
      <c r="BW193" s="125"/>
      <c r="BX193" s="125"/>
      <c r="BY193" s="125"/>
      <c r="BZ193" s="125"/>
      <c r="CA193" s="125"/>
      <c r="CB193" s="125"/>
      <c r="CC193" s="125"/>
      <c r="CD193" s="125"/>
      <c r="CE193" s="125"/>
      <c r="CF193" s="125"/>
      <c r="CG193" s="125"/>
      <c r="CH193" s="125"/>
      <c r="CI193" s="125"/>
      <c r="CJ193" s="125"/>
      <c r="CK193" s="125"/>
      <c r="CL193" s="125"/>
      <c r="CM193" s="125"/>
      <c r="CN193" s="125"/>
      <c r="CO193" s="125"/>
      <c r="CP193" s="125"/>
      <c r="CQ193" s="125"/>
      <c r="CR193" s="125"/>
      <c r="CS193" s="125"/>
      <c r="CT193" s="125"/>
      <c r="CU193" s="125"/>
      <c r="CV193" s="125"/>
      <c r="CW193" s="125"/>
      <c r="CX193" s="125"/>
      <c r="CY193" s="125"/>
      <c r="CZ193" s="125"/>
      <c r="DA193" s="125"/>
      <c r="DB193" s="125"/>
      <c r="DC193" s="125"/>
      <c r="DD193" s="125"/>
      <c r="DE193" s="125"/>
      <c r="DF193" s="125"/>
      <c r="DG193" s="125"/>
      <c r="DH193" s="125"/>
      <c r="DI193" s="125"/>
      <c r="DJ193" s="125"/>
      <c r="DK193" s="125"/>
      <c r="DL193" s="125"/>
      <c r="DM193" s="125"/>
      <c r="DN193" s="125"/>
      <c r="DO193" s="125"/>
      <c r="DP193" s="125"/>
      <c r="DQ193" s="125"/>
      <c r="DR193" s="125"/>
      <c r="DS193" s="125"/>
      <c r="DT193" s="125"/>
      <c r="DU193" s="125"/>
      <c r="DV193" s="125"/>
      <c r="DW193" s="125"/>
      <c r="DX193" s="125"/>
      <c r="DY193" s="125"/>
      <c r="DZ193" s="125"/>
      <c r="EA193" s="125"/>
      <c r="EB193" s="125"/>
      <c r="EC193" s="125"/>
      <c r="ED193" s="125"/>
      <c r="EE193" s="125"/>
      <c r="EF193" s="125"/>
      <c r="EG193" s="125"/>
      <c r="EH193" s="125"/>
      <c r="EI193" s="125"/>
      <c r="EJ193" s="125"/>
      <c r="EK193" s="125"/>
      <c r="EL193" s="125"/>
      <c r="EM193" s="125"/>
      <c r="EN193" s="125"/>
      <c r="EO193" s="125"/>
      <c r="EP193" s="125"/>
      <c r="EQ193" s="125"/>
      <c r="ER193" s="125"/>
      <c r="ES193" s="125"/>
      <c r="ET193" s="125"/>
      <c r="EU193" s="125"/>
      <c r="EV193" s="125"/>
      <c r="EW193" s="125"/>
      <c r="EX193" s="125"/>
      <c r="EY193" s="125"/>
      <c r="EZ193" s="125"/>
      <c r="FA193" s="125"/>
      <c r="FB193" s="125"/>
      <c r="FC193" s="125"/>
      <c r="FD193" s="125"/>
      <c r="FE193" s="125"/>
      <c r="FF193" s="125"/>
      <c r="FG193" s="125"/>
      <c r="FH193" s="125"/>
      <c r="FI193" s="125"/>
      <c r="FJ193" s="125"/>
      <c r="FK193" s="125"/>
      <c r="FL193" s="125"/>
      <c r="FM193" s="125"/>
      <c r="FN193" s="125"/>
      <c r="FO193" s="125"/>
      <c r="FP193" s="125"/>
      <c r="FQ193" s="125"/>
      <c r="FR193" s="125"/>
      <c r="FS193" s="125"/>
      <c r="FT193" s="125"/>
      <c r="FU193" s="125"/>
      <c r="FV193" s="125"/>
      <c r="FW193" s="125"/>
      <c r="FX193" s="125"/>
      <c r="FY193" s="125"/>
      <c r="FZ193" s="125"/>
      <c r="GA193" s="125"/>
      <c r="GB193" s="125"/>
      <c r="GC193" s="125"/>
      <c r="GD193" s="125"/>
      <c r="GE193" s="125"/>
      <c r="GF193" s="125"/>
      <c r="GG193" s="125"/>
      <c r="GH193" s="125"/>
      <c r="GI193" s="125"/>
      <c r="GJ193" s="125"/>
      <c r="GK193" s="125"/>
      <c r="GL193" s="125"/>
      <c r="GM193" s="125"/>
      <c r="GN193" s="125"/>
      <c r="GO193" s="125"/>
      <c r="GP193" s="125"/>
      <c r="GQ193" s="125"/>
      <c r="GR193" s="125"/>
      <c r="GS193" s="125"/>
      <c r="GT193" s="125"/>
      <c r="GU193" s="125"/>
      <c r="GV193" s="125"/>
      <c r="GW193" s="125"/>
      <c r="GX193" s="125"/>
      <c r="GY193" s="125"/>
      <c r="GZ193" s="125"/>
      <c r="HA193" s="125"/>
      <c r="HB193" s="125"/>
      <c r="HC193" s="125"/>
      <c r="HD193" s="125"/>
      <c r="HE193" s="125"/>
      <c r="HF193" s="125"/>
      <c r="HG193" s="125"/>
      <c r="HH193" s="125"/>
      <c r="HI193" s="125"/>
      <c r="HJ193" s="125"/>
      <c r="HK193" s="125"/>
      <c r="HL193" s="125"/>
      <c r="HM193" s="125"/>
      <c r="HN193" s="125"/>
      <c r="HO193" s="125"/>
      <c r="HP193" s="125"/>
      <c r="HQ193" s="125"/>
      <c r="HR193" s="125"/>
      <c r="HS193" s="125"/>
      <c r="HT193" s="125"/>
      <c r="HU193" s="125"/>
      <c r="HV193" s="125"/>
      <c r="HW193" s="125"/>
      <c r="HX193" s="125"/>
      <c r="HY193" s="125"/>
      <c r="HZ193" s="125"/>
      <c r="IA193" s="125"/>
      <c r="IB193" s="125"/>
      <c r="IC193" s="125"/>
      <c r="ID193" s="125"/>
      <c r="IE193" s="125"/>
      <c r="IF193" s="125"/>
      <c r="IG193" s="125"/>
      <c r="IH193" s="125"/>
      <c r="II193" s="125"/>
      <c r="IJ193" s="125"/>
      <c r="IK193" s="125"/>
      <c r="IL193" s="125"/>
      <c r="IM193" s="125"/>
      <c r="IN193" s="125"/>
      <c r="IO193" s="125"/>
    </row>
    <row r="194" spans="2:249">
      <c r="B194" s="142"/>
      <c r="C194" s="143"/>
      <c r="D194" s="107"/>
      <c r="E194" s="107"/>
      <c r="F194" s="107"/>
      <c r="G194" s="107"/>
      <c r="H194" s="107"/>
      <c r="I194" s="107"/>
      <c r="J194" s="107"/>
      <c r="K194" s="107"/>
      <c r="L194" s="107"/>
      <c r="M194" s="107"/>
      <c r="N194" s="107"/>
      <c r="O194" s="107"/>
      <c r="P194" s="107"/>
      <c r="Q194" s="107"/>
      <c r="R194" s="107"/>
      <c r="S194" s="107"/>
      <c r="T194" s="107"/>
      <c r="U194" s="107"/>
      <c r="V194" s="107"/>
      <c r="W194" s="107"/>
      <c r="X194" s="107"/>
      <c r="Y194" s="107"/>
      <c r="Z194" s="107"/>
      <c r="AA194" s="107"/>
      <c r="AB194" s="107"/>
      <c r="AC194" s="107"/>
      <c r="AD194" s="107"/>
      <c r="AE194" s="107"/>
      <c r="AF194" s="107"/>
      <c r="AG194" s="107"/>
      <c r="AH194" s="107"/>
      <c r="AI194" s="107"/>
      <c r="AJ194" s="107"/>
      <c r="AK194" s="107"/>
      <c r="AL194" s="107"/>
      <c r="AM194" s="107"/>
      <c r="AN194" s="107"/>
      <c r="AO194" s="107"/>
      <c r="AP194" s="107"/>
      <c r="AQ194" s="107"/>
      <c r="AR194" s="107"/>
      <c r="AS194" s="107"/>
      <c r="AT194" s="107"/>
      <c r="AU194" s="107"/>
      <c r="AV194" s="107"/>
      <c r="AW194" s="107"/>
      <c r="AX194" s="107"/>
      <c r="AY194" s="107"/>
      <c r="AZ194" s="107"/>
      <c r="BA194" s="107"/>
      <c r="BB194" s="107"/>
      <c r="BC194" s="107"/>
      <c r="BD194" s="107"/>
      <c r="BE194" s="107"/>
      <c r="BF194" s="107"/>
      <c r="BG194" s="107"/>
      <c r="BH194" s="107"/>
      <c r="BI194" s="107"/>
      <c r="BJ194" s="107"/>
      <c r="BK194" s="107"/>
      <c r="BL194" s="107"/>
      <c r="BM194" s="107"/>
      <c r="BN194" s="107"/>
      <c r="BO194" s="107"/>
      <c r="BP194" s="107"/>
      <c r="BQ194" s="107"/>
      <c r="BR194" s="107"/>
      <c r="BS194" s="107"/>
      <c r="BT194" s="107"/>
      <c r="BU194" s="107"/>
      <c r="BV194" s="107"/>
      <c r="BW194" s="107"/>
      <c r="BX194" s="107"/>
      <c r="BY194" s="107"/>
      <c r="BZ194" s="107"/>
      <c r="CA194" s="107"/>
      <c r="CB194" s="107"/>
      <c r="CC194" s="107"/>
      <c r="CD194" s="107"/>
      <c r="CE194" s="107"/>
      <c r="CF194" s="107"/>
      <c r="CG194" s="107"/>
      <c r="CH194" s="107"/>
      <c r="CI194" s="107"/>
      <c r="CJ194" s="107"/>
      <c r="CK194" s="107"/>
      <c r="CL194" s="107"/>
      <c r="CM194" s="107"/>
      <c r="CN194" s="107"/>
      <c r="CO194" s="107"/>
      <c r="CP194" s="107"/>
      <c r="CQ194" s="107"/>
      <c r="CR194" s="107"/>
      <c r="CS194" s="107"/>
      <c r="CT194" s="107"/>
      <c r="CU194" s="107"/>
      <c r="CV194" s="107"/>
      <c r="CW194" s="107"/>
      <c r="CX194" s="107"/>
      <c r="CY194" s="107"/>
      <c r="CZ194" s="107"/>
      <c r="DA194" s="107"/>
      <c r="DB194" s="107"/>
      <c r="DC194" s="107"/>
      <c r="DD194" s="107"/>
      <c r="DE194" s="107"/>
      <c r="DF194" s="107"/>
      <c r="DG194" s="107"/>
      <c r="DH194" s="107"/>
      <c r="DI194" s="107"/>
      <c r="DJ194" s="107"/>
      <c r="DK194" s="107"/>
      <c r="DL194" s="107"/>
      <c r="DM194" s="107"/>
      <c r="DN194" s="107"/>
      <c r="DO194" s="107"/>
      <c r="DP194" s="107"/>
      <c r="DQ194" s="107"/>
      <c r="DR194" s="107"/>
      <c r="DS194" s="107"/>
      <c r="DT194" s="107"/>
      <c r="DU194" s="107"/>
      <c r="DV194" s="107"/>
      <c r="DW194" s="107"/>
      <c r="DX194" s="107"/>
      <c r="DY194" s="107"/>
      <c r="DZ194" s="107"/>
      <c r="EA194" s="107"/>
      <c r="EB194" s="107"/>
      <c r="EC194" s="107"/>
      <c r="ED194" s="107"/>
      <c r="EE194" s="107"/>
      <c r="EF194" s="107"/>
      <c r="EG194" s="107"/>
      <c r="EH194" s="107"/>
      <c r="EI194" s="107"/>
      <c r="EJ194" s="107"/>
      <c r="EK194" s="107"/>
      <c r="EL194" s="107"/>
      <c r="EM194" s="107"/>
      <c r="EN194" s="107"/>
      <c r="EO194" s="107"/>
      <c r="EP194" s="107"/>
      <c r="EQ194" s="107"/>
      <c r="ER194" s="107"/>
      <c r="ES194" s="107"/>
      <c r="ET194" s="107"/>
      <c r="EU194" s="107"/>
      <c r="EV194" s="107"/>
      <c r="EW194" s="107"/>
      <c r="EX194" s="107"/>
      <c r="EY194" s="107"/>
      <c r="EZ194" s="107"/>
      <c r="FA194" s="107"/>
      <c r="FB194" s="107"/>
      <c r="FC194" s="107"/>
      <c r="FD194" s="107"/>
      <c r="FE194" s="107"/>
      <c r="FF194" s="107"/>
      <c r="FG194" s="107"/>
      <c r="FH194" s="107"/>
      <c r="FI194" s="107"/>
      <c r="FJ194" s="107"/>
      <c r="FK194" s="107"/>
      <c r="FL194" s="107"/>
      <c r="FM194" s="107"/>
      <c r="FN194" s="107"/>
      <c r="FO194" s="107"/>
      <c r="FP194" s="107"/>
      <c r="FQ194" s="107"/>
      <c r="FR194" s="107"/>
      <c r="FS194" s="107"/>
      <c r="FT194" s="107"/>
      <c r="FU194" s="107"/>
      <c r="FV194" s="107"/>
      <c r="FW194" s="107"/>
      <c r="FX194" s="107"/>
      <c r="FY194" s="107"/>
      <c r="FZ194" s="107"/>
      <c r="GA194" s="107"/>
      <c r="GB194" s="107"/>
      <c r="GC194" s="107"/>
      <c r="GD194" s="107"/>
      <c r="GE194" s="107"/>
      <c r="GF194" s="107"/>
      <c r="GG194" s="107"/>
      <c r="GH194" s="107"/>
      <c r="GI194" s="107"/>
      <c r="GJ194" s="107"/>
      <c r="GK194" s="107"/>
      <c r="GL194" s="107"/>
      <c r="GM194" s="107"/>
      <c r="GN194" s="107"/>
      <c r="GO194" s="107"/>
      <c r="GP194" s="107"/>
      <c r="GQ194" s="107"/>
      <c r="GR194" s="107"/>
      <c r="GS194" s="107"/>
      <c r="GT194" s="107"/>
      <c r="GU194" s="107"/>
      <c r="GV194" s="107"/>
      <c r="GW194" s="107"/>
      <c r="GX194" s="107"/>
      <c r="GY194" s="107"/>
      <c r="GZ194" s="107"/>
      <c r="HA194" s="107"/>
      <c r="HB194" s="107"/>
      <c r="HC194" s="107"/>
      <c r="HD194" s="107"/>
      <c r="HE194" s="107"/>
      <c r="HF194" s="107"/>
      <c r="HG194" s="107"/>
      <c r="HH194" s="107"/>
      <c r="HI194" s="107"/>
      <c r="HJ194" s="107"/>
      <c r="HK194" s="107"/>
      <c r="HL194" s="107"/>
      <c r="HM194" s="107"/>
      <c r="HN194" s="107"/>
      <c r="HO194" s="107"/>
      <c r="HP194" s="107"/>
      <c r="HQ194" s="107"/>
      <c r="HR194" s="107"/>
      <c r="HS194" s="107"/>
      <c r="HT194" s="107"/>
      <c r="HU194" s="107"/>
      <c r="HV194" s="107"/>
      <c r="HW194" s="107"/>
      <c r="HX194" s="107"/>
      <c r="HY194" s="107"/>
      <c r="HZ194" s="107"/>
      <c r="IA194" s="107"/>
      <c r="IB194" s="107"/>
      <c r="IC194" s="107"/>
      <c r="ID194" s="107"/>
      <c r="IE194" s="107"/>
      <c r="IF194" s="107"/>
      <c r="IG194" s="107"/>
      <c r="IH194" s="107"/>
      <c r="II194" s="107"/>
      <c r="IJ194" s="107"/>
      <c r="IK194" s="107"/>
      <c r="IL194" s="107"/>
      <c r="IM194" s="107"/>
      <c r="IN194" s="107"/>
      <c r="IO194" s="107"/>
    </row>
    <row r="195" spans="2:249">
      <c r="B195" s="140" t="s">
        <v>463</v>
      </c>
      <c r="C195" s="140"/>
      <c r="D195" s="129"/>
      <c r="E195" s="129"/>
      <c r="F195" s="129"/>
      <c r="G195" s="129"/>
      <c r="H195" s="129"/>
      <c r="I195" s="129"/>
      <c r="J195" s="129"/>
      <c r="K195" s="129"/>
      <c r="L195" s="129"/>
      <c r="M195" s="129"/>
      <c r="N195" s="129"/>
      <c r="O195" s="129"/>
      <c r="P195" s="129"/>
      <c r="Q195" s="129"/>
      <c r="R195" s="129"/>
      <c r="S195" s="129"/>
      <c r="T195" s="129"/>
      <c r="U195" s="129"/>
      <c r="V195" s="129"/>
      <c r="W195" s="129"/>
      <c r="X195" s="129"/>
      <c r="Y195" s="129"/>
      <c r="Z195" s="129"/>
      <c r="AA195" s="129"/>
      <c r="AB195" s="129"/>
      <c r="AC195" s="129"/>
      <c r="AD195" s="129"/>
      <c r="AE195" s="129"/>
      <c r="AF195" s="129"/>
      <c r="AG195" s="129"/>
      <c r="AH195" s="129"/>
      <c r="AI195" s="129"/>
      <c r="AJ195" s="129"/>
      <c r="AK195" s="129"/>
      <c r="AL195" s="129"/>
      <c r="AM195" s="129"/>
      <c r="AN195" s="129"/>
      <c r="AO195" s="129"/>
      <c r="AP195" s="129"/>
      <c r="AQ195" s="129"/>
      <c r="AR195" s="129"/>
      <c r="AS195" s="129"/>
      <c r="AT195" s="129"/>
      <c r="AU195" s="129"/>
      <c r="AV195" s="129"/>
      <c r="AW195" s="129"/>
      <c r="AX195" s="129"/>
      <c r="AY195" s="129"/>
      <c r="AZ195" s="129"/>
      <c r="BA195" s="129"/>
      <c r="BB195" s="129"/>
      <c r="BC195" s="129"/>
      <c r="BD195" s="129"/>
      <c r="BE195" s="129"/>
      <c r="BF195" s="129"/>
      <c r="BG195" s="129"/>
      <c r="BH195" s="129"/>
      <c r="BI195" s="129"/>
      <c r="BJ195" s="129"/>
      <c r="BK195" s="129"/>
      <c r="BL195" s="129"/>
      <c r="BM195" s="129"/>
      <c r="BN195" s="129"/>
      <c r="BO195" s="129"/>
      <c r="BP195" s="129"/>
      <c r="BQ195" s="129"/>
      <c r="BR195" s="129"/>
      <c r="BS195" s="129"/>
      <c r="BT195" s="129"/>
      <c r="BU195" s="129"/>
      <c r="BV195" s="129"/>
      <c r="BW195" s="129"/>
      <c r="BX195" s="129"/>
      <c r="BY195" s="129"/>
      <c r="BZ195" s="129"/>
      <c r="CA195" s="129"/>
      <c r="CB195" s="129"/>
      <c r="CC195" s="129"/>
      <c r="CD195" s="129"/>
      <c r="CE195" s="129"/>
      <c r="CF195" s="129"/>
      <c r="CG195" s="129"/>
      <c r="CH195" s="129"/>
      <c r="CI195" s="129"/>
      <c r="CJ195" s="129"/>
      <c r="CK195" s="129"/>
      <c r="CL195" s="129"/>
      <c r="CM195" s="129"/>
      <c r="CN195" s="129"/>
      <c r="CO195" s="129"/>
      <c r="CP195" s="129"/>
      <c r="CQ195" s="129"/>
      <c r="CR195" s="129"/>
      <c r="CS195" s="129"/>
      <c r="CT195" s="129"/>
      <c r="CU195" s="129"/>
      <c r="CV195" s="129"/>
      <c r="CW195" s="129"/>
      <c r="CX195" s="129"/>
      <c r="CY195" s="129"/>
      <c r="CZ195" s="129"/>
      <c r="DA195" s="129"/>
      <c r="DB195" s="129"/>
      <c r="DC195" s="129"/>
      <c r="DD195" s="129"/>
      <c r="DE195" s="129"/>
      <c r="DF195" s="129"/>
      <c r="DG195" s="129"/>
      <c r="DH195" s="129"/>
      <c r="DI195" s="129"/>
      <c r="DJ195" s="129"/>
      <c r="DK195" s="129"/>
      <c r="DL195" s="129"/>
      <c r="DM195" s="129"/>
      <c r="DN195" s="129"/>
      <c r="DO195" s="129"/>
      <c r="DP195" s="129"/>
      <c r="DQ195" s="129"/>
      <c r="DR195" s="129"/>
      <c r="DS195" s="129"/>
      <c r="DT195" s="129"/>
      <c r="DU195" s="129"/>
      <c r="DV195" s="129"/>
      <c r="DW195" s="129"/>
      <c r="DX195" s="129"/>
      <c r="DY195" s="129"/>
      <c r="DZ195" s="129"/>
      <c r="EA195" s="129"/>
      <c r="EB195" s="129"/>
      <c r="EC195" s="129"/>
      <c r="ED195" s="129"/>
      <c r="EE195" s="129"/>
      <c r="EF195" s="129"/>
      <c r="EG195" s="129"/>
      <c r="EH195" s="129"/>
      <c r="EI195" s="129"/>
      <c r="EJ195" s="129"/>
      <c r="EK195" s="129"/>
      <c r="EL195" s="129"/>
      <c r="EM195" s="129"/>
      <c r="EN195" s="129"/>
      <c r="EO195" s="129"/>
      <c r="EP195" s="129"/>
      <c r="EQ195" s="129"/>
      <c r="ER195" s="129"/>
      <c r="ES195" s="129"/>
      <c r="ET195" s="129"/>
      <c r="EU195" s="129"/>
      <c r="EV195" s="129"/>
      <c r="EW195" s="129"/>
      <c r="EX195" s="129"/>
      <c r="EY195" s="129"/>
      <c r="EZ195" s="129"/>
      <c r="FA195" s="129"/>
      <c r="FB195" s="129"/>
      <c r="FC195" s="129"/>
      <c r="FD195" s="129"/>
      <c r="FE195" s="129"/>
      <c r="FF195" s="129"/>
      <c r="FG195" s="129"/>
      <c r="FH195" s="129"/>
      <c r="FI195" s="129"/>
      <c r="FJ195" s="129"/>
      <c r="FK195" s="129"/>
      <c r="FL195" s="129"/>
      <c r="FM195" s="129"/>
      <c r="FN195" s="129"/>
      <c r="FO195" s="129"/>
      <c r="FP195" s="129"/>
      <c r="FQ195" s="129"/>
      <c r="FR195" s="129"/>
      <c r="FS195" s="129"/>
      <c r="FT195" s="129"/>
      <c r="FU195" s="129"/>
      <c r="FV195" s="129"/>
      <c r="FW195" s="129"/>
      <c r="FX195" s="129"/>
      <c r="FY195" s="129"/>
      <c r="FZ195" s="129"/>
      <c r="GA195" s="129"/>
      <c r="GB195" s="129"/>
      <c r="GC195" s="129"/>
      <c r="GD195" s="129"/>
      <c r="GE195" s="129"/>
      <c r="GF195" s="129"/>
      <c r="GG195" s="129"/>
      <c r="GH195" s="129"/>
      <c r="GI195" s="129"/>
      <c r="GJ195" s="129"/>
      <c r="GK195" s="129"/>
      <c r="GL195" s="129"/>
      <c r="GM195" s="129"/>
      <c r="GN195" s="129"/>
      <c r="GO195" s="129"/>
      <c r="GP195" s="129"/>
      <c r="GQ195" s="129"/>
      <c r="GR195" s="129"/>
      <c r="GS195" s="129"/>
      <c r="GT195" s="129"/>
      <c r="GU195" s="129"/>
      <c r="GV195" s="129"/>
      <c r="GW195" s="129"/>
      <c r="GX195" s="129"/>
      <c r="GY195" s="129"/>
      <c r="GZ195" s="129"/>
      <c r="HA195" s="129"/>
      <c r="HB195" s="129"/>
      <c r="HC195" s="129"/>
      <c r="HD195" s="129"/>
      <c r="HE195" s="129"/>
      <c r="HF195" s="129"/>
      <c r="HG195" s="129"/>
      <c r="HH195" s="129"/>
      <c r="HI195" s="129"/>
      <c r="HJ195" s="129"/>
      <c r="HK195" s="129"/>
      <c r="HL195" s="129"/>
      <c r="HM195" s="129"/>
      <c r="HN195" s="129"/>
      <c r="HO195" s="129"/>
      <c r="HP195" s="129"/>
      <c r="HQ195" s="129"/>
      <c r="HR195" s="129"/>
      <c r="HS195" s="129"/>
      <c r="HT195" s="129"/>
      <c r="HU195" s="129"/>
      <c r="HV195" s="129"/>
      <c r="HW195" s="129"/>
      <c r="HX195" s="129"/>
      <c r="HY195" s="129"/>
      <c r="HZ195" s="129"/>
      <c r="IA195" s="129"/>
      <c r="IB195" s="129"/>
      <c r="IC195" s="129"/>
      <c r="ID195" s="129"/>
      <c r="IE195" s="129"/>
      <c r="IF195" s="129"/>
      <c r="IG195" s="129"/>
      <c r="IH195" s="129"/>
      <c r="II195" s="129"/>
      <c r="IJ195" s="129"/>
      <c r="IK195" s="129"/>
      <c r="IL195" s="129"/>
      <c r="IM195" s="129"/>
      <c r="IN195" s="129"/>
      <c r="IO195" s="129"/>
    </row>
    <row r="196" spans="2:249">
      <c r="B196" s="142"/>
      <c r="C196" s="143"/>
      <c r="D196" s="107"/>
      <c r="E196" s="107"/>
      <c r="F196" s="107"/>
      <c r="G196" s="107"/>
      <c r="H196" s="107"/>
      <c r="I196" s="107"/>
      <c r="J196" s="107"/>
      <c r="K196" s="107"/>
      <c r="L196" s="107"/>
      <c r="M196" s="107"/>
      <c r="N196" s="107"/>
      <c r="O196" s="107"/>
      <c r="P196" s="107"/>
      <c r="Q196" s="107"/>
      <c r="R196" s="107"/>
      <c r="S196" s="107"/>
      <c r="T196" s="107"/>
      <c r="U196" s="107"/>
      <c r="V196" s="107"/>
      <c r="W196" s="107"/>
      <c r="X196" s="107"/>
      <c r="Y196" s="107"/>
      <c r="Z196" s="107"/>
      <c r="AA196" s="107"/>
      <c r="AB196" s="107"/>
      <c r="AC196" s="107"/>
      <c r="AD196" s="107"/>
      <c r="AE196" s="107"/>
      <c r="AF196" s="107"/>
      <c r="AG196" s="107"/>
      <c r="AH196" s="107"/>
      <c r="AI196" s="107"/>
      <c r="AJ196" s="107"/>
      <c r="AK196" s="107"/>
      <c r="AL196" s="107"/>
      <c r="AM196" s="107"/>
      <c r="AN196" s="107"/>
      <c r="AO196" s="107"/>
      <c r="AP196" s="107"/>
      <c r="AQ196" s="107"/>
      <c r="AR196" s="107"/>
      <c r="AS196" s="107"/>
      <c r="AT196" s="107"/>
      <c r="AU196" s="107"/>
      <c r="AV196" s="107"/>
      <c r="AW196" s="107"/>
      <c r="AX196" s="107"/>
      <c r="AY196" s="107"/>
      <c r="AZ196" s="107"/>
      <c r="BA196" s="107"/>
      <c r="BB196" s="107"/>
      <c r="BC196" s="107"/>
      <c r="BD196" s="107"/>
      <c r="BE196" s="107"/>
      <c r="BF196" s="107"/>
      <c r="BG196" s="107"/>
      <c r="BH196" s="107"/>
      <c r="BI196" s="107"/>
      <c r="BJ196" s="107"/>
      <c r="BK196" s="107"/>
      <c r="BL196" s="107"/>
      <c r="BM196" s="107"/>
      <c r="BN196" s="107"/>
      <c r="BO196" s="107"/>
      <c r="BP196" s="107"/>
      <c r="BQ196" s="107"/>
      <c r="BR196" s="107"/>
      <c r="BS196" s="107"/>
      <c r="BT196" s="107"/>
      <c r="BU196" s="107"/>
      <c r="BV196" s="107"/>
      <c r="BW196" s="107"/>
      <c r="BX196" s="107"/>
      <c r="BY196" s="107"/>
      <c r="BZ196" s="107"/>
      <c r="CA196" s="107"/>
      <c r="CB196" s="107"/>
      <c r="CC196" s="107"/>
      <c r="CD196" s="107"/>
      <c r="CE196" s="107"/>
      <c r="CF196" s="107"/>
      <c r="CG196" s="107"/>
      <c r="CH196" s="107"/>
      <c r="CI196" s="107"/>
      <c r="CJ196" s="107"/>
      <c r="CK196" s="107"/>
      <c r="CL196" s="107"/>
      <c r="CM196" s="107"/>
      <c r="CN196" s="107"/>
      <c r="CO196" s="107"/>
      <c r="CP196" s="107"/>
      <c r="CQ196" s="107"/>
      <c r="CR196" s="107"/>
      <c r="CS196" s="107"/>
      <c r="CT196" s="107"/>
      <c r="CU196" s="107"/>
      <c r="CV196" s="107"/>
      <c r="CW196" s="107"/>
      <c r="CX196" s="107"/>
      <c r="CY196" s="107"/>
      <c r="CZ196" s="107"/>
      <c r="DA196" s="107"/>
      <c r="DB196" s="107"/>
      <c r="DC196" s="107"/>
      <c r="DD196" s="107"/>
      <c r="DE196" s="107"/>
      <c r="DF196" s="107"/>
      <c r="DG196" s="107"/>
      <c r="DH196" s="107"/>
      <c r="DI196" s="107"/>
      <c r="DJ196" s="107"/>
      <c r="DK196" s="107"/>
      <c r="DL196" s="107"/>
      <c r="DM196" s="107"/>
      <c r="DN196" s="107"/>
      <c r="DO196" s="107"/>
      <c r="DP196" s="107"/>
      <c r="DQ196" s="107"/>
      <c r="DR196" s="107"/>
      <c r="DS196" s="107"/>
      <c r="DT196" s="107"/>
      <c r="DU196" s="107"/>
      <c r="DV196" s="107"/>
      <c r="DW196" s="107"/>
      <c r="DX196" s="107"/>
      <c r="DY196" s="107"/>
      <c r="DZ196" s="107"/>
      <c r="EA196" s="107"/>
      <c r="EB196" s="107"/>
      <c r="EC196" s="107"/>
      <c r="ED196" s="107"/>
      <c r="EE196" s="107"/>
      <c r="EF196" s="107"/>
      <c r="EG196" s="107"/>
      <c r="EH196" s="107"/>
      <c r="EI196" s="107"/>
      <c r="EJ196" s="107"/>
      <c r="EK196" s="107"/>
      <c r="EL196" s="107"/>
      <c r="EM196" s="107"/>
      <c r="EN196" s="107"/>
      <c r="EO196" s="107"/>
      <c r="EP196" s="107"/>
      <c r="EQ196" s="107"/>
      <c r="ER196" s="107"/>
      <c r="ES196" s="107"/>
      <c r="ET196" s="107"/>
      <c r="EU196" s="107"/>
      <c r="EV196" s="107"/>
      <c r="EW196" s="107"/>
      <c r="EX196" s="107"/>
      <c r="EY196" s="107"/>
      <c r="EZ196" s="107"/>
      <c r="FA196" s="107"/>
      <c r="FB196" s="107"/>
      <c r="FC196" s="107"/>
      <c r="FD196" s="107"/>
      <c r="FE196" s="107"/>
      <c r="FF196" s="107"/>
      <c r="FG196" s="107"/>
      <c r="FH196" s="107"/>
      <c r="FI196" s="107"/>
      <c r="FJ196" s="107"/>
      <c r="FK196" s="107"/>
      <c r="FL196" s="107"/>
      <c r="FM196" s="107"/>
      <c r="FN196" s="107"/>
      <c r="FO196" s="107"/>
      <c r="FP196" s="107"/>
      <c r="FQ196" s="107"/>
      <c r="FR196" s="107"/>
      <c r="FS196" s="107"/>
      <c r="FT196" s="107"/>
      <c r="FU196" s="107"/>
      <c r="FV196" s="107"/>
      <c r="FW196" s="107"/>
      <c r="FX196" s="107"/>
      <c r="FY196" s="107"/>
      <c r="FZ196" s="107"/>
      <c r="GA196" s="107"/>
      <c r="GB196" s="107"/>
      <c r="GC196" s="107"/>
      <c r="GD196" s="107"/>
      <c r="GE196" s="107"/>
      <c r="GF196" s="107"/>
      <c r="GG196" s="107"/>
      <c r="GH196" s="107"/>
      <c r="GI196" s="107"/>
      <c r="GJ196" s="107"/>
      <c r="GK196" s="107"/>
      <c r="GL196" s="107"/>
      <c r="GM196" s="107"/>
      <c r="GN196" s="107"/>
      <c r="GO196" s="107"/>
      <c r="GP196" s="107"/>
      <c r="GQ196" s="107"/>
      <c r="GR196" s="107"/>
      <c r="GS196" s="107"/>
      <c r="GT196" s="107"/>
      <c r="GU196" s="107"/>
      <c r="GV196" s="107"/>
      <c r="GW196" s="107"/>
      <c r="GX196" s="107"/>
      <c r="GY196" s="107"/>
      <c r="GZ196" s="107"/>
      <c r="HA196" s="107"/>
      <c r="HB196" s="107"/>
      <c r="HC196" s="107"/>
      <c r="HD196" s="107"/>
      <c r="HE196" s="107"/>
      <c r="HF196" s="107"/>
      <c r="HG196" s="107"/>
      <c r="HH196" s="107"/>
      <c r="HI196" s="107"/>
      <c r="HJ196" s="107"/>
      <c r="HK196" s="107"/>
      <c r="HL196" s="107"/>
      <c r="HM196" s="107"/>
      <c r="HN196" s="107"/>
      <c r="HO196" s="107"/>
      <c r="HP196" s="107"/>
      <c r="HQ196" s="107"/>
      <c r="HR196" s="107"/>
      <c r="HS196" s="107"/>
      <c r="HT196" s="107"/>
      <c r="HU196" s="107"/>
      <c r="HV196" s="107"/>
      <c r="HW196" s="107"/>
      <c r="HX196" s="107"/>
      <c r="HY196" s="107"/>
      <c r="HZ196" s="107"/>
      <c r="IA196" s="107"/>
      <c r="IB196" s="107"/>
      <c r="IC196" s="107"/>
      <c r="ID196" s="107"/>
      <c r="IE196" s="107"/>
      <c r="IF196" s="107"/>
      <c r="IG196" s="107"/>
      <c r="IH196" s="107"/>
      <c r="II196" s="107"/>
      <c r="IJ196" s="107"/>
      <c r="IK196" s="107"/>
      <c r="IL196" s="107"/>
      <c r="IM196" s="107"/>
      <c r="IN196" s="107"/>
      <c r="IO196" s="107"/>
    </row>
    <row r="197" spans="2:249">
      <c r="B197" s="140" t="s">
        <v>464</v>
      </c>
      <c r="C197" s="140"/>
      <c r="D197" s="138"/>
      <c r="E197" s="138"/>
      <c r="F197" s="138"/>
      <c r="G197" s="138"/>
      <c r="H197" s="138"/>
      <c r="I197" s="138"/>
      <c r="J197" s="138"/>
      <c r="K197" s="138"/>
      <c r="L197" s="138"/>
      <c r="M197" s="138"/>
      <c r="N197" s="138"/>
      <c r="O197" s="138"/>
      <c r="P197" s="138"/>
      <c r="Q197" s="138"/>
      <c r="R197" s="138"/>
      <c r="S197" s="138"/>
      <c r="T197" s="138"/>
      <c r="U197" s="138"/>
      <c r="V197" s="138"/>
      <c r="W197" s="138"/>
      <c r="X197" s="138"/>
      <c r="Y197" s="138"/>
      <c r="Z197" s="138"/>
      <c r="AA197" s="138"/>
      <c r="AB197" s="138"/>
      <c r="AC197" s="138"/>
      <c r="AD197" s="138"/>
      <c r="AE197" s="138"/>
      <c r="AF197" s="138"/>
      <c r="AG197" s="138"/>
      <c r="AH197" s="138"/>
      <c r="AI197" s="138"/>
      <c r="AJ197" s="138"/>
      <c r="AK197" s="138"/>
      <c r="AL197" s="138"/>
      <c r="AM197" s="138"/>
      <c r="AN197" s="138"/>
      <c r="AO197" s="138"/>
      <c r="AP197" s="138"/>
      <c r="AQ197" s="138"/>
      <c r="AR197" s="138"/>
      <c r="AS197" s="138"/>
      <c r="AT197" s="138"/>
      <c r="AU197" s="138"/>
      <c r="AV197" s="138"/>
      <c r="AW197" s="138"/>
      <c r="AX197" s="138"/>
      <c r="AY197" s="138"/>
      <c r="AZ197" s="138"/>
      <c r="BA197" s="138"/>
      <c r="BB197" s="138"/>
      <c r="BC197" s="138"/>
      <c r="BD197" s="138"/>
      <c r="BE197" s="138"/>
      <c r="BF197" s="138"/>
      <c r="BG197" s="138"/>
      <c r="BH197" s="138"/>
      <c r="BI197" s="138"/>
      <c r="BJ197" s="138"/>
      <c r="BK197" s="138"/>
      <c r="BL197" s="138"/>
      <c r="BM197" s="138"/>
      <c r="BN197" s="138"/>
      <c r="BO197" s="138"/>
      <c r="BP197" s="138"/>
      <c r="BQ197" s="138"/>
      <c r="BR197" s="138"/>
      <c r="BS197" s="138"/>
      <c r="BT197" s="138"/>
      <c r="BU197" s="138"/>
      <c r="BV197" s="138"/>
      <c r="BW197" s="138"/>
      <c r="BX197" s="138"/>
      <c r="BY197" s="138"/>
      <c r="BZ197" s="138"/>
      <c r="CA197" s="138"/>
      <c r="CB197" s="138"/>
      <c r="CC197" s="138"/>
      <c r="CD197" s="138"/>
      <c r="CE197" s="138"/>
      <c r="CF197" s="138"/>
      <c r="CG197" s="138"/>
      <c r="CH197" s="138"/>
      <c r="CI197" s="138"/>
      <c r="CJ197" s="138"/>
      <c r="CK197" s="138"/>
      <c r="CL197" s="138"/>
      <c r="CM197" s="138"/>
      <c r="CN197" s="138"/>
      <c r="CO197" s="138"/>
      <c r="CP197" s="138"/>
      <c r="CQ197" s="138"/>
      <c r="CR197" s="138"/>
      <c r="CS197" s="138"/>
      <c r="CT197" s="138"/>
      <c r="CU197" s="138"/>
      <c r="CV197" s="138"/>
      <c r="CW197" s="138"/>
      <c r="CX197" s="138"/>
      <c r="CY197" s="138"/>
      <c r="CZ197" s="138"/>
      <c r="DA197" s="138"/>
      <c r="DB197" s="138"/>
      <c r="DC197" s="138"/>
      <c r="DD197" s="138"/>
      <c r="DE197" s="138"/>
      <c r="DF197" s="138"/>
      <c r="DG197" s="138"/>
      <c r="DH197" s="138"/>
      <c r="DI197" s="138"/>
      <c r="DJ197" s="138"/>
      <c r="DK197" s="138"/>
      <c r="DL197" s="138"/>
      <c r="DM197" s="138"/>
      <c r="DN197" s="138"/>
      <c r="DO197" s="138"/>
      <c r="DP197" s="138"/>
      <c r="DQ197" s="138"/>
      <c r="DR197" s="138"/>
      <c r="DS197" s="138"/>
      <c r="DT197" s="138"/>
      <c r="DU197" s="138"/>
      <c r="DV197" s="138"/>
      <c r="DW197" s="138"/>
      <c r="DX197" s="138"/>
      <c r="DY197" s="138"/>
      <c r="DZ197" s="138"/>
      <c r="EA197" s="138"/>
      <c r="EB197" s="138"/>
      <c r="EC197" s="138"/>
      <c r="ED197" s="138"/>
      <c r="EE197" s="138"/>
      <c r="EF197" s="138"/>
      <c r="EG197" s="138"/>
      <c r="EH197" s="138"/>
      <c r="EI197" s="138"/>
      <c r="EJ197" s="138"/>
      <c r="EK197" s="138"/>
      <c r="EL197" s="138"/>
      <c r="EM197" s="138"/>
      <c r="EN197" s="138"/>
      <c r="EO197" s="138"/>
      <c r="EP197" s="138"/>
      <c r="EQ197" s="138"/>
      <c r="ER197" s="138"/>
      <c r="ES197" s="138"/>
      <c r="ET197" s="138"/>
      <c r="EU197" s="138"/>
      <c r="EV197" s="138"/>
      <c r="EW197" s="138"/>
      <c r="EX197" s="138"/>
      <c r="EY197" s="138"/>
      <c r="EZ197" s="138"/>
      <c r="FA197" s="138"/>
      <c r="FB197" s="138"/>
      <c r="FC197" s="138"/>
      <c r="FD197" s="138"/>
      <c r="FE197" s="138"/>
      <c r="FF197" s="138"/>
      <c r="FG197" s="138"/>
      <c r="FH197" s="138"/>
      <c r="FI197" s="138"/>
      <c r="FJ197" s="138"/>
      <c r="FK197" s="138"/>
      <c r="FL197" s="138"/>
      <c r="FM197" s="138"/>
      <c r="FN197" s="138"/>
      <c r="FO197" s="138"/>
      <c r="FP197" s="138"/>
      <c r="FQ197" s="138"/>
      <c r="FR197" s="138"/>
      <c r="FS197" s="138"/>
      <c r="FT197" s="138"/>
      <c r="FU197" s="138"/>
      <c r="FV197" s="138"/>
      <c r="FW197" s="138"/>
      <c r="FX197" s="138"/>
      <c r="FY197" s="138"/>
      <c r="FZ197" s="138"/>
      <c r="GA197" s="138"/>
      <c r="GB197" s="138"/>
      <c r="GC197" s="138"/>
      <c r="GD197" s="138"/>
      <c r="GE197" s="138"/>
      <c r="GF197" s="138"/>
      <c r="GG197" s="138"/>
      <c r="GH197" s="138"/>
      <c r="GI197" s="138"/>
      <c r="GJ197" s="138"/>
      <c r="GK197" s="138"/>
      <c r="GL197" s="138"/>
      <c r="GM197" s="138"/>
      <c r="GN197" s="138"/>
      <c r="GO197" s="138"/>
      <c r="GP197" s="138"/>
      <c r="GQ197" s="138"/>
      <c r="GR197" s="138"/>
      <c r="GS197" s="138"/>
      <c r="GT197" s="138"/>
      <c r="GU197" s="138"/>
      <c r="GV197" s="138"/>
      <c r="GW197" s="138"/>
      <c r="GX197" s="138"/>
      <c r="GY197" s="138"/>
      <c r="GZ197" s="138"/>
      <c r="HA197" s="138"/>
      <c r="HB197" s="138"/>
      <c r="HC197" s="138"/>
      <c r="HD197" s="138"/>
      <c r="HE197" s="138"/>
      <c r="HF197" s="138"/>
      <c r="HG197" s="138"/>
      <c r="HH197" s="138"/>
      <c r="HI197" s="138"/>
      <c r="HJ197" s="138"/>
      <c r="HK197" s="138"/>
      <c r="HL197" s="138"/>
      <c r="HM197" s="138"/>
      <c r="HN197" s="138"/>
      <c r="HO197" s="138"/>
      <c r="HP197" s="138"/>
      <c r="HQ197" s="138"/>
      <c r="HR197" s="138"/>
      <c r="HS197" s="138"/>
      <c r="HT197" s="138"/>
      <c r="HU197" s="138"/>
      <c r="HV197" s="138"/>
      <c r="HW197" s="138"/>
      <c r="HX197" s="138"/>
      <c r="HY197" s="138"/>
      <c r="HZ197" s="138"/>
      <c r="IA197" s="138"/>
      <c r="IB197" s="138"/>
      <c r="IC197" s="138"/>
      <c r="ID197" s="138"/>
      <c r="IE197" s="138"/>
      <c r="IF197" s="138"/>
      <c r="IG197" s="138"/>
      <c r="IH197" s="138"/>
      <c r="II197" s="138"/>
      <c r="IJ197" s="138"/>
      <c r="IK197" s="138"/>
      <c r="IL197" s="138"/>
      <c r="IM197" s="138"/>
      <c r="IN197" s="138"/>
      <c r="IO197" s="138"/>
    </row>
    <row r="198" spans="2:249">
      <c r="B198" s="142"/>
      <c r="C198" s="143"/>
      <c r="D198" s="107"/>
      <c r="E198" s="107"/>
      <c r="F198" s="107"/>
      <c r="G198" s="107"/>
      <c r="H198" s="107"/>
      <c r="I198" s="107"/>
      <c r="J198" s="107"/>
      <c r="K198" s="107"/>
      <c r="L198" s="107"/>
      <c r="M198" s="107"/>
      <c r="N198" s="107"/>
      <c r="O198" s="107"/>
      <c r="P198" s="107"/>
      <c r="Q198" s="107"/>
      <c r="R198" s="107"/>
      <c r="S198" s="107"/>
      <c r="T198" s="107"/>
      <c r="U198" s="107"/>
      <c r="V198" s="107"/>
      <c r="W198" s="107"/>
      <c r="X198" s="107"/>
      <c r="Y198" s="107"/>
      <c r="Z198" s="107"/>
      <c r="AA198" s="107"/>
      <c r="AB198" s="107"/>
      <c r="AC198" s="107"/>
      <c r="AD198" s="107"/>
      <c r="AE198" s="107"/>
      <c r="AF198" s="107"/>
      <c r="AG198" s="107"/>
      <c r="AH198" s="107"/>
      <c r="AI198" s="107"/>
      <c r="AJ198" s="107"/>
      <c r="AK198" s="107"/>
      <c r="AL198" s="107"/>
      <c r="AM198" s="107"/>
      <c r="AN198" s="107"/>
      <c r="AO198" s="107"/>
      <c r="AP198" s="107"/>
      <c r="AQ198" s="107"/>
      <c r="AR198" s="107"/>
      <c r="AS198" s="107"/>
      <c r="AT198" s="107"/>
      <c r="AU198" s="107"/>
      <c r="AV198" s="107"/>
      <c r="AW198" s="107"/>
      <c r="AX198" s="107"/>
      <c r="AY198" s="107"/>
      <c r="AZ198" s="107"/>
      <c r="BA198" s="107"/>
      <c r="BB198" s="107"/>
      <c r="BC198" s="107"/>
      <c r="BD198" s="107"/>
      <c r="BE198" s="107"/>
      <c r="BF198" s="107"/>
      <c r="BG198" s="107"/>
      <c r="BH198" s="107"/>
      <c r="BI198" s="107"/>
      <c r="BJ198" s="107"/>
      <c r="BK198" s="107"/>
      <c r="BL198" s="107"/>
      <c r="BM198" s="107"/>
      <c r="BN198" s="107"/>
      <c r="BO198" s="107"/>
      <c r="BP198" s="107"/>
      <c r="BQ198" s="107"/>
      <c r="BR198" s="107"/>
      <c r="BS198" s="107"/>
      <c r="BT198" s="107"/>
      <c r="BU198" s="107"/>
      <c r="BV198" s="107"/>
      <c r="BW198" s="107"/>
      <c r="BX198" s="107"/>
      <c r="BY198" s="107"/>
      <c r="BZ198" s="107"/>
      <c r="CA198" s="107"/>
      <c r="CB198" s="107"/>
      <c r="CC198" s="107"/>
      <c r="CD198" s="107"/>
      <c r="CE198" s="107"/>
      <c r="CF198" s="107"/>
      <c r="CG198" s="107"/>
      <c r="CH198" s="107"/>
      <c r="CI198" s="107"/>
      <c r="CJ198" s="107"/>
      <c r="CK198" s="107"/>
      <c r="CL198" s="107"/>
      <c r="CM198" s="107"/>
      <c r="CN198" s="107"/>
      <c r="CO198" s="107"/>
      <c r="CP198" s="107"/>
      <c r="CQ198" s="107"/>
      <c r="CR198" s="107"/>
      <c r="CS198" s="107"/>
      <c r="CT198" s="107"/>
      <c r="CU198" s="107"/>
      <c r="CV198" s="107"/>
      <c r="CW198" s="107"/>
      <c r="CX198" s="107"/>
      <c r="CY198" s="107"/>
      <c r="CZ198" s="107"/>
      <c r="DA198" s="107"/>
      <c r="DB198" s="107"/>
      <c r="DC198" s="107"/>
      <c r="DD198" s="107"/>
      <c r="DE198" s="107"/>
      <c r="DF198" s="107"/>
      <c r="DG198" s="107"/>
      <c r="DH198" s="107"/>
      <c r="DI198" s="107"/>
      <c r="DJ198" s="107"/>
      <c r="DK198" s="107"/>
      <c r="DL198" s="107"/>
      <c r="DM198" s="107"/>
      <c r="DN198" s="107"/>
      <c r="DO198" s="107"/>
      <c r="DP198" s="107"/>
      <c r="DQ198" s="107"/>
      <c r="DR198" s="107"/>
      <c r="DS198" s="107"/>
      <c r="DT198" s="107"/>
      <c r="DU198" s="107"/>
      <c r="DV198" s="107"/>
      <c r="DW198" s="107"/>
      <c r="DX198" s="107"/>
      <c r="DY198" s="107"/>
      <c r="DZ198" s="107"/>
      <c r="EA198" s="107"/>
      <c r="EB198" s="107"/>
      <c r="EC198" s="107"/>
      <c r="ED198" s="107"/>
      <c r="EE198" s="107"/>
      <c r="EF198" s="107"/>
      <c r="EG198" s="107"/>
      <c r="EH198" s="107"/>
      <c r="EI198" s="107"/>
      <c r="EJ198" s="107"/>
      <c r="EK198" s="107"/>
      <c r="EL198" s="107"/>
      <c r="EM198" s="107"/>
      <c r="EN198" s="107"/>
      <c r="EO198" s="107"/>
      <c r="EP198" s="107"/>
      <c r="EQ198" s="107"/>
      <c r="ER198" s="107"/>
      <c r="ES198" s="107"/>
      <c r="ET198" s="107"/>
      <c r="EU198" s="107"/>
      <c r="EV198" s="107"/>
      <c r="EW198" s="107"/>
      <c r="EX198" s="107"/>
      <c r="EY198" s="107"/>
      <c r="EZ198" s="107"/>
      <c r="FA198" s="107"/>
      <c r="FB198" s="107"/>
      <c r="FC198" s="107"/>
      <c r="FD198" s="107"/>
      <c r="FE198" s="107"/>
      <c r="FF198" s="107"/>
      <c r="FG198" s="107"/>
      <c r="FH198" s="107"/>
      <c r="FI198" s="107"/>
      <c r="FJ198" s="107"/>
      <c r="FK198" s="107"/>
      <c r="FL198" s="107"/>
      <c r="FM198" s="107"/>
      <c r="FN198" s="107"/>
      <c r="FO198" s="107"/>
      <c r="FP198" s="107"/>
      <c r="FQ198" s="107"/>
      <c r="FR198" s="107"/>
      <c r="FS198" s="107"/>
      <c r="FT198" s="107"/>
      <c r="FU198" s="107"/>
      <c r="FV198" s="107"/>
      <c r="FW198" s="107"/>
      <c r="FX198" s="107"/>
      <c r="FY198" s="107"/>
      <c r="FZ198" s="107"/>
      <c r="GA198" s="107"/>
      <c r="GB198" s="107"/>
      <c r="GC198" s="107"/>
      <c r="GD198" s="107"/>
      <c r="GE198" s="107"/>
      <c r="GF198" s="107"/>
      <c r="GG198" s="107"/>
      <c r="GH198" s="107"/>
      <c r="GI198" s="107"/>
      <c r="GJ198" s="107"/>
      <c r="GK198" s="107"/>
      <c r="GL198" s="107"/>
      <c r="GM198" s="107"/>
      <c r="GN198" s="107"/>
      <c r="GO198" s="107"/>
      <c r="GP198" s="107"/>
      <c r="GQ198" s="107"/>
      <c r="GR198" s="107"/>
      <c r="GS198" s="107"/>
      <c r="GT198" s="107"/>
      <c r="GU198" s="107"/>
      <c r="GV198" s="107"/>
      <c r="GW198" s="107"/>
      <c r="GX198" s="107"/>
      <c r="GY198" s="107"/>
      <c r="GZ198" s="107"/>
      <c r="HA198" s="107"/>
      <c r="HB198" s="107"/>
      <c r="HC198" s="107"/>
      <c r="HD198" s="107"/>
      <c r="HE198" s="107"/>
      <c r="HF198" s="107"/>
      <c r="HG198" s="107"/>
      <c r="HH198" s="107"/>
      <c r="HI198" s="107"/>
      <c r="HJ198" s="107"/>
      <c r="HK198" s="107"/>
      <c r="HL198" s="107"/>
      <c r="HM198" s="107"/>
      <c r="HN198" s="107"/>
      <c r="HO198" s="107"/>
      <c r="HP198" s="107"/>
      <c r="HQ198" s="107"/>
      <c r="HR198" s="107"/>
      <c r="HS198" s="107"/>
      <c r="HT198" s="107"/>
      <c r="HU198" s="107"/>
      <c r="HV198" s="107"/>
      <c r="HW198" s="107"/>
      <c r="HX198" s="107"/>
      <c r="HY198" s="107"/>
      <c r="HZ198" s="107"/>
      <c r="IA198" s="107"/>
      <c r="IB198" s="107"/>
      <c r="IC198" s="107"/>
      <c r="ID198" s="107"/>
      <c r="IE198" s="107"/>
      <c r="IF198" s="107"/>
      <c r="IG198" s="107"/>
      <c r="IH198" s="107"/>
      <c r="II198" s="107"/>
      <c r="IJ198" s="107"/>
      <c r="IK198" s="107"/>
      <c r="IL198" s="107"/>
      <c r="IM198" s="107"/>
      <c r="IN198" s="107"/>
      <c r="IO198" s="107"/>
    </row>
    <row r="199" spans="2:249">
      <c r="B199" s="140" t="s">
        <v>473</v>
      </c>
      <c r="C199" s="140"/>
      <c r="D199" s="138"/>
      <c r="E199" s="138"/>
      <c r="F199" s="138"/>
      <c r="G199" s="138"/>
      <c r="H199" s="138"/>
      <c r="I199" s="138"/>
      <c r="J199" s="138"/>
      <c r="K199" s="138"/>
      <c r="L199" s="138"/>
      <c r="M199" s="138"/>
      <c r="N199" s="138"/>
      <c r="O199" s="138"/>
      <c r="P199" s="138"/>
      <c r="Q199" s="138"/>
      <c r="R199" s="138"/>
      <c r="S199" s="138"/>
      <c r="T199" s="138"/>
      <c r="U199" s="138"/>
      <c r="V199" s="138"/>
      <c r="W199" s="138"/>
      <c r="X199" s="138"/>
      <c r="Y199" s="138"/>
      <c r="Z199" s="138"/>
      <c r="AA199" s="138"/>
      <c r="AB199" s="138"/>
      <c r="AC199" s="138"/>
      <c r="AD199" s="138"/>
      <c r="AE199" s="138"/>
      <c r="AF199" s="138"/>
      <c r="AG199" s="138"/>
      <c r="AH199" s="138"/>
      <c r="AI199" s="138"/>
      <c r="AJ199" s="138"/>
      <c r="AK199" s="138"/>
      <c r="AL199" s="138"/>
      <c r="AM199" s="138"/>
      <c r="AN199" s="138"/>
      <c r="AO199" s="138"/>
      <c r="AP199" s="138"/>
      <c r="AQ199" s="138"/>
      <c r="AR199" s="138"/>
      <c r="AS199" s="138"/>
      <c r="AT199" s="138"/>
      <c r="AU199" s="138"/>
      <c r="AV199" s="138"/>
      <c r="AW199" s="138"/>
      <c r="AX199" s="138"/>
      <c r="AY199" s="138"/>
      <c r="AZ199" s="138"/>
      <c r="BA199" s="138"/>
      <c r="BB199" s="138"/>
      <c r="BC199" s="138"/>
      <c r="BD199" s="138"/>
      <c r="BE199" s="138"/>
      <c r="BF199" s="138"/>
      <c r="BG199" s="138"/>
      <c r="BH199" s="138"/>
      <c r="BI199" s="138"/>
      <c r="BJ199" s="138"/>
      <c r="BK199" s="138"/>
      <c r="BL199" s="138"/>
      <c r="BM199" s="138"/>
      <c r="BN199" s="138"/>
      <c r="BO199" s="138"/>
      <c r="BP199" s="138"/>
      <c r="BQ199" s="138"/>
      <c r="BR199" s="138"/>
      <c r="BS199" s="138"/>
      <c r="BT199" s="138"/>
      <c r="BU199" s="138"/>
      <c r="BV199" s="138"/>
      <c r="BW199" s="138"/>
      <c r="BX199" s="138"/>
      <c r="BY199" s="138"/>
      <c r="BZ199" s="138"/>
      <c r="CA199" s="138"/>
      <c r="CB199" s="138"/>
      <c r="CC199" s="138"/>
      <c r="CD199" s="138"/>
      <c r="CE199" s="138"/>
      <c r="CF199" s="138"/>
      <c r="CG199" s="138"/>
      <c r="CH199" s="138"/>
      <c r="CI199" s="138"/>
      <c r="CJ199" s="138"/>
      <c r="CK199" s="138"/>
      <c r="CL199" s="138"/>
      <c r="CM199" s="138"/>
      <c r="CN199" s="138"/>
      <c r="CO199" s="138"/>
      <c r="CP199" s="138"/>
      <c r="CQ199" s="138"/>
      <c r="CR199" s="138"/>
      <c r="CS199" s="138"/>
      <c r="CT199" s="138"/>
      <c r="CU199" s="138"/>
      <c r="CV199" s="138"/>
      <c r="CW199" s="138"/>
      <c r="CX199" s="138"/>
      <c r="CY199" s="138"/>
      <c r="CZ199" s="138"/>
      <c r="DA199" s="138"/>
      <c r="DB199" s="138"/>
      <c r="DC199" s="138"/>
      <c r="DD199" s="138"/>
      <c r="DE199" s="138"/>
      <c r="DF199" s="138"/>
      <c r="DG199" s="138"/>
      <c r="DH199" s="138"/>
      <c r="DI199" s="138"/>
      <c r="DJ199" s="138"/>
      <c r="DK199" s="138"/>
      <c r="DL199" s="138"/>
      <c r="DM199" s="138"/>
      <c r="DN199" s="138"/>
      <c r="DO199" s="138"/>
      <c r="DP199" s="138"/>
      <c r="DQ199" s="138"/>
      <c r="DR199" s="138"/>
      <c r="DS199" s="138"/>
      <c r="DT199" s="138"/>
      <c r="DU199" s="138"/>
      <c r="DV199" s="138"/>
      <c r="DW199" s="138"/>
      <c r="DX199" s="138"/>
      <c r="DY199" s="138"/>
      <c r="DZ199" s="138"/>
      <c r="EA199" s="138"/>
      <c r="EB199" s="138"/>
      <c r="EC199" s="138"/>
      <c r="ED199" s="138"/>
      <c r="EE199" s="138"/>
      <c r="EF199" s="138"/>
      <c r="EG199" s="138"/>
      <c r="EH199" s="138"/>
      <c r="EI199" s="138"/>
      <c r="EJ199" s="138"/>
      <c r="EK199" s="138"/>
      <c r="EL199" s="138"/>
      <c r="EM199" s="138"/>
      <c r="EN199" s="138"/>
      <c r="EO199" s="138"/>
      <c r="EP199" s="138"/>
      <c r="EQ199" s="138"/>
      <c r="ER199" s="138"/>
      <c r="ES199" s="138"/>
      <c r="ET199" s="138"/>
      <c r="EU199" s="138"/>
      <c r="EV199" s="138"/>
      <c r="EW199" s="138"/>
      <c r="EX199" s="138"/>
      <c r="EY199" s="138"/>
      <c r="EZ199" s="138"/>
      <c r="FA199" s="138"/>
      <c r="FB199" s="138"/>
      <c r="FC199" s="138"/>
      <c r="FD199" s="138"/>
      <c r="FE199" s="138"/>
      <c r="FF199" s="138"/>
      <c r="FG199" s="138"/>
      <c r="FH199" s="138"/>
      <c r="FI199" s="138"/>
      <c r="FJ199" s="138"/>
      <c r="FK199" s="138"/>
      <c r="FL199" s="138"/>
      <c r="FM199" s="138"/>
      <c r="FN199" s="138"/>
      <c r="FO199" s="138"/>
      <c r="FP199" s="138"/>
      <c r="FQ199" s="138"/>
      <c r="FR199" s="138"/>
      <c r="FS199" s="138"/>
      <c r="FT199" s="138"/>
      <c r="FU199" s="138"/>
      <c r="FV199" s="138"/>
      <c r="FW199" s="138"/>
      <c r="FX199" s="138"/>
      <c r="FY199" s="138"/>
      <c r="FZ199" s="138"/>
      <c r="GA199" s="138"/>
      <c r="GB199" s="138"/>
      <c r="GC199" s="138"/>
      <c r="GD199" s="138"/>
      <c r="GE199" s="138"/>
      <c r="GF199" s="138"/>
      <c r="GG199" s="138"/>
      <c r="GH199" s="138"/>
      <c r="GI199" s="138"/>
      <c r="GJ199" s="138"/>
      <c r="GK199" s="138"/>
      <c r="GL199" s="138"/>
      <c r="GM199" s="138"/>
      <c r="GN199" s="138"/>
      <c r="GO199" s="138"/>
      <c r="GP199" s="138"/>
      <c r="GQ199" s="138"/>
      <c r="GR199" s="138"/>
      <c r="GS199" s="138"/>
      <c r="GT199" s="138"/>
      <c r="GU199" s="138"/>
      <c r="GV199" s="138"/>
      <c r="GW199" s="138"/>
      <c r="GX199" s="138"/>
      <c r="GY199" s="138"/>
      <c r="GZ199" s="138"/>
      <c r="HA199" s="138"/>
      <c r="HB199" s="138"/>
      <c r="HC199" s="138"/>
      <c r="HD199" s="138"/>
      <c r="HE199" s="138"/>
      <c r="HF199" s="138"/>
      <c r="HG199" s="138"/>
      <c r="HH199" s="138"/>
      <c r="HI199" s="138"/>
      <c r="HJ199" s="138"/>
      <c r="HK199" s="138"/>
      <c r="HL199" s="138"/>
      <c r="HM199" s="138"/>
      <c r="HN199" s="138"/>
      <c r="HO199" s="138"/>
      <c r="HP199" s="138"/>
      <c r="HQ199" s="138"/>
      <c r="HR199" s="138"/>
      <c r="HS199" s="138"/>
      <c r="HT199" s="138"/>
      <c r="HU199" s="138"/>
      <c r="HV199" s="138"/>
      <c r="HW199" s="138"/>
      <c r="HX199" s="138"/>
      <c r="HY199" s="138"/>
      <c r="HZ199" s="138"/>
      <c r="IA199" s="138"/>
      <c r="IB199" s="138"/>
      <c r="IC199" s="138"/>
      <c r="ID199" s="138"/>
      <c r="IE199" s="138"/>
      <c r="IF199" s="138"/>
      <c r="IG199" s="138"/>
      <c r="IH199" s="138"/>
      <c r="II199" s="138"/>
      <c r="IJ199" s="138"/>
      <c r="IK199" s="138"/>
      <c r="IL199" s="138"/>
      <c r="IM199" s="138"/>
      <c r="IN199" s="138"/>
      <c r="IO199" s="138"/>
    </row>
    <row r="200" spans="2:249">
      <c r="B200" s="142"/>
      <c r="C200" s="143"/>
      <c r="D200" s="107"/>
      <c r="E200" s="107"/>
      <c r="F200" s="107"/>
      <c r="G200" s="107"/>
      <c r="H200" s="107"/>
      <c r="I200" s="107"/>
      <c r="J200" s="107"/>
      <c r="K200" s="107"/>
      <c r="L200" s="107"/>
      <c r="M200" s="107"/>
      <c r="N200" s="107"/>
      <c r="O200" s="107"/>
      <c r="P200" s="107"/>
      <c r="Q200" s="107"/>
      <c r="R200" s="107"/>
      <c r="S200" s="107"/>
      <c r="T200" s="107"/>
      <c r="U200" s="107"/>
      <c r="V200" s="107"/>
      <c r="W200" s="107"/>
      <c r="X200" s="107"/>
      <c r="Y200" s="107"/>
      <c r="Z200" s="107"/>
      <c r="AA200" s="107"/>
      <c r="AB200" s="107"/>
      <c r="AC200" s="107"/>
      <c r="AD200" s="107"/>
      <c r="AE200" s="107"/>
      <c r="AF200" s="107"/>
      <c r="AG200" s="107"/>
      <c r="AH200" s="107"/>
      <c r="AI200" s="107"/>
      <c r="AJ200" s="107"/>
      <c r="AK200" s="107"/>
      <c r="AL200" s="107"/>
      <c r="AM200" s="107"/>
      <c r="AN200" s="107"/>
      <c r="AO200" s="107"/>
      <c r="AP200" s="107"/>
      <c r="AQ200" s="107"/>
      <c r="AR200" s="107"/>
      <c r="AS200" s="107"/>
      <c r="AT200" s="107"/>
      <c r="AU200" s="107"/>
      <c r="AV200" s="107"/>
      <c r="AW200" s="107"/>
      <c r="AX200" s="107"/>
      <c r="AY200" s="107"/>
      <c r="AZ200" s="107"/>
      <c r="BA200" s="107"/>
      <c r="BB200" s="107"/>
      <c r="BC200" s="107"/>
      <c r="BD200" s="107"/>
      <c r="BE200" s="107"/>
      <c r="BF200" s="107"/>
      <c r="BG200" s="107"/>
      <c r="BH200" s="107"/>
      <c r="BI200" s="107"/>
      <c r="BJ200" s="107"/>
      <c r="BK200" s="107"/>
      <c r="BL200" s="107"/>
      <c r="BM200" s="107"/>
      <c r="BN200" s="107"/>
      <c r="BO200" s="107"/>
      <c r="BP200" s="107"/>
      <c r="BQ200" s="107"/>
      <c r="BR200" s="107"/>
      <c r="BS200" s="107"/>
      <c r="BT200" s="107"/>
      <c r="BU200" s="107"/>
      <c r="BV200" s="107"/>
      <c r="BW200" s="107"/>
      <c r="BX200" s="107"/>
      <c r="BY200" s="107"/>
      <c r="BZ200" s="107"/>
      <c r="CA200" s="107"/>
      <c r="CB200" s="107"/>
      <c r="CC200" s="107"/>
      <c r="CD200" s="107"/>
      <c r="CE200" s="107"/>
      <c r="CF200" s="107"/>
      <c r="CG200" s="107"/>
      <c r="CH200" s="107"/>
      <c r="CI200" s="107"/>
      <c r="CJ200" s="107"/>
      <c r="CK200" s="107"/>
      <c r="CL200" s="107"/>
      <c r="CM200" s="107"/>
      <c r="CN200" s="107"/>
      <c r="CO200" s="107"/>
      <c r="CP200" s="107"/>
      <c r="CQ200" s="107"/>
      <c r="CR200" s="107"/>
      <c r="CS200" s="107"/>
      <c r="CT200" s="107"/>
      <c r="CU200" s="107"/>
      <c r="CV200" s="107"/>
      <c r="CW200" s="107"/>
      <c r="CX200" s="107"/>
      <c r="CY200" s="107"/>
      <c r="CZ200" s="107"/>
      <c r="DA200" s="107"/>
      <c r="DB200" s="107"/>
      <c r="DC200" s="107"/>
      <c r="DD200" s="107"/>
      <c r="DE200" s="107"/>
      <c r="DF200" s="107"/>
      <c r="DG200" s="107"/>
      <c r="DH200" s="107"/>
      <c r="DI200" s="107"/>
      <c r="DJ200" s="107"/>
      <c r="DK200" s="107"/>
      <c r="DL200" s="107"/>
      <c r="DM200" s="107"/>
      <c r="DN200" s="107"/>
      <c r="DO200" s="107"/>
      <c r="DP200" s="107"/>
      <c r="DQ200" s="107"/>
      <c r="DR200" s="107"/>
      <c r="DS200" s="107"/>
      <c r="DT200" s="107"/>
      <c r="DU200" s="107"/>
      <c r="DV200" s="107"/>
      <c r="DW200" s="107"/>
      <c r="DX200" s="107"/>
      <c r="DY200" s="107"/>
      <c r="DZ200" s="107"/>
      <c r="EA200" s="107"/>
      <c r="EB200" s="107"/>
      <c r="EC200" s="107"/>
      <c r="ED200" s="107"/>
      <c r="EE200" s="107"/>
      <c r="EF200" s="107"/>
      <c r="EG200" s="107"/>
      <c r="EH200" s="107"/>
      <c r="EI200" s="107"/>
      <c r="EJ200" s="107"/>
      <c r="EK200" s="107"/>
      <c r="EL200" s="107"/>
      <c r="EM200" s="107"/>
      <c r="EN200" s="107"/>
      <c r="EO200" s="107"/>
      <c r="EP200" s="107"/>
      <c r="EQ200" s="107"/>
      <c r="ER200" s="107"/>
      <c r="ES200" s="107"/>
      <c r="ET200" s="107"/>
      <c r="EU200" s="107"/>
      <c r="EV200" s="107"/>
      <c r="EW200" s="107"/>
      <c r="EX200" s="107"/>
      <c r="EY200" s="107"/>
      <c r="EZ200" s="107"/>
      <c r="FA200" s="107"/>
      <c r="FB200" s="107"/>
      <c r="FC200" s="107"/>
      <c r="FD200" s="107"/>
      <c r="FE200" s="107"/>
      <c r="FF200" s="107"/>
      <c r="FG200" s="107"/>
      <c r="FH200" s="107"/>
      <c r="FI200" s="107"/>
      <c r="FJ200" s="107"/>
      <c r="FK200" s="107"/>
      <c r="FL200" s="107"/>
      <c r="FM200" s="107"/>
      <c r="FN200" s="107"/>
      <c r="FO200" s="107"/>
      <c r="FP200" s="107"/>
      <c r="FQ200" s="107"/>
      <c r="FR200" s="107"/>
      <c r="FS200" s="107"/>
      <c r="FT200" s="107"/>
      <c r="FU200" s="107"/>
      <c r="FV200" s="107"/>
      <c r="FW200" s="107"/>
      <c r="FX200" s="107"/>
      <c r="FY200" s="107"/>
      <c r="FZ200" s="107"/>
      <c r="GA200" s="107"/>
      <c r="GB200" s="107"/>
      <c r="GC200" s="107"/>
      <c r="GD200" s="107"/>
      <c r="GE200" s="107"/>
      <c r="GF200" s="107"/>
      <c r="GG200" s="107"/>
      <c r="GH200" s="107"/>
      <c r="GI200" s="107"/>
      <c r="GJ200" s="107"/>
      <c r="GK200" s="107"/>
      <c r="GL200" s="107"/>
      <c r="GM200" s="107"/>
      <c r="GN200" s="107"/>
      <c r="GO200" s="107"/>
      <c r="GP200" s="107"/>
      <c r="GQ200" s="107"/>
      <c r="GR200" s="107"/>
      <c r="GS200" s="107"/>
      <c r="GT200" s="107"/>
      <c r="GU200" s="107"/>
      <c r="GV200" s="107"/>
      <c r="GW200" s="107"/>
      <c r="GX200" s="107"/>
      <c r="GY200" s="107"/>
      <c r="GZ200" s="107"/>
      <c r="HA200" s="107"/>
      <c r="HB200" s="107"/>
      <c r="HC200" s="107"/>
      <c r="HD200" s="107"/>
      <c r="HE200" s="107"/>
      <c r="HF200" s="107"/>
      <c r="HG200" s="107"/>
      <c r="HH200" s="107"/>
      <c r="HI200" s="107"/>
      <c r="HJ200" s="107"/>
      <c r="HK200" s="107"/>
      <c r="HL200" s="107"/>
      <c r="HM200" s="107"/>
      <c r="HN200" s="107"/>
      <c r="HO200" s="107"/>
      <c r="HP200" s="107"/>
      <c r="HQ200" s="107"/>
      <c r="HR200" s="107"/>
      <c r="HS200" s="107"/>
      <c r="HT200" s="107"/>
      <c r="HU200" s="107"/>
      <c r="HV200" s="107"/>
      <c r="HW200" s="107"/>
      <c r="HX200" s="107"/>
      <c r="HY200" s="107"/>
      <c r="HZ200" s="107"/>
      <c r="IA200" s="107"/>
      <c r="IB200" s="107"/>
      <c r="IC200" s="107"/>
      <c r="ID200" s="107"/>
      <c r="IE200" s="107"/>
      <c r="IF200" s="107"/>
      <c r="IG200" s="107"/>
      <c r="IH200" s="107"/>
      <c r="II200" s="107"/>
      <c r="IJ200" s="107"/>
      <c r="IK200" s="107"/>
      <c r="IL200" s="107"/>
      <c r="IM200" s="107"/>
      <c r="IN200" s="107"/>
      <c r="IO200" s="107"/>
    </row>
    <row r="201" spans="2:249">
      <c r="B201" s="140" t="s">
        <v>475</v>
      </c>
      <c r="C201" s="140"/>
      <c r="D201" s="125"/>
      <c r="E201" s="125"/>
      <c r="F201" s="125"/>
      <c r="G201" s="125"/>
      <c r="H201" s="125"/>
      <c r="I201" s="125"/>
      <c r="J201" s="125"/>
      <c r="K201" s="125"/>
      <c r="L201" s="125"/>
      <c r="M201" s="125"/>
      <c r="N201" s="125"/>
      <c r="O201" s="125"/>
      <c r="P201" s="125"/>
      <c r="Q201" s="125"/>
      <c r="R201" s="125"/>
      <c r="S201" s="125"/>
      <c r="T201" s="125"/>
      <c r="U201" s="125"/>
      <c r="V201" s="125"/>
      <c r="W201" s="125"/>
      <c r="X201" s="125"/>
      <c r="Y201" s="125"/>
      <c r="Z201" s="125"/>
      <c r="AA201" s="125"/>
      <c r="AB201" s="125"/>
      <c r="AC201" s="125"/>
      <c r="AD201" s="125"/>
      <c r="AE201" s="125"/>
      <c r="AF201" s="125"/>
      <c r="AG201" s="125"/>
      <c r="AH201" s="125"/>
      <c r="AI201" s="125"/>
      <c r="AJ201" s="125"/>
      <c r="AK201" s="125"/>
      <c r="AL201" s="125"/>
      <c r="AM201" s="125"/>
      <c r="AN201" s="125"/>
      <c r="AO201" s="125"/>
      <c r="AP201" s="125"/>
      <c r="AQ201" s="125"/>
      <c r="AR201" s="125"/>
      <c r="AS201" s="125"/>
      <c r="AT201" s="125"/>
      <c r="AU201" s="125"/>
      <c r="AV201" s="125"/>
      <c r="AW201" s="125"/>
      <c r="AX201" s="125"/>
      <c r="AY201" s="125"/>
      <c r="AZ201" s="125"/>
      <c r="BA201" s="125"/>
      <c r="BB201" s="125"/>
      <c r="BC201" s="125"/>
      <c r="BD201" s="125"/>
      <c r="BE201" s="125"/>
      <c r="BF201" s="125"/>
      <c r="BG201" s="125"/>
      <c r="BH201" s="125"/>
      <c r="BI201" s="125"/>
      <c r="BJ201" s="125"/>
      <c r="BK201" s="125"/>
      <c r="BL201" s="125"/>
      <c r="BM201" s="125"/>
      <c r="BN201" s="125"/>
      <c r="BO201" s="125"/>
      <c r="BP201" s="125"/>
      <c r="BQ201" s="125"/>
      <c r="BR201" s="125"/>
      <c r="BS201" s="125"/>
      <c r="BT201" s="125"/>
      <c r="BU201" s="125"/>
      <c r="BV201" s="125"/>
      <c r="BW201" s="125"/>
      <c r="BX201" s="125"/>
      <c r="BY201" s="125"/>
      <c r="BZ201" s="125"/>
      <c r="CA201" s="125"/>
      <c r="CB201" s="125"/>
      <c r="CC201" s="125"/>
      <c r="CD201" s="125"/>
      <c r="CE201" s="125"/>
      <c r="CF201" s="125"/>
      <c r="CG201" s="125"/>
      <c r="CH201" s="125"/>
      <c r="CI201" s="125"/>
      <c r="CJ201" s="125"/>
      <c r="CK201" s="125"/>
      <c r="CL201" s="125"/>
      <c r="CM201" s="125"/>
      <c r="CN201" s="125"/>
      <c r="CO201" s="125"/>
      <c r="CP201" s="125"/>
      <c r="CQ201" s="125"/>
      <c r="CR201" s="125"/>
      <c r="CS201" s="125"/>
      <c r="CT201" s="125"/>
      <c r="CU201" s="125"/>
      <c r="CV201" s="125"/>
      <c r="CW201" s="125"/>
      <c r="CX201" s="125"/>
      <c r="CY201" s="125"/>
      <c r="CZ201" s="125"/>
      <c r="DA201" s="125"/>
      <c r="DB201" s="125"/>
      <c r="DC201" s="125"/>
      <c r="DD201" s="125"/>
      <c r="DE201" s="125"/>
      <c r="DF201" s="125"/>
      <c r="DG201" s="125"/>
      <c r="DH201" s="125"/>
      <c r="DI201" s="125"/>
      <c r="DJ201" s="125"/>
      <c r="DK201" s="125"/>
      <c r="DL201" s="125"/>
      <c r="DM201" s="125"/>
      <c r="DN201" s="125"/>
      <c r="DO201" s="125"/>
      <c r="DP201" s="125"/>
      <c r="DQ201" s="125"/>
      <c r="DR201" s="125"/>
      <c r="DS201" s="125"/>
      <c r="DT201" s="125"/>
      <c r="DU201" s="125"/>
      <c r="DV201" s="125"/>
      <c r="DW201" s="125"/>
      <c r="DX201" s="125"/>
      <c r="DY201" s="125"/>
      <c r="DZ201" s="125"/>
      <c r="EA201" s="125"/>
      <c r="EB201" s="125"/>
      <c r="EC201" s="125"/>
      <c r="ED201" s="125"/>
      <c r="EE201" s="125"/>
      <c r="EF201" s="125"/>
      <c r="EG201" s="125"/>
      <c r="EH201" s="125"/>
      <c r="EI201" s="125"/>
      <c r="EJ201" s="125"/>
      <c r="EK201" s="125"/>
      <c r="EL201" s="125"/>
      <c r="EM201" s="125"/>
      <c r="EN201" s="125"/>
      <c r="EO201" s="125"/>
      <c r="EP201" s="125"/>
      <c r="EQ201" s="125"/>
      <c r="ER201" s="125"/>
      <c r="ES201" s="125"/>
      <c r="ET201" s="125"/>
      <c r="EU201" s="125"/>
      <c r="EV201" s="125"/>
      <c r="EW201" s="125"/>
      <c r="EX201" s="125"/>
      <c r="EY201" s="125"/>
      <c r="EZ201" s="125"/>
      <c r="FA201" s="125"/>
      <c r="FB201" s="125"/>
      <c r="FC201" s="125"/>
      <c r="FD201" s="125"/>
      <c r="FE201" s="125"/>
      <c r="FF201" s="125"/>
      <c r="FG201" s="125"/>
      <c r="FH201" s="125"/>
      <c r="FI201" s="125"/>
      <c r="FJ201" s="125"/>
      <c r="FK201" s="125"/>
      <c r="FL201" s="125"/>
      <c r="FM201" s="125"/>
      <c r="FN201" s="125"/>
      <c r="FO201" s="125"/>
      <c r="FP201" s="125"/>
      <c r="FQ201" s="125"/>
      <c r="FR201" s="125"/>
      <c r="FS201" s="125"/>
      <c r="FT201" s="125"/>
      <c r="FU201" s="125"/>
      <c r="FV201" s="125"/>
      <c r="FW201" s="125"/>
      <c r="FX201" s="125"/>
      <c r="FY201" s="125"/>
      <c r="FZ201" s="125"/>
      <c r="GA201" s="125"/>
      <c r="GB201" s="125"/>
      <c r="GC201" s="125"/>
      <c r="GD201" s="125"/>
      <c r="GE201" s="125"/>
      <c r="GF201" s="125"/>
      <c r="GG201" s="125"/>
      <c r="GH201" s="125"/>
      <c r="GI201" s="125"/>
      <c r="GJ201" s="125"/>
      <c r="GK201" s="125"/>
      <c r="GL201" s="125"/>
      <c r="GM201" s="125"/>
      <c r="GN201" s="125"/>
      <c r="GO201" s="125"/>
      <c r="GP201" s="125"/>
      <c r="GQ201" s="125"/>
      <c r="GR201" s="125"/>
      <c r="GS201" s="125"/>
      <c r="GT201" s="125"/>
      <c r="GU201" s="125"/>
      <c r="GV201" s="125"/>
      <c r="GW201" s="125"/>
      <c r="GX201" s="125"/>
      <c r="GY201" s="125"/>
      <c r="GZ201" s="125"/>
      <c r="HA201" s="125"/>
      <c r="HB201" s="125"/>
      <c r="HC201" s="125"/>
      <c r="HD201" s="125"/>
      <c r="HE201" s="125"/>
      <c r="HF201" s="125"/>
      <c r="HG201" s="125"/>
      <c r="HH201" s="125"/>
      <c r="HI201" s="125"/>
      <c r="HJ201" s="125"/>
      <c r="HK201" s="125"/>
      <c r="HL201" s="125"/>
      <c r="HM201" s="125"/>
      <c r="HN201" s="125"/>
      <c r="HO201" s="125"/>
      <c r="HP201" s="125"/>
      <c r="HQ201" s="125"/>
      <c r="HR201" s="125"/>
      <c r="HS201" s="125"/>
      <c r="HT201" s="125"/>
      <c r="HU201" s="125"/>
      <c r="HV201" s="125"/>
      <c r="HW201" s="125"/>
      <c r="HX201" s="125"/>
      <c r="HY201" s="125"/>
      <c r="HZ201" s="125"/>
      <c r="IA201" s="125"/>
      <c r="IB201" s="125"/>
      <c r="IC201" s="125"/>
      <c r="ID201" s="125"/>
      <c r="IE201" s="125"/>
      <c r="IF201" s="125"/>
      <c r="IG201" s="125"/>
      <c r="IH201" s="125"/>
      <c r="II201" s="125"/>
      <c r="IJ201" s="125"/>
      <c r="IK201" s="125"/>
      <c r="IL201" s="125"/>
      <c r="IM201" s="125"/>
      <c r="IN201" s="125"/>
      <c r="IO201" s="125"/>
    </row>
    <row r="202" spans="2:249" ht="216.75">
      <c r="B202" s="142"/>
      <c r="C202" s="141" t="s">
        <v>476</v>
      </c>
      <c r="D202" s="159" t="str">
        <f t="shared" ref="D202:AK202" si="52">CONCATENATE("FTB.Regression.NCL.Partnered customer.",D4)</f>
        <v>FTB.Regression.NCL.Partnered customer.All</v>
      </c>
      <c r="E202" s="159" t="str">
        <f t="shared" si="52"/>
        <v>FTB.Regression.NCL.Partnered customer.Direct credit circ.Exempt FNG</v>
      </c>
      <c r="F202" s="159" t="str">
        <f t="shared" si="52"/>
        <v>FTB.Regression.NCL.Partnered customer.Direct credit circ.Not Coded</v>
      </c>
      <c r="G202" s="159" t="str">
        <f t="shared" si="52"/>
        <v>FTB.Regression.NCL.Partnered customer.TFN circ.PTR TFN exempt PVI</v>
      </c>
      <c r="H202" s="159" t="str">
        <f t="shared" si="52"/>
        <v>FTB.Regression.NCL.Partnered customer.TFN circ.PTR TFN exempt PUC</v>
      </c>
      <c r="I202" s="159" t="str">
        <f t="shared" si="52"/>
        <v>FTB.Regression.NCL.Partnered customer.TFN circ.PTR TFN not coded</v>
      </c>
      <c r="J202" s="159" t="str">
        <f t="shared" si="52"/>
        <v>FTB.Regression.NCL.Partnered customer.TFN circ.not coded and PTR TFN coded</v>
      </c>
      <c r="K202" s="159" t="str">
        <f t="shared" si="52"/>
        <v>FTB.Regression.NCL.Partnered customer.TFN circ.not coded and PTR TFN exempt PVI</v>
      </c>
      <c r="L202" s="159" t="str">
        <f t="shared" si="52"/>
        <v>FTB.Regression.NCL.Partnered customer.TFN circ.not coded and PTR TFN exempt PUC</v>
      </c>
      <c r="M202" s="159" t="str">
        <f t="shared" si="52"/>
        <v>FTB.Regression.NCL.Partnered customer.TFN circ.not coded and PTR TFN not coded</v>
      </c>
      <c r="N202" s="159" t="str">
        <f t="shared" si="52"/>
        <v>FTB.Regression.NCL.Partnered customer.Income circ.Sec Inc LT Limit.Pri Inc LT Limit.Combined INC GT Limit</v>
      </c>
      <c r="O202" s="159" t="str">
        <f t="shared" si="52"/>
        <v>FTB.Regression.NCL.Partnered customer.Income circ.Sec Inc LT Limit.Pri Inc GT Limit.Combined INC GT Limit</v>
      </c>
      <c r="P202" s="159" t="str">
        <f t="shared" si="52"/>
        <v>FTB.Regression.NCL.Partnered customer.Income circ.Sec Inc GT Limit.Pri Inc LT Limit.Combined INC LT Limit</v>
      </c>
      <c r="Q202" s="159" t="str">
        <f t="shared" si="52"/>
        <v>FTB.Regression.NCL.Partnered customer.Income circ.Sec Inc GT Limit.Pri Inc LT Limit.Combined INC GT Limit</v>
      </c>
      <c r="R202" s="159" t="str">
        <f t="shared" si="52"/>
        <v>FTB.Regression.NCL.Partnered customer.Income circ.Sec Inc GT Limit.Pri Inc GT Limit.Combined INC GT Limit</v>
      </c>
      <c r="S202" s="159" t="str">
        <f t="shared" si="52"/>
        <v>FTB.Regression.NCL.Partnered customer.Relationship qualifier circ.ILB</v>
      </c>
      <c r="T202" s="159" t="str">
        <f t="shared" si="52"/>
        <v>FTB.Regression.NCL.Partnered customer.Relationship qualifier circ.ILC</v>
      </c>
      <c r="U202" s="159" t="str">
        <f t="shared" si="52"/>
        <v>FTB.Regression.NCL.Partnered customer.Relationship qualifier circ.ILP</v>
      </c>
      <c r="V202" s="159" t="str">
        <f t="shared" si="52"/>
        <v>FTB.Regression.NCL.Partnered customer.Relationship qualifier circ.TEB</v>
      </c>
      <c r="W202" s="159" t="str">
        <f t="shared" si="52"/>
        <v>FTB.Regression.NCL.Partnered customer.Relationship qualifier circ.TEC</v>
      </c>
      <c r="X202" s="159" t="str">
        <f t="shared" si="52"/>
        <v>FTB.Regression.NCL.Partnered customer.Relationship qualifier circ.TEP</v>
      </c>
      <c r="Y202" s="159" t="str">
        <f t="shared" si="52"/>
        <v>FTB.Regression.NCL.Partnered customer.Relationship qualifier circ.GAC</v>
      </c>
      <c r="Z202" s="159" t="str">
        <f t="shared" si="52"/>
        <v>FTB.Regression.NCL.Partnered customer.Relationship qualifier circ.GAP</v>
      </c>
      <c r="AA202" s="159" t="str">
        <f t="shared" si="52"/>
        <v>FTB.Regression.NCL.Partnered customer.Relationship qualifier circ.PSB</v>
      </c>
      <c r="AB202" s="159" t="str">
        <f t="shared" si="52"/>
        <v>FTB.Regression.NCL.Partnered customer.Relationship qualifier circ.PSC</v>
      </c>
      <c r="AC202" s="159" t="str">
        <f t="shared" si="52"/>
        <v>FTB.Regression.NCL.Partnered customer.Relationship qualifier circ.PSP</v>
      </c>
      <c r="AD202" s="159" t="str">
        <f t="shared" si="52"/>
        <v>FTB.Regression.NCL.Partnered customer.Relationship qualifier circ.REC</v>
      </c>
      <c r="AE202" s="159" t="str">
        <f t="shared" si="52"/>
        <v>FTB.Regression.NCL.Partnered customer.Relationship qualifier circ.REP</v>
      </c>
      <c r="AF202" s="159" t="str">
        <f t="shared" si="52"/>
        <v>FTB.Regression.NCL.Partnered customer.Residency Circ.Citizen.SPV</v>
      </c>
      <c r="AG202" s="159" t="str">
        <f t="shared" si="52"/>
        <v>FTB.Regression.NCL.Partnered customer.Residency Circ.Citizen.TPV</v>
      </c>
      <c r="AH202" s="159" t="str">
        <f t="shared" si="52"/>
        <v>FTB.Regression.NCL.Partnered customer.Residency Circ.SPV.Citizen</v>
      </c>
      <c r="AI202" s="159" t="str">
        <f t="shared" si="52"/>
        <v>FTB.Regression.NCL.Partnered customer.Residency Circ.TPV.Citizen</v>
      </c>
      <c r="AJ202" s="159" t="str">
        <f t="shared" si="52"/>
        <v>FTB.Regression.NCL.Partnered customer.Residency Circ.SPV.TPV</v>
      </c>
      <c r="AK202" s="157" t="str">
        <f t="shared" si="52"/>
        <v>FTB.Regression.NCL.Partnered customer.Residency Circ.TPV.SPV</v>
      </c>
      <c r="AL202" s="157" t="str">
        <f>CONCATENATE("FTB.Regression.NCL.Single customer.",AL4)</f>
        <v>FTB.Regression.NCL.Single customer.AU citzen.ALL</v>
      </c>
      <c r="AM202" s="157" t="str">
        <f t="shared" ref="AM202:CD202" si="53">CONCATENATE("FTB.Regression.NCL.Single customer.",AM4)</f>
        <v>FTB.Regression.NCL.Single customer.AU citzen.Direct credit circ.Exempt FNG</v>
      </c>
      <c r="AN202" s="157" t="str">
        <f t="shared" si="53"/>
        <v>FTB.Regression.NCL.Single customer.AU citzen.Direct credit circ.Not Coded</v>
      </c>
      <c r="AO202" s="157" t="str">
        <f t="shared" si="53"/>
        <v>FTB.Regression.NCL.Single customer.AU citzen.TFN circ.Not coded</v>
      </c>
      <c r="AP202" s="157" t="str">
        <f t="shared" si="53"/>
        <v>FTB.Regression.NCL.Single customer.AU citzen.Income circ. Income above threshold</v>
      </c>
      <c r="AQ202" s="157" t="str">
        <f t="shared" si="53"/>
        <v>FTB.Regression.NCL.Single customer.AU citzen.Relation type circ. adoptive parent</v>
      </c>
      <c r="AR202" s="157" t="str">
        <f t="shared" si="53"/>
        <v>FTB.Regression.NCL.Single customer.AU citzen.Relation type circ.foster carer</v>
      </c>
      <c r="AS202" s="157" t="str">
        <f t="shared" si="53"/>
        <v>FTB.Regression.NCL.Single customer.AU citzenRelation type circ.Other</v>
      </c>
      <c r="AT202" s="157" t="str">
        <f t="shared" si="53"/>
        <v xml:space="preserve">FTB.Regression.NCL.Single customer.AU citzenRelation type circ.grandParent </v>
      </c>
      <c r="AU202" s="157" t="str">
        <f t="shared" si="53"/>
        <v>FTB.Regression.NCL.Single customer.Permanent Resident Visa.Direct credit circ.Exempt FNG</v>
      </c>
      <c r="AV202" s="157" t="str">
        <f t="shared" si="53"/>
        <v>FTB.Regression.NCL.Single customer.Permanent Resident Visa.Direct credit circ.Not Coded</v>
      </c>
      <c r="AW202" s="157" t="str">
        <f t="shared" si="53"/>
        <v>FTB.Regression.NCL.Single customer.Permanent Resident Visa.TFN circ.Not coded</v>
      </c>
      <c r="AX202" s="157" t="str">
        <f t="shared" si="53"/>
        <v>FTB.Regression.NCL.Single customer.Permanent Resident Visa.Income circ. Income above threshold</v>
      </c>
      <c r="AY202" s="157" t="str">
        <f t="shared" si="53"/>
        <v>FTB.Regression.NCL.Single customer.Permanent Resident VisaRelation type circ.step parent</v>
      </c>
      <c r="AZ202" s="157" t="str">
        <f t="shared" si="53"/>
        <v>FTB.Regression.NCL.Single customer.Permanent Resident Visa.Relation type circ.adoptive parent</v>
      </c>
      <c r="BA202" s="157" t="str">
        <f t="shared" si="53"/>
        <v>FTB.Regression.NCL.Single customer.Permanent Resident Visa.Relation type circ.Foster Carer</v>
      </c>
      <c r="BB202" s="157" t="str">
        <f t="shared" si="53"/>
        <v>FTB.Regression.NCL.Single customer.Permanent Resident Visa.Relation type circ.other</v>
      </c>
      <c r="BC202" s="157" t="str">
        <f t="shared" si="53"/>
        <v>FTB.Regression.NCL.Single customer.Permanent Resident Visa.Relation type circ.grandParent</v>
      </c>
      <c r="BD202" s="157" t="str">
        <f t="shared" si="53"/>
        <v>FTB.Regression.NCL.Single customer.Permanent Resident Visa.Direct credit circ.Exempt FNG</v>
      </c>
      <c r="BE202" s="157" t="str">
        <f t="shared" si="53"/>
        <v>FTB.Regression.NCL.Single customer.Permanent Resident Visa.Direct credit circ.Not Coded</v>
      </c>
      <c r="BF202" s="157" t="str">
        <f t="shared" si="53"/>
        <v>FTB.Regression.NCL.Single customer.Permanent Resident Visa.TFN circ.Not coded</v>
      </c>
      <c r="BG202" s="157" t="str">
        <f t="shared" si="53"/>
        <v>FTB.Regression.NCL.Single customer.Permanent Resident Visa.Income circ. Income above threshold</v>
      </c>
      <c r="BH202" s="157" t="str">
        <f t="shared" si="53"/>
        <v>FTB.Regression.NCL.Single customer.Permanent Resident VisaRelation type circ.step parent</v>
      </c>
      <c r="BI202" s="157" t="str">
        <f t="shared" si="53"/>
        <v>FTB.Regression.NCL.Single customer.Permanent Resident Visa.Relation type circ.adoptive parent</v>
      </c>
      <c r="BJ202" s="157" t="str">
        <f t="shared" si="53"/>
        <v>FTB.Regression.NCL.Single customer.Permanent Resident Visa.Relation type circ.Foster carer</v>
      </c>
      <c r="BK202" s="157" t="str">
        <f t="shared" si="53"/>
        <v>FTB.Regression.NCL.Single customer.Permanent Resident Visa.Relation type circ.other</v>
      </c>
      <c r="BL202" s="157" t="str">
        <f t="shared" si="53"/>
        <v>FTB.Regression.NCL.Single customer.Permanent Resident Visa.Relation type circ.grand parent</v>
      </c>
      <c r="BM202" s="157" t="str">
        <f t="shared" si="53"/>
        <v>FTB.Regression.NCL.Single customer.Temporary Visa.Direct credit circ.Exempt FNG</v>
      </c>
      <c r="BN202" s="157" t="str">
        <f t="shared" si="53"/>
        <v>FTB.Regression.NCL.Single customer.Temporary Visa.Direct credit circ.Not Coded</v>
      </c>
      <c r="BO202" s="157" t="str">
        <f t="shared" si="53"/>
        <v>FTB.Regression.NCL.Single customer.Temporary Visa.TFN circ.Not coded</v>
      </c>
      <c r="BP202" s="157" t="str">
        <f t="shared" si="53"/>
        <v>FTB.Regression.NCL.Single customer.Temporary Visa.Income circ. Income above threshold</v>
      </c>
      <c r="BQ202" s="157" t="str">
        <f t="shared" si="53"/>
        <v>FTB.Regression.NCL.Single customer.Temporary VisaRelation type circ.step parent</v>
      </c>
      <c r="BR202" s="157" t="str">
        <f t="shared" si="53"/>
        <v>FTB.Regression.NCL.Single customer.Temporary Visa.Relation type circadoptive parent</v>
      </c>
      <c r="BS202" s="157" t="str">
        <f t="shared" si="53"/>
        <v>FTB.Regression.NCL.Single customer.Temporary Visa.Relation type circ.foster carer</v>
      </c>
      <c r="BT202" s="157" t="str">
        <f t="shared" si="53"/>
        <v>FTB.Regression.NCL.Single customer.Temporary Visa.Relation type circ.other</v>
      </c>
      <c r="BU202" s="157" t="str">
        <f t="shared" si="53"/>
        <v>FTB.Regression.NCL.Single customer.Temporary Visa.Relation type circ.grandparent</v>
      </c>
      <c r="BV202" s="157" t="str">
        <f t="shared" si="53"/>
        <v>FTB.Regression.NCL.Single customer.Special Category Visa.Direct credit circ.Exempt FNG</v>
      </c>
      <c r="BW202" s="157" t="str">
        <f t="shared" si="53"/>
        <v>FTB.Regression.NCL.Single customer.Special Category Visa.Direct credit circ.Not Coded</v>
      </c>
      <c r="BX202" s="157" t="str">
        <f t="shared" si="53"/>
        <v>FTB.Regression.NCL.Single customer.Special Category Visa.TFN circ.Not coded</v>
      </c>
      <c r="BY202" s="157" t="str">
        <f t="shared" si="53"/>
        <v>FTB.Regression.NCL.Single customer.Special Category Visa.Income circ. Income above threshold</v>
      </c>
      <c r="BZ202" s="157" t="str">
        <f t="shared" si="53"/>
        <v>FTB.Regression.NCL.Single customer.Special Category Visa.Relation type circ.step parent</v>
      </c>
      <c r="CA202" s="157" t="str">
        <f t="shared" si="53"/>
        <v>FTB.Regression.NCL.Single customer.Special Category Visa.Relation type circ.adoptive parent</v>
      </c>
      <c r="CB202" s="157" t="str">
        <f t="shared" si="53"/>
        <v>FTB.Regression.NCL.Single customer.Special Category Visa.Relation type circ.foster carer</v>
      </c>
      <c r="CC202" s="157" t="str">
        <f t="shared" si="53"/>
        <v>FTB.Regression.NCL.Single customer.Special Category Visa.Relation type circ.other</v>
      </c>
      <c r="CD202" s="157" t="str">
        <f t="shared" si="53"/>
        <v>FTB.Regression.NCL.Single customer.Special Category Visa.Relation type circ.grandParent</v>
      </c>
      <c r="CE202" s="157"/>
      <c r="CF202" s="157"/>
      <c r="CG202" s="157"/>
      <c r="CH202" s="157"/>
      <c r="CI202" s="157"/>
      <c r="CJ202" s="157"/>
      <c r="CK202" s="157"/>
      <c r="CL202" s="157"/>
      <c r="CM202" s="157"/>
      <c r="CN202" s="157"/>
      <c r="CO202" s="157"/>
      <c r="CP202" s="157"/>
      <c r="CQ202" s="157"/>
      <c r="CR202" s="157"/>
      <c r="CS202" s="157"/>
      <c r="CT202" s="159"/>
      <c r="CU202" s="159"/>
      <c r="CV202" s="159"/>
      <c r="CW202" s="159"/>
      <c r="CX202" s="159"/>
      <c r="CY202" s="159"/>
      <c r="CZ202" s="159"/>
      <c r="DA202" s="159"/>
      <c r="DB202" s="159"/>
      <c r="DC202" s="159"/>
      <c r="DD202" s="159"/>
      <c r="DE202" s="159"/>
      <c r="DF202" s="159"/>
      <c r="DG202" s="159"/>
      <c r="DH202" s="159"/>
      <c r="DI202" s="159"/>
      <c r="DJ202" s="159"/>
      <c r="DK202" s="159"/>
      <c r="DL202" s="159"/>
      <c r="DM202" s="159"/>
      <c r="DN202" s="159"/>
      <c r="DO202" s="159"/>
      <c r="DP202" s="159"/>
      <c r="DQ202" s="159"/>
      <c r="DR202" s="159"/>
      <c r="DS202" s="159"/>
      <c r="DT202" s="159"/>
      <c r="DU202" s="159"/>
      <c r="DV202" s="159"/>
      <c r="DW202" s="159"/>
      <c r="DX202" s="159"/>
      <c r="DY202" s="159"/>
      <c r="DZ202" s="159"/>
      <c r="EA202" s="159"/>
      <c r="EB202" s="159"/>
      <c r="EC202" s="159"/>
      <c r="ED202" s="159"/>
      <c r="EE202" s="159"/>
      <c r="EF202" s="159"/>
      <c r="EG202" s="159"/>
      <c r="EH202" s="159"/>
      <c r="EI202" s="159"/>
      <c r="EJ202" s="159"/>
      <c r="EK202" s="159"/>
      <c r="EL202" s="159"/>
      <c r="EM202" s="159"/>
      <c r="EN202" s="159"/>
      <c r="EO202" s="159"/>
      <c r="EP202" s="159"/>
      <c r="EQ202" s="159"/>
      <c r="ER202" s="159"/>
      <c r="ES202" s="159"/>
      <c r="ET202" s="159"/>
      <c r="EU202" s="159"/>
      <c r="EV202" s="159"/>
      <c r="EW202" s="159"/>
      <c r="EX202" s="159"/>
      <c r="EY202" s="159"/>
      <c r="EZ202" s="159"/>
      <c r="FA202" s="159"/>
      <c r="FB202" s="159"/>
      <c r="FC202" s="159"/>
      <c r="FD202" s="159"/>
      <c r="FE202" s="159"/>
      <c r="FF202" s="159"/>
      <c r="FG202" s="159"/>
      <c r="FH202" s="159"/>
      <c r="FI202" s="159"/>
      <c r="FJ202" s="159"/>
      <c r="FK202" s="159"/>
      <c r="FL202" s="159"/>
      <c r="FM202" s="159"/>
      <c r="FN202" s="159"/>
      <c r="FO202" s="159"/>
      <c r="FP202" s="159"/>
      <c r="FQ202" s="159"/>
      <c r="FR202" s="159"/>
      <c r="FS202" s="159"/>
      <c r="FT202" s="159"/>
      <c r="FU202" s="159"/>
      <c r="FV202" s="159"/>
      <c r="FW202" s="159"/>
      <c r="FX202" s="159"/>
      <c r="FY202" s="159"/>
      <c r="FZ202" s="159"/>
      <c r="GA202" s="159"/>
      <c r="GB202" s="159"/>
      <c r="GC202" s="159"/>
      <c r="GD202" s="159"/>
      <c r="GE202" s="159"/>
      <c r="GF202" s="159"/>
      <c r="GG202" s="159"/>
      <c r="GH202" s="159"/>
      <c r="GI202" s="159"/>
      <c r="GJ202" s="159"/>
      <c r="GK202" s="159"/>
      <c r="GL202" s="159"/>
      <c r="GM202" s="159"/>
      <c r="GN202" s="159"/>
      <c r="GO202" s="159"/>
      <c r="GP202" s="159"/>
      <c r="GQ202" s="159"/>
      <c r="GR202" s="159"/>
      <c r="GS202" s="159"/>
      <c r="GT202" s="159"/>
      <c r="GU202" s="159"/>
      <c r="GV202" s="159"/>
      <c r="GW202" s="159"/>
      <c r="GX202" s="159"/>
      <c r="GY202" s="159"/>
      <c r="GZ202" s="159"/>
      <c r="HA202" s="159"/>
      <c r="HB202" s="159"/>
      <c r="HC202" s="159"/>
      <c r="HD202" s="159"/>
      <c r="HE202" s="159"/>
      <c r="HF202" s="159"/>
      <c r="HG202" s="159"/>
      <c r="HH202" s="159"/>
      <c r="HI202" s="159"/>
      <c r="HJ202" s="159"/>
      <c r="HK202" s="159"/>
      <c r="HL202" s="159"/>
      <c r="HM202" s="159"/>
      <c r="HN202" s="159"/>
      <c r="HO202" s="159"/>
      <c r="HP202" s="159"/>
      <c r="HQ202" s="159"/>
      <c r="HR202" s="159"/>
      <c r="HS202" s="159"/>
      <c r="HT202" s="159"/>
      <c r="HU202" s="159"/>
      <c r="HV202" s="159"/>
      <c r="HW202" s="159"/>
      <c r="HX202" s="159"/>
      <c r="HY202" s="159"/>
      <c r="HZ202" s="159"/>
      <c r="IA202" s="159"/>
      <c r="IB202" s="159"/>
      <c r="IC202" s="159"/>
      <c r="ID202" s="159"/>
      <c r="IE202" s="159"/>
      <c r="IF202" s="159"/>
      <c r="IG202" s="159"/>
      <c r="IH202" s="159"/>
      <c r="II202" s="159"/>
      <c r="IJ202" s="159"/>
      <c r="IK202" s="159"/>
      <c r="IL202" s="159"/>
      <c r="IM202" s="159"/>
      <c r="IN202" s="159"/>
      <c r="IO202" s="159"/>
    </row>
    <row r="203" spans="2:249">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5"/>
      <c r="AU203" s="55"/>
      <c r="AV203" s="55"/>
      <c r="AW203" s="55"/>
      <c r="AX203" s="55"/>
      <c r="AY203" s="55"/>
      <c r="AZ203" s="55"/>
      <c r="BA203" s="55"/>
      <c r="BB203" s="55"/>
      <c r="BC203" s="55"/>
      <c r="BD203" s="55"/>
      <c r="BE203" s="55"/>
      <c r="BF203" s="55"/>
      <c r="BG203" s="55"/>
      <c r="BH203" s="55"/>
      <c r="BI203" s="55"/>
      <c r="BJ203" s="55"/>
      <c r="BK203" s="55"/>
      <c r="BL203" s="55"/>
      <c r="BM203" s="55"/>
      <c r="BN203" s="55"/>
      <c r="BO203" s="55"/>
      <c r="BP203" s="55"/>
      <c r="BQ203" s="55"/>
      <c r="BR203" s="55"/>
      <c r="BS203" s="55"/>
      <c r="BT203" s="55"/>
      <c r="BU203" s="55"/>
      <c r="BV203" s="55"/>
      <c r="BW203" s="55"/>
      <c r="BX203" s="55"/>
      <c r="BY203" s="55"/>
      <c r="BZ203" s="55"/>
      <c r="CA203" s="55"/>
      <c r="CB203" s="55"/>
      <c r="CC203" s="55"/>
      <c r="CD203" s="55"/>
      <c r="CE203" s="55"/>
      <c r="CF203" s="55"/>
      <c r="CG203" s="55"/>
      <c r="CH203" s="55"/>
      <c r="CI203" s="55"/>
      <c r="CJ203" s="55"/>
      <c r="CK203" s="55"/>
      <c r="CL203" s="55"/>
      <c r="CM203" s="55"/>
      <c r="CN203" s="55"/>
      <c r="CO203" s="55"/>
      <c r="CP203" s="55"/>
      <c r="CQ203" s="55"/>
      <c r="CR203" s="55"/>
      <c r="CS203" s="55"/>
      <c r="CT203" s="55"/>
      <c r="CU203" s="55"/>
      <c r="CV203" s="55"/>
      <c r="CW203" s="55"/>
      <c r="CX203" s="55"/>
      <c r="CY203" s="55"/>
      <c r="CZ203" s="55"/>
      <c r="DA203" s="55"/>
      <c r="DB203" s="55"/>
      <c r="DC203" s="55"/>
      <c r="DD203" s="55"/>
      <c r="DE203" s="55"/>
      <c r="DF203" s="55"/>
      <c r="DG203" s="55"/>
      <c r="DH203" s="55"/>
      <c r="DI203" s="55"/>
      <c r="DJ203" s="55"/>
      <c r="DK203" s="55"/>
      <c r="DL203" s="55"/>
      <c r="DM203" s="55"/>
      <c r="DN203" s="55"/>
      <c r="DO203" s="55"/>
      <c r="DP203" s="55"/>
      <c r="DQ203" s="55"/>
      <c r="DR203" s="55"/>
      <c r="DS203" s="55"/>
      <c r="DT203" s="55"/>
      <c r="DU203" s="55"/>
      <c r="DV203" s="55"/>
      <c r="DW203" s="55"/>
      <c r="DX203" s="55"/>
      <c r="DY203" s="55"/>
      <c r="DZ203" s="55"/>
      <c r="EA203" s="55"/>
      <c r="EB203" s="55"/>
      <c r="EC203" s="55"/>
      <c r="ED203" s="55"/>
      <c r="EE203" s="55"/>
      <c r="EF203" s="55"/>
      <c r="EG203" s="55"/>
      <c r="EH203" s="55"/>
      <c r="EI203" s="55"/>
      <c r="EJ203" s="55"/>
      <c r="EK203" s="55"/>
      <c r="EL203" s="55"/>
      <c r="EM203" s="55"/>
      <c r="EN203" s="55"/>
      <c r="EO203" s="55"/>
      <c r="EP203" s="55"/>
      <c r="EQ203" s="55"/>
      <c r="ER203" s="55"/>
      <c r="ES203" s="55"/>
      <c r="ET203" s="55"/>
      <c r="EU203" s="55"/>
      <c r="EV203" s="55"/>
      <c r="EW203" s="55"/>
      <c r="EX203" s="55"/>
      <c r="EY203" s="55"/>
      <c r="EZ203" s="55"/>
      <c r="FA203" s="55"/>
      <c r="FB203" s="55"/>
      <c r="FC203" s="55"/>
      <c r="FD203" s="55"/>
      <c r="FE203" s="55"/>
      <c r="FF203" s="55"/>
      <c r="FG203" s="55"/>
      <c r="FH203" s="55"/>
      <c r="FI203" s="55"/>
      <c r="FJ203" s="55"/>
      <c r="FK203" s="55"/>
      <c r="FL203" s="55"/>
      <c r="FM203" s="55"/>
      <c r="FN203" s="55"/>
      <c r="FO203" s="55"/>
      <c r="FP203" s="55"/>
      <c r="FQ203" s="55"/>
      <c r="FR203" s="55"/>
      <c r="FS203" s="55"/>
      <c r="FT203" s="55"/>
      <c r="FU203" s="55"/>
      <c r="FV203" s="55"/>
      <c r="FW203" s="55"/>
      <c r="FX203" s="55"/>
      <c r="FY203" s="55"/>
      <c r="FZ203" s="55"/>
      <c r="GA203" s="55"/>
      <c r="GB203" s="55"/>
      <c r="GC203" s="55"/>
      <c r="GD203" s="55"/>
      <c r="GE203" s="55"/>
      <c r="GF203" s="55"/>
      <c r="GG203" s="55"/>
      <c r="GH203" s="55"/>
      <c r="GI203" s="55"/>
      <c r="GJ203" s="55"/>
      <c r="GK203" s="55"/>
      <c r="GL203" s="55"/>
      <c r="GM203" s="55"/>
      <c r="GN203" s="55"/>
      <c r="GO203" s="55"/>
      <c r="GP203" s="55"/>
      <c r="GQ203" s="55"/>
      <c r="GR203" s="55"/>
      <c r="GS203" s="55"/>
      <c r="GT203" s="55"/>
      <c r="GU203" s="55"/>
      <c r="GV203" s="55"/>
      <c r="GW203" s="55"/>
      <c r="GX203" s="55"/>
      <c r="GY203" s="55"/>
      <c r="GZ203" s="55"/>
      <c r="HA203" s="55"/>
      <c r="HB203" s="55"/>
      <c r="HC203" s="55"/>
      <c r="HD203" s="55"/>
      <c r="HE203" s="55"/>
      <c r="HF203" s="55"/>
      <c r="HG203" s="55"/>
      <c r="HH203" s="55"/>
      <c r="HI203" s="55"/>
      <c r="HJ203" s="55"/>
      <c r="HK203" s="55"/>
      <c r="HL203" s="55"/>
      <c r="HM203" s="55"/>
      <c r="HN203" s="55"/>
      <c r="HO203" s="55"/>
      <c r="HP203" s="55"/>
      <c r="HQ203" s="55"/>
      <c r="HR203" s="55"/>
      <c r="HS203" s="55"/>
      <c r="HT203" s="55"/>
      <c r="HU203" s="55"/>
      <c r="HV203" s="55"/>
      <c r="HW203" s="55"/>
      <c r="HX203" s="55"/>
      <c r="HY203" s="55"/>
      <c r="HZ203" s="55"/>
      <c r="IA203" s="55"/>
      <c r="IB203" s="55"/>
      <c r="IC203" s="55"/>
      <c r="ID203" s="55"/>
      <c r="IE203" s="55"/>
      <c r="IF203" s="55"/>
      <c r="IG203" s="55"/>
      <c r="IH203" s="55"/>
      <c r="II203" s="55"/>
      <c r="IJ203" s="55"/>
      <c r="IK203" s="55"/>
      <c r="IL203" s="55"/>
      <c r="IM203" s="55"/>
      <c r="IN203" s="55"/>
      <c r="IO203" s="55"/>
    </row>
    <row r="204" spans="2:249" ht="25.5">
      <c r="B204" s="144" t="s">
        <v>469</v>
      </c>
      <c r="C204" s="144" t="s">
        <v>466</v>
      </c>
      <c r="D204" s="122"/>
      <c r="E204" s="122"/>
      <c r="F204" s="122"/>
      <c r="G204" s="122"/>
      <c r="H204" s="122"/>
      <c r="I204" s="122"/>
      <c r="J204" s="122"/>
      <c r="K204" s="122"/>
      <c r="L204" s="122"/>
      <c r="M204" s="122"/>
      <c r="N204" s="122"/>
      <c r="O204" s="122"/>
      <c r="P204" s="122"/>
      <c r="Q204" s="122"/>
      <c r="R204" s="122"/>
      <c r="S204" s="122"/>
      <c r="T204" s="122"/>
      <c r="U204" s="122"/>
      <c r="V204" s="122"/>
      <c r="W204" s="122"/>
      <c r="X204" s="122"/>
      <c r="Y204" s="122"/>
      <c r="Z204" s="122"/>
      <c r="AA204" s="122"/>
      <c r="AB204" s="122"/>
      <c r="AC204" s="122"/>
      <c r="AD204" s="122"/>
      <c r="AE204" s="122"/>
      <c r="AF204" s="122"/>
      <c r="AG204" s="122"/>
      <c r="AH204" s="122"/>
      <c r="AI204" s="122"/>
      <c r="AJ204" s="122"/>
      <c r="AK204" s="122"/>
      <c r="AL204" s="122"/>
      <c r="AM204" s="122"/>
      <c r="AN204" s="122"/>
      <c r="AO204" s="122"/>
      <c r="AP204" s="122"/>
      <c r="AQ204" s="122"/>
      <c r="AR204" s="122"/>
      <c r="AS204" s="122"/>
      <c r="AT204" s="122"/>
      <c r="AU204" s="122"/>
      <c r="AV204" s="122"/>
      <c r="AW204" s="122"/>
      <c r="AX204" s="122"/>
      <c r="AY204" s="122"/>
      <c r="AZ204" s="122"/>
      <c r="BA204" s="122"/>
      <c r="BB204" s="122"/>
      <c r="BC204" s="122"/>
      <c r="BD204" s="122"/>
      <c r="BE204" s="122"/>
      <c r="BF204" s="122"/>
      <c r="BG204" s="122"/>
      <c r="BH204" s="122"/>
      <c r="BI204" s="122"/>
      <c r="BJ204" s="122"/>
      <c r="BK204" s="122"/>
      <c r="BL204" s="122"/>
      <c r="BM204" s="122"/>
      <c r="BN204" s="122"/>
      <c r="BO204" s="122"/>
      <c r="BP204" s="122"/>
      <c r="BQ204" s="122"/>
      <c r="BR204" s="122"/>
      <c r="BS204" s="122"/>
      <c r="BT204" s="122"/>
      <c r="BU204" s="122"/>
      <c r="BV204" s="122"/>
      <c r="BW204" s="122"/>
      <c r="BX204" s="122"/>
      <c r="BY204" s="122"/>
      <c r="BZ204" s="122"/>
      <c r="CA204" s="122"/>
      <c r="CB204" s="122"/>
      <c r="CC204" s="122"/>
      <c r="CD204" s="122"/>
      <c r="CE204" s="122"/>
      <c r="CF204" s="122"/>
      <c r="CG204" s="122"/>
      <c r="CH204" s="122"/>
      <c r="CI204" s="122"/>
      <c r="CJ204" s="122"/>
      <c r="CK204" s="122"/>
      <c r="CL204" s="122"/>
      <c r="CM204" s="122"/>
      <c r="CN204" s="122"/>
      <c r="CO204" s="122"/>
      <c r="CP204" s="122"/>
      <c r="CQ204" s="122"/>
      <c r="CR204" s="122"/>
      <c r="CS204" s="122"/>
      <c r="CT204" s="122"/>
      <c r="CU204" s="122"/>
      <c r="CV204" s="122"/>
      <c r="CW204" s="122"/>
      <c r="CX204" s="122"/>
      <c r="CY204" s="122"/>
      <c r="CZ204" s="122"/>
      <c r="DA204" s="122"/>
      <c r="DB204" s="122"/>
      <c r="DC204" s="122"/>
      <c r="DD204" s="122"/>
      <c r="DE204" s="122"/>
      <c r="DF204" s="122"/>
      <c r="DG204" s="122"/>
      <c r="DH204" s="122"/>
      <c r="DI204" s="122"/>
      <c r="DJ204" s="122"/>
      <c r="DK204" s="122"/>
      <c r="DL204" s="122"/>
      <c r="DM204" s="122"/>
      <c r="DN204" s="122"/>
      <c r="DO204" s="122"/>
      <c r="DP204" s="122"/>
      <c r="DQ204" s="122"/>
      <c r="DR204" s="122"/>
      <c r="DS204" s="122"/>
      <c r="DT204" s="122"/>
      <c r="DU204" s="122"/>
      <c r="DV204" s="122"/>
      <c r="DW204" s="122"/>
      <c r="DX204" s="122"/>
      <c r="DY204" s="122"/>
      <c r="DZ204" s="122"/>
      <c r="EA204" s="122"/>
      <c r="EB204" s="122"/>
      <c r="EC204" s="122"/>
      <c r="ED204" s="122"/>
      <c r="EE204" s="122"/>
      <c r="EF204" s="122"/>
      <c r="EG204" s="122"/>
      <c r="EH204" s="122"/>
      <c r="EI204" s="122"/>
      <c r="EJ204" s="122"/>
      <c r="EK204" s="122"/>
      <c r="EL204" s="122"/>
      <c r="EM204" s="122"/>
      <c r="EN204" s="122"/>
      <c r="EO204" s="122"/>
      <c r="EP204" s="122"/>
      <c r="EQ204" s="122"/>
      <c r="ER204" s="122"/>
      <c r="ES204" s="122"/>
      <c r="ET204" s="122"/>
      <c r="EU204" s="122"/>
      <c r="EV204" s="122"/>
      <c r="EW204" s="122"/>
      <c r="EX204" s="122"/>
      <c r="EY204" s="122"/>
      <c r="EZ204" s="122"/>
      <c r="FA204" s="122"/>
      <c r="FB204" s="122"/>
      <c r="FC204" s="122"/>
      <c r="FD204" s="122"/>
      <c r="FE204" s="122"/>
      <c r="FF204" s="122"/>
      <c r="FG204" s="122"/>
      <c r="FH204" s="122"/>
      <c r="FI204" s="122"/>
      <c r="FJ204" s="122"/>
      <c r="FK204" s="122"/>
      <c r="FL204" s="122"/>
      <c r="FM204" s="122"/>
      <c r="FN204" s="122"/>
      <c r="FO204" s="122"/>
      <c r="FP204" s="122"/>
      <c r="FQ204" s="122"/>
      <c r="FR204" s="122"/>
      <c r="FS204" s="122"/>
      <c r="FT204" s="122"/>
      <c r="FU204" s="122"/>
      <c r="FV204" s="122"/>
      <c r="FW204" s="122"/>
      <c r="FX204" s="122"/>
      <c r="FY204" s="122"/>
      <c r="FZ204" s="122"/>
      <c r="GA204" s="122"/>
      <c r="GB204" s="122"/>
      <c r="GC204" s="122"/>
      <c r="GD204" s="122"/>
      <c r="GE204" s="122"/>
      <c r="GF204" s="122"/>
      <c r="GG204" s="122"/>
      <c r="GH204" s="122"/>
      <c r="GI204" s="122"/>
      <c r="GJ204" s="122"/>
      <c r="GK204" s="122"/>
      <c r="GL204" s="122"/>
      <c r="GM204" s="122"/>
      <c r="GN204" s="122"/>
      <c r="GO204" s="122"/>
      <c r="GP204" s="122"/>
      <c r="GQ204" s="122"/>
      <c r="GR204" s="122"/>
      <c r="GS204" s="122"/>
      <c r="GT204" s="122"/>
      <c r="GU204" s="122"/>
      <c r="GV204" s="122"/>
      <c r="GW204" s="122"/>
      <c r="GX204" s="122"/>
      <c r="GY204" s="122"/>
      <c r="GZ204" s="122"/>
      <c r="HA204" s="122"/>
      <c r="HB204" s="122"/>
      <c r="HC204" s="122"/>
      <c r="HD204" s="122"/>
      <c r="HE204" s="122"/>
      <c r="HF204" s="122"/>
      <c r="HG204" s="122"/>
      <c r="HH204" s="122"/>
      <c r="HI204" s="122"/>
      <c r="HJ204" s="122"/>
      <c r="HK204" s="122"/>
      <c r="HL204" s="122"/>
      <c r="HM204" s="122"/>
      <c r="HN204" s="122"/>
      <c r="HO204" s="122"/>
      <c r="HP204" s="122"/>
      <c r="HQ204" s="122"/>
      <c r="HR204" s="122"/>
      <c r="HS204" s="122"/>
      <c r="HT204" s="122"/>
      <c r="HU204" s="122"/>
      <c r="HV204" s="122"/>
      <c r="HW204" s="122"/>
      <c r="HX204" s="122"/>
      <c r="HY204" s="122"/>
      <c r="HZ204" s="122"/>
      <c r="IA204" s="122"/>
      <c r="IB204" s="122"/>
      <c r="IC204" s="122"/>
      <c r="ID204" s="122"/>
      <c r="IE204" s="122"/>
      <c r="IF204" s="122"/>
      <c r="IG204" s="122"/>
      <c r="IH204" s="122"/>
      <c r="II204" s="122"/>
      <c r="IJ204" s="122"/>
      <c r="IK204" s="122"/>
      <c r="IL204" s="122"/>
      <c r="IM204" s="122"/>
      <c r="IN204" s="122"/>
      <c r="IO204" s="122"/>
    </row>
    <row r="205" spans="2:249" ht="373.5" customHeight="1">
      <c r="B205" s="145"/>
      <c r="C205" s="146" t="s">
        <v>16</v>
      </c>
      <c r="D205" s="157" t="str">
        <f>CONCATENATE("Index a FTB/NCL with below circumstance description ", D162)</f>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E205" s="157" t="str">
        <f t="shared" ref="E205:AJ205" si="54">CONCATENATE("Index a FTB/NCL with below circumstance description ", E162)</f>
        <v>Index a FTB/NCL with below circumstance description &lt;BR&gt;&lt;BR&gt;&lt;B&gt;Customer  circumstances&lt;/B&gt;&lt;BR&gt;Residential Qualification = AU citizen&lt;BR&gt;Direct Credit details   = Coded Exemption - FNG&lt;BR&gt;TFN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F205" s="157" t="str">
        <f t="shared" si="54"/>
        <v>Index a FTB/NCL with below circumstance description &lt;BR&gt;&lt;BR&gt;&lt;B&gt;Customer  circumstances&lt;/B&gt;&lt;BR&gt;Residential Qualification = AU citizen&lt;BR&gt;Direct Credit details   = Not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G205" s="157" t="str">
        <f t="shared" si="54"/>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 Exemption - PVI&lt;BR&gt;Primary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H205" s="157" t="str">
        <f t="shared" si="54"/>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 Exemption - PUC&lt;BR&gt;Primary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I205" s="157" t="str">
        <f t="shared" si="54"/>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Not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J205" s="157" t="str">
        <f t="shared" si="54"/>
        <v>Index a FTB/NCL with below circumstance description &lt;BR&gt;&lt;BR&gt;&lt;B&gt;Customer  circumstances&lt;/B&gt;&lt;BR&gt;Residential Qualification = AU citizen&lt;BR&gt;Direct Credit details   = Coded&lt;BR&gt;TFN details = Not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K205" s="157" t="str">
        <f t="shared" si="54"/>
        <v>Index a FTB/NCL with below circumstance description &lt;BR&gt;&lt;BR&gt;&lt;B&gt;Customer  circumstances&lt;/B&gt;&lt;BR&gt;Residential Qualification = AU citizen&lt;BR&gt;Direct Credit details   = Coded&lt;BR&gt;TFN details = Not Coded&lt;BR&gt;Secondary Earner income = Less than $21,499&lt;BR&gt;&lt;BR&gt;&lt;B&gt;Partner  circumstances&lt;/B&gt;&lt;BR&gt;Residential Qualification = AU citizen&lt;BR&gt;TFN details = Coded Exemption - PVI&lt;BR&gt;Primary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L205" s="157" t="str">
        <f t="shared" si="54"/>
        <v>Index a FTB/NCL with below circumstance description &lt;BR&gt;&lt;BR&gt;&lt;B&gt;Customer  circumstances&lt;/B&gt;&lt;BR&gt;Residential Qualification = AU citizen&lt;BR&gt;Direct Credit details   = Coded&lt;BR&gt;TFN details = Not Coded&lt;BR&gt;Secondary Earner income = Less than $21,499&lt;BR&gt;&lt;BR&gt;&lt;B&gt;Partner  circumstances&lt;/B&gt;&lt;BR&gt;Residential Qualification = AU citizen&lt;BR&gt;TFN details = Coded Exemption - PUC&lt;BR&gt;Primary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M205" s="157" t="str">
        <f t="shared" si="54"/>
        <v>Index a FTB/NCL with below circumstance description &lt;BR&gt;&lt;BR&gt;&lt;B&gt;Customer  circumstances&lt;/B&gt;&lt;BR&gt;Residential Qualification = AU citizen&lt;BR&gt;Direct Credit details   = Coded&lt;BR&gt;TFN details = Not Coded&lt;BR&gt;Secondary Earner income = Less than $21,499&lt;BR&gt;&lt;BR&gt;&lt;B&gt;Partner  circumstances&lt;/B&gt;&lt;BR&gt;Residential Qualification = AU citizen&lt;BR&gt;TFN details = Not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N205" s="157" t="str">
        <f t="shared" si="54"/>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More than $99,414 per yr&lt;BR&gt;&lt;BR&gt;&lt;B&gt;Child  circumstances&lt;/B&gt;&lt;BR&gt;Number of Child(ren) = 1&lt;BR&gt;Age of Child = &lt;= 5yr&lt;BR&gt;Principal Care Type = Natural Care&lt;BR&gt;Care Percentage = 100% of Customer's care</v>
      </c>
      <c r="O205" s="157" t="str">
        <f t="shared" si="54"/>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More than $100,000&lt;BR&gt;&lt;BR&gt;&lt;B&gt;Customer and Partner common circumstances&lt;/B&gt;&lt;BR&gt;Home ownership code = Home owner - HOM&lt;BR&gt;Relationship Qualifier = Blank&lt;BR&gt;Combined Income Limit = More than $99,414 per yr&lt;BR&gt;&lt;BR&gt;&lt;B&gt;Child  circumstances&lt;/B&gt;&lt;BR&gt;Number of Child(ren) = 1&lt;BR&gt;Age of Child = &lt;= 5yr&lt;BR&gt;Principal Care Type = Natural Care&lt;BR&gt;Care Percentage = 100% of Customer's care</v>
      </c>
      <c r="P205" s="157" t="str">
        <f t="shared" si="54"/>
        <v>Index a FTB/NCL with below circumstance description &lt;BR&gt;&lt;BR&gt;&lt;B&gt;Customer  circumstances&lt;/B&gt;&lt;BR&gt;Residential Qualification = AU citizen&lt;BR&gt;Direct Credit details   = Coded&lt;BR&gt;TFN details = Coded&lt;BR&gt;Secondary Earner income = More than $ 27,613&lt;BR&gt;&lt;BR&gt;&lt;B&gt;Partner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Q205" s="157" t="str">
        <f t="shared" si="54"/>
        <v>Index a FTB/NCL with below circumstance description &lt;BR&gt;&lt;BR&gt;&lt;B&gt;Customer  circumstances&lt;/B&gt;&lt;BR&gt;Residential Qualification = AU citizen&lt;BR&gt;Direct Credit details   = Coded&lt;BR&gt;TFN details = Coded&lt;BR&gt;Secondary Earner income = More than $ 27,613&lt;BR&gt;&lt;BR&gt;&lt;B&gt;Partner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More than $99,414 per yr&lt;BR&gt;&lt;BR&gt;&lt;B&gt;Child  circumstances&lt;/B&gt;&lt;BR&gt;Number of Child(ren) = 1&lt;BR&gt;Age of Child = &lt;= 5yr&lt;BR&gt;Principal Care Type = Natural Care&lt;BR&gt;Care Percentage = 100% of Customer's care</v>
      </c>
      <c r="R205" s="157" t="str">
        <f t="shared" si="54"/>
        <v>Index a FTB/NCL with below circumstance description &lt;BR&gt;&lt;BR&gt;&lt;B&gt;Customer  circumstances&lt;/B&gt;&lt;BR&gt;Residential Qualification = AU citizen&lt;BR&gt;Direct Credit details   = Coded&lt;BR&gt;TFN details = Coded&lt;BR&gt;Secondary Earner income = More than $ 27,613&lt;BR&gt;&lt;BR&gt;&lt;B&gt;Partner  circumstances&lt;/B&gt;&lt;BR&gt;Residential Qualification = AU citizen&lt;BR&gt;TFN details = Coded&lt;BR&gt;Primary Earner income = More than $100,000&lt;BR&gt;&lt;BR&gt;&lt;B&gt;Customer and Partner common circumstances&lt;/B&gt;&lt;BR&gt;Home ownership code = Home owner - HOM&lt;BR&gt;Relationship Qualifier = Blank&lt;BR&gt;Combined Income Limit = More than $99,414 per yr&lt;BR&gt;&lt;BR&gt;&lt;B&gt;Child  circumstances&lt;/B&gt;&lt;BR&gt;Number of Child(ren) = 1&lt;BR&gt;Age of Child = &lt;= 5yr&lt;BR&gt;Principal Care Type = Natural Care&lt;BR&gt;Care Percentage = 100% of Customer's care</v>
      </c>
      <c r="S205" s="157" t="str">
        <f t="shared" si="54"/>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ILB&lt;BR&gt;Combined Income Limit = Less than $99,414 per yr&lt;BR&gt;&lt;BR&gt;&lt;B&gt;Child  circumstances&lt;/B&gt;&lt;BR&gt;Number of Child(ren) = 1&lt;BR&gt;Age of Child = &lt;= 5yr&lt;BR&gt;Principal Care Type = Natural Care&lt;BR&gt;Care Percentage = 100% of Customer's care</v>
      </c>
      <c r="T205" s="157" t="str">
        <f t="shared" si="54"/>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ILC&lt;BR&gt;Combined Income Limit = Less than $99,414 per yr&lt;BR&gt;&lt;BR&gt;&lt;B&gt;Child  circumstances&lt;/B&gt;&lt;BR&gt;Number of Child(ren) = 1&lt;BR&gt;Age of Child = &lt;= 5yr&lt;BR&gt;Principal Care Type = Natural Care&lt;BR&gt;Care Percentage = 100% of Customer's care</v>
      </c>
      <c r="U205" s="157" t="str">
        <f t="shared" si="54"/>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ILP&lt;BR&gt;Combined Income Limit = Less than $99,414 per yr&lt;BR&gt;&lt;BR&gt;&lt;B&gt;Child  circumstances&lt;/B&gt;&lt;BR&gt;Number of Child(ren) = 1&lt;BR&gt;Age of Child = &lt;= 5yr&lt;BR&gt;Principal Care Type = Natural Care&lt;BR&gt;Care Percentage = 100% of Customer's care</v>
      </c>
      <c r="V205" s="157" t="str">
        <f t="shared" si="54"/>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0&lt;BR&gt;Combined Income Limit = Less than $99,414 per yr&lt;BR&gt;&lt;BR&gt;&lt;B&gt;Child  circumstances&lt;/B&gt;&lt;BR&gt;Number of Child(ren) = 1&lt;BR&gt;Age of Child = &lt;= 5yr&lt;BR&gt;Principal Care Type = Natural Care&lt;BR&gt;Care Percentage = 100% of Customer's care</v>
      </c>
      <c r="W205" s="157" t="str">
        <f t="shared" si="54"/>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TEC&lt;BR&gt;Combined Income Limit = Less than $99,414 per yr&lt;BR&gt;&lt;BR&gt;&lt;B&gt;Child  circumstances&lt;/B&gt;&lt;BR&gt;Number of Child(ren) = 1&lt;BR&gt;Age of Child = &lt;= 5yr&lt;BR&gt;Principal Care Type = Natural Care&lt;BR&gt;Care Percentage = 100% of Customer's care</v>
      </c>
      <c r="X205" s="157" t="str">
        <f t="shared" si="54"/>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TEP&lt;BR&gt;Combined Income Limit = Less than $99,414 per yr&lt;BR&gt;&lt;BR&gt;&lt;B&gt;Child  circumstances&lt;/B&gt;&lt;BR&gt;Number of Child(ren) = 1&lt;BR&gt;Age of Child = &lt;= 5yr&lt;BR&gt;Principal Care Type = Natural Care&lt;BR&gt;Care Percentage = 100% of Customer's care</v>
      </c>
      <c r="Y205" s="157" t="str">
        <f t="shared" si="54"/>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GAC&lt;BR&gt;Combined Income Limit = Less than $99,414 per yr&lt;BR&gt;&lt;BR&gt;&lt;B&gt;Child  circumstances&lt;/B&gt;&lt;BR&gt;Number of Child(ren) = 1&lt;BR&gt;Age of Child = &lt;= 5yr&lt;BR&gt;Principal Care Type = Natural Care&lt;BR&gt;Care Percentage = 100% of Customer's care</v>
      </c>
      <c r="Z205" s="157" t="str">
        <f t="shared" si="54"/>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GAP&lt;BR&gt;Combined Income Limit = Less than $99,414 per yr&lt;BR&gt;&lt;BR&gt;&lt;B&gt;Child  circumstances&lt;/B&gt;&lt;BR&gt;Number of Child(ren) = 1&lt;BR&gt;Age of Child = &lt;= 5yr&lt;BR&gt;Principal Care Type = Natural Care&lt;BR&gt;Care Percentage = 100% of Customer's care</v>
      </c>
      <c r="AA205" s="157" t="str">
        <f t="shared" si="54"/>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PSB&lt;BR&gt;Combined Income Limit = Less than $99,414 per yr&lt;BR&gt;&lt;BR&gt;&lt;B&gt;Child  circumstances&lt;/B&gt;&lt;BR&gt;Number of Child(ren) = 1&lt;BR&gt;Age of Child = &lt;= 5yr&lt;BR&gt;Principal Care Type = Natural Care&lt;BR&gt;Care Percentage = 100% of Customer's care</v>
      </c>
      <c r="AB205" s="157" t="str">
        <f t="shared" si="54"/>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PSC&lt;BR&gt;Combined Income Limit = Less than $99,414 per yr&lt;BR&gt;&lt;BR&gt;&lt;B&gt;Child  circumstances&lt;/B&gt;&lt;BR&gt;Number of Child(ren) = 1&lt;BR&gt;Age of Child = &lt;= 5yr&lt;BR&gt;Principal Care Type = Natural Care&lt;BR&gt;Care Percentage = 100% of Customer's care</v>
      </c>
      <c r="AC205" s="157" t="str">
        <f t="shared" si="54"/>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PSP&lt;BR&gt;Combined Income Limit = Less than $99,414 per yr&lt;BR&gt;&lt;BR&gt;&lt;B&gt;Child  circumstances&lt;/B&gt;&lt;BR&gt;Number of Child(ren) = 1&lt;BR&gt;Age of Child = &lt;= 5yr&lt;BR&gt;Principal Care Type = Natural Care&lt;BR&gt;Care Percentage = 100% of Customer's care</v>
      </c>
      <c r="AD205" s="157" t="str">
        <f t="shared" si="54"/>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REC&lt;BR&gt;Combined Income Limit = Less than $99,414 per yr&lt;BR&gt;&lt;BR&gt;&lt;B&gt;Child  circumstances&lt;/B&gt;&lt;BR&gt;Number of Child(ren) = 1&lt;BR&gt;Age of Child = &lt;= 5yr&lt;BR&gt;Principal Care Type = Natural Care&lt;BR&gt;Care Percentage = 100% of Customer's care</v>
      </c>
      <c r="AE205" s="157" t="str">
        <f t="shared" si="54"/>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REP&lt;BR&gt;Combined Income Limit = Less than $99,414 per yr&lt;BR&gt;&lt;BR&gt;&lt;B&gt;Child  circumstances&lt;/B&gt;&lt;BR&gt;Number of Child(ren) = 1&lt;BR&gt;Age of Child = &lt;= 5yr&lt;BR&gt;Principal Care Type = Natural Care&lt;BR&gt;Care Percentage = 100% of Customer's care</v>
      </c>
      <c r="AF205" s="157" t="str">
        <f t="shared" si="54"/>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Spouse/Partner Visa Class&lt;BR&gt;TFN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AG205" s="157" t="str">
        <f t="shared" si="54"/>
        <v>Index a FTB/NCL with below circumstance description &lt;BR&gt;&lt;BR&gt;&lt;B&gt;Customer  circumstances&lt;/B&gt;&lt;BR&gt;Residential Qualification = AU citizen&lt;BR&gt;Direct Credit details   = Coded&lt;BR&gt;TFN details = Coded&lt;BR&gt;Secondary Earner income = Less than $21,499&lt;BR&gt;&lt;BR&gt;&lt;B&gt;Partner  circumstances&lt;/B&gt;&lt;BR&gt;Residential Qualification = Temporary Visa Class&lt;BR&gt;TFN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AH205" s="157" t="str">
        <f t="shared" si="54"/>
        <v>Index a FTB/NCL with below circumstance description &lt;BR&gt;&lt;BR&gt;&lt;B&gt;Customer  circumstances&lt;/B&gt;&lt;BR&gt;Residential Qualification = Spouse/Partner Visa Class&lt;BR&gt;Direct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AI205" s="157" t="str">
        <f t="shared" si="54"/>
        <v>Index a FTB/NCL with below circumstance description &lt;BR&gt;&lt;BR&gt;&lt;B&gt;Customer  circumstances&lt;/B&gt;&lt;BR&gt;Residential Qualification = Temporary Visa Class&lt;BR&gt;Direct Credit details   = Coded&lt;BR&gt;TFN details = Coded&lt;BR&gt;Secondary Earner income = Less than $21,499&lt;BR&gt;&lt;BR&gt;&lt;B&gt;Partner  circumstances&lt;/B&gt;&lt;BR&gt;Residential Qualification = AU citizen&lt;BR&gt;TFN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AJ205" s="157" t="str">
        <f t="shared" si="54"/>
        <v>Index a FTB/NCL with below circumstance description &lt;BR&gt;&lt;BR&gt;&lt;B&gt;Customer  circumstances&lt;/B&gt;&lt;BR&gt;Residential Qualification = Spouse/Partner Visa Class&lt;BR&gt;Direct Credit details   = Coded&lt;BR&gt;TFN details = Coded&lt;BR&gt;Secondary Earner income = Less than $21,499&lt;BR&gt;&lt;BR&gt;&lt;B&gt;Partner  circumstances&lt;/B&gt;&lt;BR&gt;Residential Qualification = Temporary Visa Class&lt;BR&gt;TFN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AK205" s="157" t="str">
        <f>CONCATENATE("Index a FTB/NCL with below circumstance description ", AK162)</f>
        <v>Index a FTB/NCL with below circumstance description &lt;BR&gt;&lt;BR&gt;&lt;B&gt;Customer  circumstances&lt;/B&gt;&lt;BR&gt;Residential Qualification = Temporary Visa Class&lt;BR&gt;Direct Credit details   = Coded&lt;BR&gt;TFN details = Coded&lt;BR&gt;Secondary Earner income = Less than $21,499&lt;BR&gt;&lt;BR&gt;&lt;B&gt;Partner  circumstances&lt;/B&gt;&lt;BR&gt;Residential Qualification = Spouse/Partner Visa Class&lt;BR&gt;TFN details = Coded&lt;BR&gt;Primary Earner income = Less than $100,000&lt;BR&gt;&lt;BR&gt;&lt;B&gt;Customer and Partner common circumstances&lt;/B&gt;&lt;BR&gt;Home ownership code = Home owner - HOM&lt;BR&gt;Relationship Qualifier = Blank&lt;BR&gt;Combined Income Limit = Less than $99,414 per yr&lt;BR&gt;&lt;BR&gt;&lt;B&gt;Child  circumstances&lt;/B&gt;&lt;BR&gt;Number of Child(ren) = 1&lt;BR&gt;Age of Child = &lt;= 5yr&lt;BR&gt;Principal Care Type = Natural Care&lt;BR&gt;Care Percentage = 100% of Customer's care</v>
      </c>
      <c r="AL205" s="157" t="str">
        <f t="shared" ref="AL205:CD205" si="55">CONCATENATE("Index a FTB/NCL with below circumstance description ", AL162)</f>
        <v>Index a FTB/NCL with below circumstance description &lt;BR&gt;&lt;BR&gt;&lt;B&gt;Customer  circumstances&lt;/B&gt;&lt;BR&gt;Residential Qualification = AU citizen&lt;BR&gt;Direct Credit details   =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AM205" s="157" t="str">
        <f t="shared" si="55"/>
        <v>Index a FTB/NCL with below circumstance description &lt;BR&gt;&lt;BR&gt;&lt;B&gt;Customer  circumstances&lt;/B&gt;&lt;BR&gt;Residential Qualification = AU citizen&lt;BR&gt;Direct Credit details   = Coded Exemption - FNG&lt;BR&gt;TFN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AN205" s="157" t="str">
        <f t="shared" si="55"/>
        <v>Index a FTB/NCL with below circumstance description &lt;BR&gt;&lt;BR&gt;&lt;B&gt;Customer  circumstances&lt;/B&gt;&lt;BR&gt;Residential Qualification = AU citizen&lt;BR&gt;Direct Credit details   = Not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AO205" s="157" t="str">
        <f t="shared" si="55"/>
        <v>Index a FTB/NCL with below circumstance description &lt;BR&gt;&lt;BR&gt;&lt;B&gt;Customer  circumstances&lt;/B&gt;&lt;BR&gt;Residential Qualification = AU citizen&lt;BR&gt;Direct Credit details   = Coded&lt;BR&gt;TFN details = Not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AP205" s="157" t="str">
        <f t="shared" si="55"/>
        <v>Index a FTB/NCL with below circumstance description &lt;BR&gt;&lt;BR&gt;&lt;B&gt;Customer  circumstances&lt;/B&gt;&lt;BR&gt;Residential Qualification = AU citizen&lt;BR&gt;Direct Credit details   = Coded&lt;BR&gt;TFN details = Coded&lt;BR&gt;Secondary Earner income = More than $ 27,613&lt;BR&gt;Home ownership code = Home owner - HOM&lt;BR&gt;&lt;BR&gt;&lt;BR&gt;&lt;B&gt;Child  circumstances&lt;/B&gt;&lt;BR&gt;Number of Child(ren) = 1&lt;BR&gt;Age of Child = &lt;= 5yr&lt;BR&gt;Principal Care Type = Step Parent&lt;BR&gt;Care Percentage = 100% of Customer's care</v>
      </c>
      <c r="AQ205" s="157" t="str">
        <f t="shared" si="55"/>
        <v>Index a FTB/NCL with below circumstance description &lt;BR&gt;&lt;BR&gt;&lt;B&gt;Customer  circumstances&lt;/B&gt;&lt;BR&gt;Residential Qualification = AU citizen&lt;BR&gt;Direct Credit details   =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AR205" s="157" t="str">
        <f t="shared" si="55"/>
        <v>Index a FTB/NCL with below circumstance description &lt;BR&gt;&lt;BR&gt;&lt;B&gt;Customer  circumstances&lt;/B&gt;&lt;BR&gt;Residential Qualification = AU citizen&lt;BR&gt;Direct Credit details   =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AS205" s="157" t="str">
        <f t="shared" si="55"/>
        <v>Index a FTB/NCL with below circumstance description &lt;BR&gt;&lt;BR&gt;&lt;B&gt;Customer  circumstances&lt;/B&gt;&lt;BR&gt;Residential Qualification = AU citizen&lt;BR&gt;Direct Credit details   =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v>
      </c>
      <c r="AT205" s="157" t="str">
        <f t="shared" si="55"/>
        <v>Index a FTB/NCL with below circumstance description &lt;BR&gt;&lt;BR&gt;&lt;B&gt;Customer  circumstances&lt;/B&gt;&lt;BR&gt;Residential Qualification = AU citizen&lt;BR&gt;Direct Credit details   =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AU205" s="157" t="str">
        <f t="shared" si="55"/>
        <v>Index a FTB/NCL with below circumstance description &lt;BR&gt;&lt;BR&gt;&lt;B&gt;Customer  circumstances&lt;/B&gt;&lt;BR&gt;Residential Qualification = Permanent Resident Visa Class&lt;BR&gt;Direct Credit details   = Coded Exemption - FNG&lt;BR&gt;TFN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AV205" s="157" t="str">
        <f t="shared" si="55"/>
        <v>Index a FTB/NCL with below circumstance description &lt;BR&gt;&lt;BR&gt;&lt;B&gt;Customer  circumstances&lt;/B&gt;&lt;BR&gt;Residential Qualification = Permanent Resident Visa Class&lt;BR&gt;Direct Credit details   = Not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AW205" s="157" t="str">
        <f t="shared" si="55"/>
        <v>Index a FTB/NCL with below circumstance description &lt;BR&gt;&lt;BR&gt;&lt;B&gt;Customer  circumstances&lt;/B&gt;&lt;BR&gt;Residential Qualification = Permanent Resident Visa Class&lt;BR&gt;Direct Credit details   = Coded&lt;BR&gt;TFN details = Not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AX205" s="157" t="str">
        <f t="shared" si="55"/>
        <v>Index a FTB/NCL with below circumstance description &lt;BR&gt;&lt;BR&gt;&lt;B&gt;Customer  circumstances&lt;/B&gt;&lt;BR&gt;Residential Qualification = Permanent Resident Visa Class&lt;BR&gt;Direct Credit details   = Coded&lt;BR&gt;TFN details = Coded&lt;BR&gt;Secondary Earner income = More than $ 27,613&lt;BR&gt;Home ownership code = Home owner - HOM&lt;BR&gt;&lt;BR&gt;&lt;BR&gt;&lt;B&gt;Child  circumstances&lt;/B&gt;&lt;BR&gt;Number of Child(ren) = 1&lt;BR&gt;Age of Child = &lt;= 5yr&lt;BR&gt;Principal Care Type = Adoptive Parent &lt;BR&gt;Care Percentage = 100% of Customer's care</v>
      </c>
      <c r="AY205" s="157" t="str">
        <f t="shared" si="55"/>
        <v>Index a FTB/NCL with below circumstance description &lt;BR&gt;&lt;BR&gt;&lt;B&gt;Customer  circumstances&lt;/B&gt;&lt;BR&gt;Residential Qualification = Permanent Resident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AZ205" s="157" t="str">
        <f t="shared" si="55"/>
        <v>Index a FTB/NCL with below circumstance description &lt;BR&gt;&lt;BR&gt;&lt;B&gt;Customer  circumstances&lt;/B&gt;&lt;BR&gt;Residential Qualification = Permanent Resident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BA205" s="157" t="str">
        <f t="shared" si="55"/>
        <v>Index a FTB/NCL with below circumstance description &lt;BR&gt;&lt;BR&gt;&lt;B&gt;Customer  circumstances&lt;/B&gt;&lt;BR&gt;Residential Qualification = Permanent Resident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BB205" s="157" t="str">
        <f t="shared" si="55"/>
        <v>Index a FTB/NCL with below circumstance description &lt;BR&gt;&lt;BR&gt;&lt;B&gt;Customer  circumstances&lt;/B&gt;&lt;BR&gt;Residential Qualification = Permanent Resident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v>
      </c>
      <c r="BC205" s="157" t="str">
        <f t="shared" si="55"/>
        <v>Index a FTB/NCL with below circumstance description &lt;BR&gt;&lt;BR&gt;&lt;B&gt;Customer  circumstances&lt;/B&gt;&lt;BR&gt;Residential Qualification = Permanent Resident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BD205" s="157" t="str">
        <f t="shared" si="55"/>
        <v>Index a FTB/NCL with below circumstance description &lt;BR&gt;&lt;BR&gt;&lt;B&gt;Customer  circumstances&lt;/B&gt;&lt;BR&gt;Residential Qualification = Spouse/Partner Visa Class&lt;BR&gt;Direct Credit details   = Coded Exemption - FNG&lt;BR&gt;TFN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BE205" s="157" t="str">
        <f t="shared" si="55"/>
        <v>Index a FTB/NCL with below circumstance description &lt;BR&gt;&lt;BR&gt;&lt;B&gt;Customer  circumstances&lt;/B&gt;&lt;BR&gt;Residential Qualification = Spouse/Partner Visa Class&lt;BR&gt;Direct Credit details   = Not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BF205" s="157" t="str">
        <f t="shared" si="55"/>
        <v>Index a FTB/NCL with below circumstance description &lt;BR&gt;&lt;BR&gt;&lt;B&gt;Customer  circumstances&lt;/B&gt;&lt;BR&gt;Residential Qualification = Spouse/Partner Visa Class&lt;BR&gt;Direct Credit details   = Coded&lt;BR&gt;TFN details = Not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BG205" s="157" t="str">
        <f t="shared" si="55"/>
        <v>Index a FTB/NCL with below circumstance description &lt;BR&gt;&lt;BR&gt;&lt;B&gt;Customer  circumstances&lt;/B&gt;&lt;BR&gt;Residential Qualification = Spouse/Partner Visa Class&lt;BR&gt;Direct Credit details   = Coded&lt;BR&gt;TFN details = Coded&lt;BR&gt;Secondary Earner income = More than $ 27,613&lt;BR&gt;Home ownership code = Home owner - HOM&lt;BR&gt;&lt;BR&gt;&lt;BR&gt;&lt;B&gt;Child  circumstances&lt;/B&gt;&lt;BR&gt;Number of Child(ren) = 1&lt;BR&gt;Age of Child = &lt;= 5yr&lt;BR&gt;Principal Care Type = Foster carer&lt;BR&gt;Care Percentage = 100% of Customer's care</v>
      </c>
      <c r="BH205" s="157" t="str">
        <f t="shared" si="55"/>
        <v>Index a FTB/NCL with below circumstance description &lt;BR&gt;&lt;BR&gt;&lt;B&gt;Customer  circumstances&lt;/B&gt;&lt;BR&gt;Residential Qualification = Spouse/Partner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BI205" s="157" t="str">
        <f t="shared" si="55"/>
        <v>Index a FTB/NCL with below circumstance description &lt;BR&gt;&lt;BR&gt;&lt;B&gt;Customer  circumstances&lt;/B&gt;&lt;BR&gt;Residential Qualification = Spouse/Partner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BJ205" s="157" t="str">
        <f t="shared" si="55"/>
        <v>Index a FTB/NCL with below circumstance description &lt;BR&gt;&lt;BR&gt;&lt;B&gt;Customer  circumstances&lt;/B&gt;&lt;BR&gt;Residential Qualification = Spouse/Partner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BK205" s="157" t="str">
        <f t="shared" si="55"/>
        <v>Index a FTB/NCL with below circumstance description &lt;BR&gt;&lt;BR&gt;&lt;B&gt;Customer  circumstances&lt;/B&gt;&lt;BR&gt;Residential Qualification = Spouse/Partner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v>
      </c>
      <c r="BL205" s="157" t="str">
        <f t="shared" si="55"/>
        <v>Index a FTB/NCL with below circumstance description &lt;BR&gt;&lt;BR&gt;&lt;B&gt;Customer  circumstances&lt;/B&gt;&lt;BR&gt;Residential Qualification = Spouse/Partner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BM205" s="157" t="str">
        <f t="shared" si="55"/>
        <v>Index a FTB/NCL with below circumstance description &lt;BR&gt;&lt;BR&gt;&lt;B&gt;Customer  circumstances&lt;/B&gt;&lt;BR&gt;Residential Qualification = Temporary Visa Class&lt;BR&gt;Direct Credit details   = Coded Exemption - FNG&lt;BR&gt;TFN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v>
      </c>
      <c r="BN205" s="157" t="str">
        <f t="shared" si="55"/>
        <v>Index a FTB/NCL with below circumstance description &lt;BR&gt;&lt;BR&gt;&lt;B&gt;Customer  circumstances&lt;/B&gt;&lt;BR&gt;Residential Qualification = Temporary Visa Class&lt;BR&gt;Direct Credit details   = Not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v>
      </c>
      <c r="BO205" s="157" t="str">
        <f t="shared" si="55"/>
        <v>Index a FTB/NCL with below circumstance description &lt;BR&gt;&lt;BR&gt;&lt;B&gt;Customer  circumstances&lt;/B&gt;&lt;BR&gt;Residential Qualification = Temporary Visa Class&lt;BR&gt;Direct Credit details   = Coded&lt;BR&gt;TFN details = Not Coded&lt;BR&gt;Secondary Earner income = Less than $21,499&lt;BR&gt;Home ownership code = Home owner - HOM&lt;BR&gt;&lt;BR&gt;&lt;BR&gt;&lt;B&gt;Child  circumstances&lt;/B&gt;&lt;BR&gt;Number of Child(ren) = 1&lt;BR&gt;Age of Child = &lt;= 5yr&lt;BR&gt;Principal Care Type = Other&lt;BR&gt;Care Percentage = 100% of Customer's care</v>
      </c>
      <c r="BP205" s="157" t="str">
        <f t="shared" si="55"/>
        <v>Index a FTB/NCL with below circumstance description &lt;BR&gt;&lt;BR&gt;&lt;B&gt;Customer  circumstances&lt;/B&gt;&lt;BR&gt;Residential Qualification = Temporary Visa Class&lt;BR&gt;Direct Credit details   = Coded&lt;BR&gt;TFN details = Coded&lt;BR&gt;Secondary Earner income = More than $ 27,613&lt;BR&gt;Home ownership code = Home owner - HOM&lt;BR&gt;&lt;BR&gt;&lt;BR&gt;&lt;B&gt;Child  circumstances&lt;/B&gt;&lt;BR&gt;Number of Child(ren) = 1&lt;BR&gt;Age of Child = &lt;= 5yr&lt;BR&gt;Principal Care Type = Other&lt;BR&gt;Care Percentage = 100% of Customer's care</v>
      </c>
      <c r="BQ205" s="157" t="str">
        <f t="shared" si="55"/>
        <v>Index a FTB/NCL with below circumstance description &lt;BR&gt;&lt;BR&gt;&lt;B&gt;Customer  circumstances&lt;/B&gt;&lt;BR&gt;Residential Qualification = Temporary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BR205" s="157" t="str">
        <f t="shared" si="55"/>
        <v>Index a FTB/NCL with below circumstance description &lt;BR&gt;&lt;BR&gt;&lt;B&gt;Customer  circumstances&lt;/B&gt;&lt;BR&gt;Residential Qualification = Temporary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BS205" s="157" t="str">
        <f t="shared" si="55"/>
        <v>Index a FTB/NCL with below circumstance description &lt;BR&gt;&lt;BR&gt;&lt;B&gt;Customer  circumstances&lt;/B&gt;&lt;BR&gt;Residential Qualification = Temporary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BT205" s="157" t="str">
        <f t="shared" si="55"/>
        <v>Index a FTB/NCL with below circumstance description &lt;BR&gt;&lt;BR&gt;&lt;B&gt;Customer  circumstances&lt;/B&gt;&lt;BR&gt;Residential Qualification = Temporary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v>
      </c>
      <c r="BU205" s="157" t="str">
        <f t="shared" si="55"/>
        <v>Index a FTB/NCL with below circumstance description &lt;BR&gt;&lt;BR&gt;&lt;B&gt;Customer  circumstances&lt;/B&gt;&lt;BR&gt;Residential Qualification = Temporary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BV205" s="157" t="str">
        <f t="shared" si="55"/>
        <v>Index a FTB/NCL with below circumstance description &lt;BR&gt;&lt;BR&gt;&lt;B&gt;Customer  circumstances&lt;/B&gt;&lt;BR&gt;Residential Qualification = Special Category Visa Class&lt;BR&gt;Direct Credit details   = Coded Exemption - FNG&lt;BR&gt;TFN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BW205" s="157" t="str">
        <f t="shared" si="55"/>
        <v>Index a FTB/NCL with below circumstance description &lt;BR&gt;&lt;BR&gt;&lt;B&gt;Customer  circumstances&lt;/B&gt;&lt;BR&gt;Residential Qualification = Special Category Visa Class&lt;BR&gt;Direct Credit details   = Not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BX205" s="157" t="str">
        <f t="shared" si="55"/>
        <v>Index a FTB/NCL with below circumstance description &lt;BR&gt;&lt;BR&gt;&lt;B&gt;Customer  circumstances&lt;/B&gt;&lt;BR&gt;Residential Qualification = Special Category Visa Class&lt;BR&gt;Direct Credit details   = Coded&lt;BR&gt;TFN details = Not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BY205" s="157" t="str">
        <f t="shared" si="55"/>
        <v>Index a FTB/NCL with below circumstance description &lt;BR&gt;&lt;BR&gt;&lt;B&gt;Customer  circumstances&lt;/B&gt;&lt;BR&gt;Residential Qualification = Special Category Visa Class&lt;BR&gt;Direct Credit details   = Coded&lt;BR&gt;TFN details = Coded&lt;BR&gt;Secondary Earner income = More than $ 27,613&lt;BR&gt;Home ownership code = Home owner - HOM&lt;BR&gt;&lt;BR&gt;&lt;BR&gt;&lt;B&gt;Child  circumstances&lt;/B&gt;&lt;BR&gt;Number of Child(ren) = 1&lt;BR&gt;Age of Child = &lt;= 5yr&lt;BR&gt;Principal Care Type = GrandParent&lt;BR&gt;Care Percentage = 100% of Customer's care</v>
      </c>
      <c r="BZ205" s="157" t="str">
        <f t="shared" si="55"/>
        <v>Index a FTB/NCL with below circumstance description &lt;BR&gt;&lt;BR&gt;&lt;B&gt;Customer  circumstances&lt;/B&gt;&lt;BR&gt;Residential Qualification = Special Category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Step Parent&lt;BR&gt;Care Percentage = 100% of Customer's care</v>
      </c>
      <c r="CA205" s="157" t="str">
        <f t="shared" si="55"/>
        <v>Index a FTB/NCL with below circumstance description &lt;BR&gt;&lt;BR&gt;&lt;B&gt;Customer  circumstances&lt;/B&gt;&lt;BR&gt;Residential Qualification = Special Category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Adoptive Parent &lt;BR&gt;Care Percentage = 100% of Customer's care</v>
      </c>
      <c r="CB205" s="157" t="str">
        <f t="shared" si="55"/>
        <v>Index a FTB/NCL with below circumstance description &lt;BR&gt;&lt;BR&gt;&lt;B&gt;Customer  circumstances&lt;/B&gt;&lt;BR&gt;Residential Qualification = Special Category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Foster carer&lt;BR&gt;Care Percentage = 100% of Customer's care</v>
      </c>
      <c r="CC205" s="157" t="str">
        <f t="shared" si="55"/>
        <v>Index a FTB/NCL with below circumstance description &lt;BR&gt;&lt;BR&gt;&lt;B&gt;Customer  circumstances&lt;/B&gt;&lt;BR&gt;Residential Qualification = Special Category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Other&lt;BR&gt;Care Percentage = 100% of Customer's care</v>
      </c>
      <c r="CD205" s="157" t="str">
        <f t="shared" si="55"/>
        <v>Index a FTB/NCL with below circumstance description &lt;BR&gt;&lt;BR&gt;&lt;B&gt;Customer  circumstances&lt;/B&gt;&lt;BR&gt;Residential Qualification = Special Category Visa Class&lt;BR&gt;Direct Credit details   = Coded&lt;BR&gt;TFN details = Coded&lt;BR&gt;Secondary Earner income = Less than $21,499&lt;BR&gt;Home ownership code = Home owner - HOM&lt;BR&gt;&lt;BR&gt;&lt;BR&gt;&lt;B&gt;Child  circumstances&lt;/B&gt;&lt;BR&gt;Number of Child(ren) = 1&lt;BR&gt;Age of Child = &lt;= 5yr&lt;BR&gt;Principal Care Type = GrandParent&lt;BR&gt;Care Percentage = 100% of Customer's care</v>
      </c>
      <c r="CE205" s="157"/>
      <c r="CF205" s="157"/>
      <c r="CG205" s="157"/>
      <c r="CH205" s="157"/>
      <c r="CI205" s="157"/>
      <c r="CJ205" s="157"/>
      <c r="CK205" s="157"/>
      <c r="CL205" s="157"/>
      <c r="CM205" s="157"/>
      <c r="CN205" s="157"/>
      <c r="CO205" s="157"/>
      <c r="CP205" s="157"/>
      <c r="CQ205" s="157"/>
      <c r="CR205" s="157"/>
      <c r="CS205" s="157"/>
      <c r="CT205" s="157"/>
      <c r="CU205" s="157"/>
      <c r="CV205" s="157"/>
      <c r="CW205" s="157"/>
      <c r="CX205" s="157"/>
      <c r="CY205" s="157"/>
      <c r="CZ205" s="157"/>
      <c r="DA205" s="157"/>
      <c r="DB205" s="157"/>
      <c r="DC205" s="157"/>
      <c r="DD205" s="157"/>
      <c r="DE205" s="157"/>
      <c r="DF205" s="157"/>
      <c r="DG205" s="157"/>
      <c r="DH205" s="157"/>
      <c r="DI205" s="157"/>
      <c r="DJ205" s="157"/>
      <c r="DK205" s="157"/>
      <c r="DL205" s="157"/>
      <c r="DM205" s="157"/>
      <c r="DN205" s="157"/>
      <c r="DO205" s="157"/>
      <c r="DP205" s="157"/>
      <c r="DQ205" s="157"/>
      <c r="DR205" s="157"/>
      <c r="DS205" s="157"/>
      <c r="DT205" s="157"/>
      <c r="DU205" s="157"/>
      <c r="DV205" s="157"/>
      <c r="DW205" s="157"/>
      <c r="DX205" s="157"/>
      <c r="DY205" s="157"/>
      <c r="DZ205" s="157"/>
      <c r="EA205" s="157"/>
      <c r="EB205" s="157"/>
      <c r="EC205" s="157"/>
      <c r="ED205" s="157"/>
      <c r="EE205" s="157"/>
      <c r="EF205" s="157"/>
      <c r="EG205" s="157"/>
      <c r="EH205" s="157"/>
      <c r="EI205" s="157"/>
      <c r="EJ205" s="157"/>
      <c r="EK205" s="157"/>
      <c r="EL205" s="157"/>
      <c r="EM205" s="157"/>
      <c r="EN205" s="157"/>
      <c r="EO205" s="157"/>
      <c r="EP205" s="157"/>
      <c r="EQ205" s="157"/>
      <c r="ER205" s="157"/>
      <c r="ES205" s="157"/>
      <c r="ET205" s="157"/>
      <c r="EU205" s="157"/>
      <c r="EV205" s="157"/>
      <c r="EW205" s="157"/>
      <c r="EX205" s="157"/>
      <c r="EY205" s="157"/>
      <c r="EZ205" s="157"/>
      <c r="FA205" s="157"/>
      <c r="FB205" s="157"/>
      <c r="FC205" s="157"/>
      <c r="FD205" s="157"/>
      <c r="FE205" s="157"/>
      <c r="FF205" s="157"/>
      <c r="FG205" s="157"/>
      <c r="FH205" s="157"/>
      <c r="FI205" s="157"/>
      <c r="FJ205" s="157"/>
      <c r="FK205" s="157"/>
      <c r="FL205" s="157"/>
      <c r="FM205" s="157"/>
      <c r="FN205" s="157"/>
      <c r="FO205" s="157"/>
      <c r="FP205" s="157"/>
      <c r="FQ205" s="157"/>
      <c r="FR205" s="157"/>
      <c r="FS205" s="157"/>
      <c r="FT205" s="157"/>
      <c r="FU205" s="157"/>
      <c r="FV205" s="157"/>
      <c r="FW205" s="157"/>
      <c r="FX205" s="157"/>
      <c r="FY205" s="157"/>
      <c r="FZ205" s="157"/>
      <c r="GA205" s="157"/>
      <c r="GB205" s="157"/>
      <c r="GC205" s="157"/>
      <c r="GD205" s="157"/>
      <c r="GE205" s="157"/>
      <c r="GF205" s="157"/>
      <c r="GG205" s="157"/>
      <c r="GH205" s="157"/>
      <c r="GI205" s="157"/>
      <c r="GJ205" s="157"/>
      <c r="GK205" s="157"/>
      <c r="GL205" s="157"/>
      <c r="GM205" s="157"/>
      <c r="GN205" s="157"/>
      <c r="GO205" s="157"/>
      <c r="GP205" s="157"/>
      <c r="GQ205" s="157"/>
      <c r="GR205" s="157"/>
      <c r="GS205" s="157"/>
      <c r="GT205" s="157"/>
      <c r="GU205" s="157"/>
      <c r="GV205" s="157"/>
      <c r="GW205" s="157"/>
      <c r="GX205" s="157"/>
      <c r="GY205" s="157"/>
      <c r="GZ205" s="157"/>
      <c r="HA205" s="157"/>
      <c r="HB205" s="157"/>
      <c r="HC205" s="157"/>
      <c r="HD205" s="157"/>
      <c r="HE205" s="157"/>
      <c r="HF205" s="157"/>
      <c r="HG205" s="157"/>
      <c r="HH205" s="157"/>
      <c r="HI205" s="157"/>
      <c r="HJ205" s="157"/>
      <c r="HK205" s="157"/>
      <c r="HL205" s="157"/>
      <c r="HM205" s="157"/>
      <c r="HN205" s="157"/>
      <c r="HO205" s="157"/>
      <c r="HP205" s="157"/>
      <c r="HQ205" s="157"/>
      <c r="HR205" s="157"/>
      <c r="HS205" s="157"/>
      <c r="HT205" s="157"/>
      <c r="HU205" s="157"/>
      <c r="HV205" s="157"/>
      <c r="HW205" s="157"/>
      <c r="HX205" s="157"/>
      <c r="HY205" s="157"/>
      <c r="HZ205" s="157"/>
      <c r="IA205" s="157"/>
      <c r="IB205" s="157"/>
      <c r="IC205" s="157"/>
      <c r="ID205" s="157"/>
      <c r="IE205" s="157"/>
      <c r="IF205" s="157"/>
      <c r="IG205" s="157"/>
      <c r="IH205" s="157"/>
      <c r="II205" s="157"/>
      <c r="IJ205" s="157"/>
      <c r="IK205" s="157"/>
      <c r="IL205" s="157"/>
      <c r="IM205" s="157"/>
      <c r="IN205" s="157"/>
      <c r="IO205" s="157"/>
    </row>
    <row r="206" spans="2:249" ht="25.5">
      <c r="B206" s="144" t="s">
        <v>470</v>
      </c>
      <c r="C206" s="144" t="s">
        <v>466</v>
      </c>
      <c r="D206" s="122"/>
      <c r="E206" s="122"/>
      <c r="F206" s="122"/>
      <c r="G206" s="122"/>
      <c r="H206" s="122"/>
      <c r="I206" s="122"/>
      <c r="J206" s="122"/>
      <c r="K206" s="122"/>
      <c r="L206" s="122"/>
      <c r="M206" s="122"/>
      <c r="N206" s="122"/>
      <c r="O206" s="122"/>
      <c r="P206" s="122"/>
      <c r="Q206" s="122"/>
      <c r="R206" s="122"/>
      <c r="S206" s="122"/>
      <c r="T206" s="122"/>
      <c r="U206" s="122"/>
      <c r="V206" s="122"/>
      <c r="W206" s="122"/>
      <c r="X206" s="122"/>
      <c r="Y206" s="122"/>
      <c r="Z206" s="122"/>
      <c r="AA206" s="122"/>
      <c r="AB206" s="122"/>
      <c r="AC206" s="122"/>
      <c r="AD206" s="122"/>
      <c r="AE206" s="122"/>
      <c r="AF206" s="122"/>
      <c r="AG206" s="122"/>
      <c r="AH206" s="122"/>
      <c r="AI206" s="122"/>
      <c r="AJ206" s="122"/>
      <c r="AK206" s="122"/>
      <c r="AL206" s="122"/>
      <c r="AM206" s="122"/>
      <c r="AN206" s="122"/>
      <c r="AO206" s="122"/>
      <c r="AP206" s="122"/>
      <c r="AQ206" s="122"/>
      <c r="AR206" s="122"/>
      <c r="AS206" s="122"/>
      <c r="AT206" s="122"/>
      <c r="AU206" s="122"/>
      <c r="AV206" s="122"/>
      <c r="AW206" s="122"/>
      <c r="AX206" s="122"/>
      <c r="AY206" s="122"/>
      <c r="AZ206" s="122"/>
      <c r="BA206" s="122"/>
      <c r="BB206" s="122"/>
      <c r="BC206" s="122"/>
      <c r="BD206" s="122"/>
      <c r="BE206" s="122"/>
      <c r="BF206" s="122"/>
      <c r="BG206" s="122"/>
      <c r="BH206" s="122"/>
      <c r="BI206" s="122"/>
      <c r="BJ206" s="122"/>
      <c r="BK206" s="122"/>
      <c r="BL206" s="122"/>
      <c r="BM206" s="122"/>
      <c r="BN206" s="122"/>
      <c r="BO206" s="122"/>
      <c r="BP206" s="122"/>
      <c r="BQ206" s="122"/>
      <c r="BR206" s="122"/>
      <c r="BS206" s="122"/>
      <c r="BT206" s="122"/>
      <c r="BU206" s="122"/>
      <c r="BV206" s="122"/>
      <c r="BW206" s="122"/>
      <c r="BX206" s="122"/>
      <c r="BY206" s="122"/>
      <c r="BZ206" s="122"/>
      <c r="CA206" s="122"/>
      <c r="CB206" s="122"/>
      <c r="CC206" s="122"/>
      <c r="CD206" s="122"/>
      <c r="CE206" s="122"/>
      <c r="CF206" s="122"/>
      <c r="CG206" s="122"/>
      <c r="CH206" s="122"/>
      <c r="CI206" s="122"/>
      <c r="CJ206" s="122"/>
      <c r="CK206" s="122"/>
      <c r="CL206" s="122"/>
      <c r="CM206" s="122"/>
      <c r="CN206" s="122"/>
      <c r="CO206" s="122"/>
      <c r="CP206" s="122"/>
      <c r="CQ206" s="122"/>
      <c r="CR206" s="122"/>
      <c r="CS206" s="122"/>
      <c r="CT206" s="122"/>
      <c r="CU206" s="122"/>
      <c r="CV206" s="122"/>
      <c r="CW206" s="122"/>
      <c r="CX206" s="122"/>
      <c r="CY206" s="122"/>
      <c r="CZ206" s="122"/>
      <c r="DA206" s="122"/>
      <c r="DB206" s="122"/>
      <c r="DC206" s="122"/>
      <c r="DD206" s="122"/>
      <c r="DE206" s="122"/>
      <c r="DF206" s="122"/>
      <c r="DG206" s="122"/>
      <c r="DH206" s="122"/>
      <c r="DI206" s="122"/>
      <c r="DJ206" s="122"/>
      <c r="DK206" s="122"/>
      <c r="DL206" s="122"/>
      <c r="DM206" s="122"/>
      <c r="DN206" s="122"/>
      <c r="DO206" s="122"/>
      <c r="DP206" s="122"/>
      <c r="DQ206" s="122"/>
      <c r="DR206" s="122"/>
      <c r="DS206" s="122"/>
      <c r="DT206" s="122"/>
      <c r="DU206" s="122"/>
      <c r="DV206" s="122"/>
      <c r="DW206" s="122"/>
      <c r="DX206" s="122"/>
      <c r="DY206" s="122"/>
      <c r="DZ206" s="122"/>
      <c r="EA206" s="122"/>
      <c r="EB206" s="122"/>
      <c r="EC206" s="122"/>
      <c r="ED206" s="122"/>
      <c r="EE206" s="122"/>
      <c r="EF206" s="122"/>
      <c r="EG206" s="122"/>
      <c r="EH206" s="122"/>
      <c r="EI206" s="122"/>
      <c r="EJ206" s="122"/>
      <c r="EK206" s="122"/>
      <c r="EL206" s="122"/>
      <c r="EM206" s="122"/>
      <c r="EN206" s="122"/>
      <c r="EO206" s="122"/>
      <c r="EP206" s="122"/>
      <c r="EQ206" s="122"/>
      <c r="ER206" s="122"/>
      <c r="ES206" s="122"/>
      <c r="ET206" s="122"/>
      <c r="EU206" s="122"/>
      <c r="EV206" s="122"/>
      <c r="EW206" s="122"/>
      <c r="EX206" s="122"/>
      <c r="EY206" s="122"/>
      <c r="EZ206" s="122"/>
      <c r="FA206" s="122"/>
      <c r="FB206" s="122"/>
      <c r="FC206" s="122"/>
      <c r="FD206" s="122"/>
      <c r="FE206" s="122"/>
      <c r="FF206" s="122"/>
      <c r="FG206" s="122"/>
      <c r="FH206" s="122"/>
      <c r="FI206" s="122"/>
      <c r="FJ206" s="122"/>
      <c r="FK206" s="122"/>
      <c r="FL206" s="122"/>
      <c r="FM206" s="122"/>
      <c r="FN206" s="122"/>
      <c r="FO206" s="122"/>
      <c r="FP206" s="122"/>
      <c r="FQ206" s="122"/>
      <c r="FR206" s="122"/>
      <c r="FS206" s="122"/>
      <c r="FT206" s="122"/>
      <c r="FU206" s="122"/>
      <c r="FV206" s="122"/>
      <c r="FW206" s="122"/>
      <c r="FX206" s="122"/>
      <c r="FY206" s="122"/>
      <c r="FZ206" s="122"/>
      <c r="GA206" s="122"/>
      <c r="GB206" s="122"/>
      <c r="GC206" s="122"/>
      <c r="GD206" s="122"/>
      <c r="GE206" s="122"/>
      <c r="GF206" s="122"/>
      <c r="GG206" s="122"/>
      <c r="GH206" s="122"/>
      <c r="GI206" s="122"/>
      <c r="GJ206" s="122"/>
      <c r="GK206" s="122"/>
      <c r="GL206" s="122"/>
      <c r="GM206" s="122"/>
      <c r="GN206" s="122"/>
      <c r="GO206" s="122"/>
      <c r="GP206" s="122"/>
      <c r="GQ206" s="122"/>
      <c r="GR206" s="122"/>
      <c r="GS206" s="122"/>
      <c r="GT206" s="122"/>
      <c r="GU206" s="122"/>
      <c r="GV206" s="122"/>
      <c r="GW206" s="122"/>
      <c r="GX206" s="122"/>
      <c r="GY206" s="122"/>
      <c r="GZ206" s="122"/>
      <c r="HA206" s="122"/>
      <c r="HB206" s="122"/>
      <c r="HC206" s="122"/>
      <c r="HD206" s="122"/>
      <c r="HE206" s="122"/>
      <c r="HF206" s="122"/>
      <c r="HG206" s="122"/>
      <c r="HH206" s="122"/>
      <c r="HI206" s="122"/>
      <c r="HJ206" s="122"/>
      <c r="HK206" s="122"/>
      <c r="HL206" s="122"/>
      <c r="HM206" s="122"/>
      <c r="HN206" s="122"/>
      <c r="HO206" s="122"/>
      <c r="HP206" s="122"/>
      <c r="HQ206" s="122"/>
      <c r="HR206" s="122"/>
      <c r="HS206" s="122"/>
      <c r="HT206" s="122"/>
      <c r="HU206" s="122"/>
      <c r="HV206" s="122"/>
      <c r="HW206" s="122"/>
      <c r="HX206" s="122"/>
      <c r="HY206" s="122"/>
      <c r="HZ206" s="122"/>
      <c r="IA206" s="122"/>
      <c r="IB206" s="122"/>
      <c r="IC206" s="122"/>
      <c r="ID206" s="122"/>
      <c r="IE206" s="122"/>
      <c r="IF206" s="122"/>
      <c r="IG206" s="122"/>
      <c r="IH206" s="122"/>
      <c r="II206" s="122"/>
      <c r="IJ206" s="122"/>
      <c r="IK206" s="122"/>
      <c r="IL206" s="122"/>
      <c r="IM206" s="122"/>
      <c r="IN206" s="122"/>
      <c r="IO206" s="122"/>
    </row>
    <row r="207" spans="2:249" ht="409.5">
      <c r="B207" s="145"/>
      <c r="C207" s="146" t="s">
        <v>16</v>
      </c>
      <c r="D207" s="157" t="str">
        <f>CONCATENATE("Verify Assessment and Eligibility outcome", CHAR(10),CHAR(10),D190)</f>
        <v>Verify Assessment and Eligibility outcome
&lt;BR&gt;&lt;BR&gt;Benefit Status=CUR&lt;BR&gt;Review created on FAL screen=No Review&lt;BR&gt;Customer FTB (A) Status=CUR&lt;BR&gt;Customer FTB (B) Status=CUR&lt;BR&gt;Customer RA Status=N-HOM&lt;BR&gt;Child Eligibility FTB(A)=Y&lt;BR&gt;Child Eligibility FTB(B)=Y</v>
      </c>
      <c r="E207" s="157" t="str">
        <f t="shared" ref="E207:AK207" si="56">CONCATENATE("Verify Assessment and Eligibility outcome", CHAR(10),CHAR(10),E190)</f>
        <v>Verify Assessment and Eligibility outcome
&lt;BR&gt;&lt;BR&gt;Benefit Status=CUR&lt;BR&gt;Review created on FAL screen=No Review&lt;BR&gt;Customer FTB (A) Status=NULL&lt;BR&gt;Customer FTB (B) Status=NULL&lt;BR&gt;Customer RA Status=N-NULL&lt;BR&gt;Child Eligibility FTB(A)=Y&lt;BR&gt;Child Eligibility FTB(B)=Y</v>
      </c>
      <c r="F207" s="157" t="str">
        <f t="shared" si="56"/>
        <v>Verify Assessment and Eligibility outcome
&lt;BR&gt;&lt;BR&gt;Benefit Status=NEF-BAN&lt;BR&gt;Review created on FAL screen=No Review&lt;BR&gt;Customer FTB (A) Status=NULL&lt;BR&gt;Customer FTB (B) Status=NULL&lt;BR&gt;Customer RA Status=N-NULL&lt;BR&gt;Child Eligibility FTB(A)=Y&lt;BR&gt;Child Eligibility FTB(B)=Y</v>
      </c>
      <c r="G207" s="157" t="str">
        <f t="shared" si="56"/>
        <v>Verify Assessment and Eligibility outcome
&lt;BR&gt;&lt;BR&gt;Benefit Status=CUR&lt;BR&gt;Review created on FAL screen=TFN - EXEMPTION REVIEW (TEX)&lt;BR&gt;Customer FTB (A) Status=CUR&lt;BR&gt;Customer FTB (B) Status=NULL&lt;BR&gt;Customer RA Status=N-NULL&lt;BR&gt;Child Eligibility FTB(A)=Y&lt;BR&gt;Child Eligibility FTB(B)=Y</v>
      </c>
      <c r="H207" s="157" t="str">
        <f t="shared" si="56"/>
        <v>Verify Assessment and Eligibility outcome
&lt;BR&gt;&lt;BR&gt;Benefit Status=CUR&lt;BR&gt;Review created on FAL screen=TFN - EXEMPTION REVIEW (TEX)&lt;BR&gt;Customer FTB (A) Status=CUR&lt;BR&gt;Customer FTB (B) Status=NULL&lt;BR&gt;Customer RA Status=N-NULL&lt;BR&gt;Child Eligibility FTB(A)=Y&lt;BR&gt;Child Eligibility FTB(B)=Y</v>
      </c>
      <c r="I207" s="157" t="str">
        <f t="shared" si="56"/>
        <v>Verify Assessment and Eligibility outcome
&lt;BR&gt;&lt;BR&gt;Benefit Status=NEF-NTP&lt;BR&gt;Review created on FAL screen=No Review&lt;BR&gt;Customer FTB (A) Status=NEF-NTP&lt;BR&gt;Customer FTB (B) Status=NEF-NTP&lt;BR&gt;Customer RA Status=N-NULL&lt;BR&gt;Child Eligibility FTB(A)=Y&lt;BR&gt;Child Eligibility FTB(B)=Y</v>
      </c>
      <c r="J207" s="157" t="str">
        <f t="shared" si="56"/>
        <v>Verify Assessment and Eligibility outcome
&lt;BR&gt;&lt;BR&gt;Benefit Status=NEF-NTC&lt;BR&gt;Review created on FAL screen=TFN - EXEMPTION REVIEW (TEX)&lt;BR&gt;Customer FTB (A) Status=NULL&lt;BR&gt;Customer FTB (B) Status=NULL&lt;BR&gt;Customer RA Status=N-NULL&lt;BR&gt;Child Eligibility FTB(A)=Y&lt;BR&gt;Child Eligibility FTB(B)=Y</v>
      </c>
      <c r="K207" s="157" t="str">
        <f t="shared" si="56"/>
        <v>Verify Assessment and Eligibility outcome
&lt;BR&gt;&lt;BR&gt;Benefit Status=NEF-NTC&lt;BR&gt;Review created on FAL screen=TFN - EXEMPTION REVIEW (TEX)&lt;BR&gt;Customer FTB (A) Status=NULL&lt;BR&gt;Customer FTB (B) Status=NULL&lt;BR&gt;Customer RA Status=N-NULL&lt;BR&gt;Child Eligibility FTB(A)=Y&lt;BR&gt;Child Eligibility FTB(B)=Y</v>
      </c>
      <c r="L207" s="157" t="str">
        <f t="shared" si="56"/>
        <v>Verify Assessment and Eligibility outcome
&lt;BR&gt;&lt;BR&gt;Benefit Status=NEF-NTC&lt;BR&gt;Review created on FAL screen=TFN - EXEMPTION REVIEW (TEX)&lt;BR&gt;Customer FTB (A) Status=NULL&lt;BR&gt;Customer FTB (B) Status=NULL&lt;BR&gt;Customer RA Status=N-NULL&lt;BR&gt;Child Eligibility FTB(A)=Y&lt;BR&gt;Child Eligibility FTB(B)=Y</v>
      </c>
      <c r="M207" s="157" t="str">
        <f t="shared" si="56"/>
        <v>Verify Assessment and Eligibility outcome
&lt;BR&gt;&lt;BR&gt;Benefit Status=NEF-NTB&lt;BR&gt;Review created on FAL screen=TFN - EXEMPTION REVIEW (TEX)&lt;BR&gt;Customer FTB (A) Status=NULL&lt;BR&gt;Customer FTB (B) Status=NULL&lt;BR&gt;Customer RA Status=N-NULL&lt;BR&gt;Child Eligibility FTB(A)=Y&lt;BR&gt;Child Eligibility FTB(B)=Y</v>
      </c>
      <c r="N207" s="157" t="str">
        <f t="shared" si="56"/>
        <v>Verify Assessment and Eligibility outcome
&lt;BR&gt;&lt;BR&gt;Benefit Status=CUR&lt;BR&gt;Review created on FAL screen=No Review&lt;BR&gt;Customer FTB (A) Status=CAN-INC&lt;BR&gt;Customer FTB (B) Status=CUR&lt;BR&gt;Customer RA Status=N-NULL&lt;BR&gt;Child Eligibility FTB(A)=Y&lt;BR&gt;Child Eligibility FTB(B)=Y</v>
      </c>
      <c r="O207" s="157" t="str">
        <f t="shared" si="56"/>
        <v>Verify Assessment and Eligibility outcome
&lt;BR&gt;&lt;BR&gt;Benefit Status=REJ-INC&lt;BR&gt;Review created on FAL screen=No Review&lt;BR&gt;Customer FTB (A) Status=CAN-INC&lt;BR&gt;Customer FTB (B) Status=REJ-IEU&lt;BR&gt;Customer RA Status=N-NULL&lt;BR&gt;Child Eligibility FTB(A)=Y&lt;BR&gt;Child Eligibility FTB(B)=Y</v>
      </c>
      <c r="P207" s="157" t="str">
        <f t="shared" si="56"/>
        <v>Verify Assessment and Eligibility outcome
&lt;BR&gt;&lt;BR&gt;Benefit Status=CUR&lt;BR&gt;Review created on FAL screen=No Review&lt;BR&gt;Customer FTB (A) Status=CUR&lt;BR&gt;Customer FTB (B) Status=REJ-INC&lt;BR&gt;Customer RA Status=N-HOM&lt;BR&gt;Child Eligibility FTB(A)=Y&lt;BR&gt;Child Eligibility FTB(B)=Y</v>
      </c>
      <c r="Q207" s="157" t="str">
        <f t="shared" si="56"/>
        <v>Verify Assessment and Eligibility outcome
&lt;BR&gt;&lt;BR&gt;Benefit Status=REJ-INC&lt;BR&gt;Review created on FAL screen=No Review&lt;BR&gt;Customer FTB (A) Status=CAN-INC&lt;BR&gt;Customer FTB (B) Status=REJ-INC&lt;BR&gt;Customer RA Status=N-NULL&lt;BR&gt;Child Eligibility FTB(A)=Y&lt;BR&gt;Child Eligibility FTB(B)=Y</v>
      </c>
      <c r="R207" s="157" t="str">
        <f t="shared" si="56"/>
        <v>Verify Assessment and Eligibility outcome
&lt;BR&gt;&lt;BR&gt;Benefit Status=REJ-INC&lt;BR&gt;Review created on FAL screen=No Review&lt;BR&gt;Customer FTB (A) Status=CAN-INC&lt;BR&gt;Customer FTB (B) Status=REJ-INC&lt;BR&gt;Customer RA Status=N-NULL&lt;BR&gt;Child Eligibility FTB(A)=Y&lt;BR&gt;Child Eligibility FTB(B)=Y</v>
      </c>
      <c r="S207" s="157" t="str">
        <f t="shared" si="56"/>
        <v>Verify Assessment and Eligibility outcome
&lt;BR&gt;&lt;BR&gt;Benefit Status=CUR&lt;BR&gt;Review created on FAL screen=No Review&lt;BR&gt;Customer FTB (A) Status=CUR&lt;BR&gt;Customer FTB (B) Status=CUR&lt;BR&gt;Customer RA Status=N-HOM&lt;BR&gt;Child Eligibility FTB(A)=Y&lt;BR&gt;Child Eligibility FTB(B)=Y</v>
      </c>
      <c r="T207" s="157" t="str">
        <f t="shared" si="56"/>
        <v>Verify Assessment and Eligibility outcome
&lt;BR&gt;&lt;BR&gt;Benefit Status=CUR&lt;BR&gt;Review created on FAL screen=No Review&lt;BR&gt;Customer FTB (A) Status=CUR&lt;BR&gt;Customer FTB (B) Status=CUR&lt;BR&gt;Customer RA Status=N-HOM&lt;BR&gt;Child Eligibility FTB(A)=Y&lt;BR&gt;Child Eligibility FTB(B)=Y</v>
      </c>
      <c r="U207" s="157" t="str">
        <f t="shared" si="56"/>
        <v>Verify Assessment and Eligibility outcome
&lt;BR&gt;&lt;BR&gt;Benefit Status=CUR&lt;BR&gt;Review created on FAL screen=No Review&lt;BR&gt;Customer FTB (A) Status=CUR&lt;BR&gt;Customer FTB (B) Status=CUR&lt;BR&gt;Customer RA Status=N-HOM&lt;BR&gt;Child Eligibility FTB(A)=Y&lt;BR&gt;Child Eligibility FTB(B)=Y</v>
      </c>
      <c r="V207" s="157" t="str">
        <f t="shared" si="56"/>
        <v>Verify Assessment and Eligibility outcome
&lt;BR&gt;&lt;BR&gt;Benefit Status=CUR&lt;BR&gt;Review created on FAL screen=No Review&lt;BR&gt;Customer FTB (A) Status=CUR&lt;BR&gt;Customer FTB (B) Status=CUR&lt;BR&gt;Customer RA Status=N-HOM&lt;BR&gt;Child Eligibility FTB(A)=Y&lt;BR&gt;Child Eligibility FTB(B)=Y</v>
      </c>
      <c r="W207" s="157" t="str">
        <f t="shared" si="56"/>
        <v>Verify Assessment and Eligibility outcome
&lt;BR&gt;&lt;BR&gt;Benefit Status=CUR&lt;BR&gt;Review created on FAL screen=No Review&lt;BR&gt;Customer FTB (A) Status=CUR&lt;BR&gt;Customer FTB (B) Status=CUR&lt;BR&gt;Customer RA Status=N-HOM&lt;BR&gt;Child Eligibility FTB(A)=Y&lt;BR&gt;Child Eligibility FTB(B)=Y</v>
      </c>
      <c r="X207" s="157" t="str">
        <f t="shared" si="56"/>
        <v>Verify Assessment and Eligibility outcome
&lt;BR&gt;&lt;BR&gt;Benefit Status=CUR&lt;BR&gt;Review created on FAL screen=No Review&lt;BR&gt;Customer FTB (A) Status=CUR&lt;BR&gt;Customer FTB (B) Status=CUR&lt;BR&gt;Customer RA Status=N-HOM&lt;BR&gt;Child Eligibility FTB(A)=Y&lt;BR&gt;Child Eligibility FTB(B)=Y</v>
      </c>
      <c r="Y207" s="157" t="str">
        <f t="shared" si="56"/>
        <v>Verify Assessment and Eligibility outcome
&lt;BR&gt;&lt;BR&gt;Benefit Status=CUR&lt;BR&gt;Review created on FAL screen=No Review&lt;BR&gt;Customer FTB (A) Status=CUR&lt;BR&gt;Customer FTB (B) Status=CUR&lt;BR&gt;Customer RA Status=N-HOM&lt;BR&gt;Child Eligibility FTB(A)=Y&lt;BR&gt;Child Eligibility FTB(B)=Y</v>
      </c>
      <c r="Z207" s="157" t="str">
        <f t="shared" si="56"/>
        <v>Verify Assessment and Eligibility outcome
&lt;BR&gt;&lt;BR&gt;Benefit Status=CUR&lt;BR&gt;Review created on FAL screen=No Review&lt;BR&gt;Customer FTB (A) Status=CUR&lt;BR&gt;Customer FTB (B) Status=CUR&lt;BR&gt;Customer RA Status=N-HOM&lt;BR&gt;Child Eligibility FTB(A)=Y&lt;BR&gt;Child Eligibility FTB(B)=Y</v>
      </c>
      <c r="AA207" s="157" t="str">
        <f t="shared" si="56"/>
        <v>Verify Assessment and Eligibility outcome
&lt;BR&gt;&lt;BR&gt;Benefit Status=CUR&lt;BR&gt;Review created on FAL screen=No Review&lt;BR&gt;Customer FTB (A) Status=CUR&lt;BR&gt;Customer FTB (B) Status=CUR&lt;BR&gt;Customer RA Status=N-HOM&lt;BR&gt;Child Eligibility FTB(A)=Y&lt;BR&gt;Child Eligibility FTB(B)=Y</v>
      </c>
      <c r="AB207" s="157" t="str">
        <f t="shared" si="56"/>
        <v>Verify Assessment and Eligibility outcome
&lt;BR&gt;&lt;BR&gt;Benefit Status=CUR&lt;BR&gt;Review created on FAL screen=No Review&lt;BR&gt;Customer FTB (A) Status=CUR&lt;BR&gt;Customer FTB (B) Status=CUR&lt;BR&gt;Customer RA Status=N-HOM&lt;BR&gt;Child Eligibility FTB(A)=Y&lt;BR&gt;Child Eligibility FTB(B)=Y</v>
      </c>
      <c r="AC207" s="157" t="str">
        <f t="shared" si="56"/>
        <v>Verify Assessment and Eligibility outcome
&lt;BR&gt;&lt;BR&gt;Benefit Status=CUR&lt;BR&gt;Review created on FAL screen=No Review&lt;BR&gt;Customer FTB (A) Status=CUR&lt;BR&gt;Customer FTB (B) Status=CUR&lt;BR&gt;Customer RA Status=N-HOM&lt;BR&gt;Child Eligibility FTB(A)=Y&lt;BR&gt;Child Eligibility FTB(B)=Y</v>
      </c>
      <c r="AD207" s="157" t="str">
        <f t="shared" si="56"/>
        <v>Verify Assessment and Eligibility outcome
&lt;BR&gt;&lt;BR&gt;Benefit Status=CUR&lt;BR&gt;Review created on FAL screen=No Review&lt;BR&gt;Customer FTB (A) Status=CUR&lt;BR&gt;Customer FTB (B) Status=CUR&lt;BR&gt;Customer RA Status=N-HOM&lt;BR&gt;Child Eligibility FTB(A)=Y&lt;BR&gt;Child Eligibility FTB(B)=Y</v>
      </c>
      <c r="AE207" s="157" t="str">
        <f t="shared" si="56"/>
        <v>Verify Assessment and Eligibility outcome
&lt;BR&gt;&lt;BR&gt;Benefit Status=CUR&lt;BR&gt;Review created on FAL screen=No Review&lt;BR&gt;Customer FTB (A) Status=CUR&lt;BR&gt;Customer FTB (B) Status=CUR&lt;BR&gt;Customer RA Status=N-HOM&lt;BR&gt;Child Eligibility FTB(A)=Y&lt;BR&gt;Child Eligibility FTB(B)=Y</v>
      </c>
      <c r="AF207" s="157" t="str">
        <f t="shared" si="56"/>
        <v>Verify Assessment and Eligibility outcome
&lt;BR&gt;&lt;BR&gt;Benefit Status=CUR&lt;BR&gt;Review created on FAL screen=No Review&lt;BR&gt;Customer FTB (A) Status=CUR&lt;BR&gt;Customer FTB (B) Status=CUR&lt;BR&gt;Customer RA Status=N-HOM&lt;BR&gt;Child Eligibility FTB(A)=Y&lt;BR&gt;Child Eligibility FTB(B)=Y</v>
      </c>
      <c r="AG207" s="157" t="str">
        <f t="shared" si="56"/>
        <v>Verify Assessment and Eligibility outcome
&lt;BR&gt;&lt;BR&gt;Benefit Status=CUR&lt;BR&gt;Review created on FAL screen=No Review&lt;BR&gt;Customer FTB (A) Status=CUR&lt;BR&gt;Customer FTB (B) Status=CUR&lt;BR&gt;Customer RA Status=N-HOM&lt;BR&gt;Child Eligibility FTB(A)=Y&lt;BR&gt;Child Eligibility FTB(B)=Y</v>
      </c>
      <c r="AH207" s="157" t="str">
        <f t="shared" si="56"/>
        <v>Verify Assessment and Eligibility outcome
&lt;BR&gt;&lt;BR&gt;Benefit Status=CUR&lt;BR&gt;Review created on FAL screen=No Review&lt;BR&gt;Customer FTB (A) Status=CUR&lt;BR&gt;Customer FTB (B) Status=CUR&lt;BR&gt;Customer RA Status=N-HOM&lt;BR&gt;Child Eligibility FTB(A)=Y&lt;BR&gt;Child Eligibility FTB(B)=Y</v>
      </c>
      <c r="AI207" s="157" t="str">
        <f t="shared" si="56"/>
        <v>Verify Assessment and Eligibility outcome
&lt;BR&gt;&lt;BR&gt;Benefit Status=CUR&lt;BR&gt;Review created on FAL screen=No Review&lt;BR&gt;Customer FTB (A) Status=REJ-NRQ&lt;BR&gt;Customer FTB (B) Status=REJ-NRQ&lt;BR&gt;Customer RA Status=N-NULL&lt;BR&gt;Child Eligibility FTB(A)=Y&lt;BR&gt;Child Eligibility FTB(B)=Y</v>
      </c>
      <c r="AJ207" s="157" t="str">
        <f t="shared" si="56"/>
        <v>Verify Assessment and Eligibility outcome
&lt;BR&gt;&lt;BR&gt;Benefit Status=CUR&lt;BR&gt;Review created on FAL screen=No Review&lt;BR&gt;Customer FTB (A) Status=CUR&lt;BR&gt;Customer FTB (B) Status=CUR&lt;BR&gt;Customer RA Status=N-HOM&lt;BR&gt;Child Eligibility FTB(A)=Y&lt;BR&gt;Child Eligibility FTB(B)=Y</v>
      </c>
      <c r="AK207" s="157" t="str">
        <f t="shared" si="56"/>
        <v>Verify Assessment and Eligibility outcome
&lt;BR&gt;&lt;BR&gt;Benefit Status=CUR&lt;BR&gt;Review created on FAL screen=No Review&lt;BR&gt;Customer FTB (A) Status=REJ-NRQ&lt;BR&gt;Customer FTB (B) Status=REJ-NRQ&lt;BR&gt;Customer RA Status=N-NULL&lt;BR&gt;Child Eligibility FTB(A)=Y&lt;BR&gt;Child Eligibility FTB(B)=Y</v>
      </c>
      <c r="AL207" s="157" t="str">
        <f t="shared" ref="AL207:AP207" si="57">CONCATENATE("Verify Assessment and Eligibility outcome", CHAR(10),CHAR(10),AL190)</f>
        <v>Verify Assessment and Eligibility outcome
&lt;BR&gt;&lt;BR&gt;Benefit Status=CUR&lt;BR&gt;Review created on FAL screen=No Review&lt;BR&gt;Customer FTB (A) Status=CUR&lt;BR&gt;Customer FTB (B) Status=CUR&lt;BR&gt;Customer RA Status=N-HOM&lt;BR&gt;Child Eligibility FTB(A)=Y&lt;BR&gt;Child Eligibility FTB(B)=Y</v>
      </c>
      <c r="AM207" s="157" t="str">
        <f t="shared" si="57"/>
        <v>Verify Assessment and Eligibility outcome
&lt;BR&gt;&lt;BR&gt;Benefit Status=CUR&lt;BR&gt;Review created on FAL screen=No Review&lt;BR&gt;Customer FTB (A) Status=CUR&lt;BR&gt;Customer FTB (B) Status=CUR&lt;BR&gt;Customer RA Status=N-HOM&lt;BR&gt;Child Eligibility FTB(A)=Y&lt;BR&gt;Child Eligibility FTB(B)=Y</v>
      </c>
      <c r="AN207" s="157" t="str">
        <f t="shared" si="57"/>
        <v>Verify Assessment and Eligibility outcome
&lt;BR&gt;&lt;BR&gt;Benefit Status=NEF-BAN&lt;BR&gt;Review created on FAL screen=No Review&lt;BR&gt;Customer FTB (A) Status=NULL&lt;BR&gt;Customer FTB (B) Status=NULL&lt;BR&gt;Customer RA Status=N-NULL&lt;BR&gt;Child Eligibility FTB(A)=Y&lt;BR&gt;Child Eligibility FTB(B)=Y</v>
      </c>
      <c r="AO207" s="157" t="str">
        <f t="shared" si="57"/>
        <v>Verify Assessment and Eligibility outcome
&lt;BR&gt;&lt;BR&gt;Benefit Status=NEF-NTC&lt;BR&gt;Review created on FAL screen=No Review&lt;BR&gt;Customer FTB (A) Status=NULL&lt;BR&gt;Customer FTB (B) Status=NULL&lt;BR&gt;Customer RA Status=N-NULL&lt;BR&gt;Child Eligibility FTB(A)=Y&lt;BR&gt;Child Eligibility FTB(B)=Y</v>
      </c>
      <c r="AP207" s="157" t="str">
        <f t="shared" si="57"/>
        <v>Verify Assessment and Eligibility outcome
&lt;BR&gt;&lt;BR&gt;Benefit Status=REJ-INC&lt;BR&gt;Review created on FAL screen=No Review&lt;BR&gt;Customer FTB (A) Status=NULL&lt;BR&gt;Customer FTB (B) Status=NULL&lt;BR&gt;Customer RA Status=N-NULL&lt;BR&gt;Child Eligibility FTB(A)=Y&lt;BR&gt;Child Eligibility FTB(B)=Y</v>
      </c>
      <c r="AQ207" s="157" t="str">
        <f t="shared" ref="AQ207:AR207" si="58">CONCATENATE("Verify Assessment and Eligibility outcome", CHAR(10),CHAR(10),AQ190)</f>
        <v>Verify Assessment and Eligibility outcome
&lt;BR&gt;&lt;BR&gt;Benefit Status=CUR&lt;BR&gt;Review created on FAL screen=No Review&lt;BR&gt;Customer FTB (A) Status=CUR&lt;BR&gt;Customer FTB (B) Status=CUR&lt;BR&gt;Customer RA Status=N-HOM&lt;BR&gt;Child Eligibility FTB(A)=Y&lt;BR&gt;Child Eligibility FTB(B)=Y</v>
      </c>
      <c r="AR207" s="157" t="str">
        <f t="shared" si="58"/>
        <v>Verify Assessment and Eligibility outcome
&lt;BR&gt;&lt;BR&gt;Benefit Status=CUR&lt;BR&gt;Review created on FAL screen=No Review&lt;BR&gt;Customer FTB (A) Status=CUR&lt;BR&gt;Customer FTB (B) Status=CUR&lt;BR&gt;Customer RA Status=N-HOM&lt;BR&gt;Child Eligibility FTB(A)=Y&lt;BR&gt;Child Eligibility FTB(B)=Y</v>
      </c>
      <c r="AS207" s="157" t="str">
        <f t="shared" ref="AS207:CD207" si="59">CONCATENATE("Verify Assessment and Eligibility outcome", CHAR(10),CHAR(10),AS190)</f>
        <v>Verify Assessment and Eligibility outcome
&lt;BR&gt;&lt;BR&gt;Benefit Status=CUR&lt;BR&gt;Review created on FAL screen=No Review&lt;BR&gt;Customer FTB (A) Status=CUR&lt;BR&gt;Customer FTB (B) Status=CUR&lt;BR&gt;Customer RA Status=N-HOM&lt;BR&gt;Child Eligibility FTB(A)=Y&lt;BR&gt;Child Eligibility FTB(B)=Y</v>
      </c>
      <c r="AT207" s="157" t="str">
        <f t="shared" si="59"/>
        <v>Verify Assessment and Eligibility outcome
&lt;BR&gt;&lt;BR&gt;Benefit Status=CUR&lt;BR&gt;Review created on FAL screen=No Review&lt;BR&gt;Customer FTB (A) Status=CUR&lt;BR&gt;Customer FTB (B) Status=CUR&lt;BR&gt;Customer RA Status=N-HOM&lt;BR&gt;Child Eligibility FTB(A)=Y&lt;BR&gt;Child Eligibility FTB(B)=Y</v>
      </c>
      <c r="AU207" s="157" t="str">
        <f t="shared" si="59"/>
        <v>Verify Assessment and Eligibility outcome
&lt;BR&gt;&lt;BR&gt;Benefit Status=CUR&lt;BR&gt;Review created on FAL screen=No Review&lt;BR&gt;Customer FTB (A) Status=CUR&lt;BR&gt;Customer FTB (B) Status=CUR&lt;BR&gt;Customer RA Status=N-HOM&lt;BR&gt;Child Eligibility FTB(A)=Y&lt;BR&gt;Child Eligibility FTB(B)=Y</v>
      </c>
      <c r="AV207" s="157" t="str">
        <f t="shared" si="59"/>
        <v>Verify Assessment and Eligibility outcome
&lt;BR&gt;&lt;BR&gt;Benefit Status=NEF-BAN&lt;BR&gt;Review created on FAL screen=No Review&lt;BR&gt;Customer FTB (A) Status=NULL&lt;BR&gt;Customer FTB (B) Status=NULL&lt;BR&gt;Customer RA Status=N-NULL&lt;BR&gt;Child Eligibility FTB(A)=Y&lt;BR&gt;Child Eligibility FTB(B)=Y</v>
      </c>
      <c r="AW207" s="157" t="str">
        <f t="shared" si="59"/>
        <v>Verify Assessment and Eligibility outcome
&lt;BR&gt;&lt;BR&gt;Benefit Status=NEF-NTC&lt;BR&gt;Review created on FAL screen=No Review&lt;BR&gt;Customer FTB (A) Status=NULL&lt;BR&gt;Customer FTB (B) Status=NULL&lt;BR&gt;Customer RA Status=N-NULL&lt;BR&gt;Child Eligibility FTB(A)=Y&lt;BR&gt;Child Eligibility FTB(B)=Y</v>
      </c>
      <c r="AX207" s="157" t="str">
        <f t="shared" si="59"/>
        <v>Verify Assessment and Eligibility outcome
&lt;BR&gt;&lt;BR&gt;Benefit Status=REJ-INC&lt;BR&gt;Review created on FAL screen=No Review&lt;BR&gt;Customer FTB (A) Status=NULL&lt;BR&gt;Customer FTB (B) Status=NULL&lt;BR&gt;Customer RA Status=N-NULL&lt;BR&gt;Child Eligibility FTB(A)=Y&lt;BR&gt;Child Eligibility FTB(B)=Y</v>
      </c>
      <c r="AY207" s="157" t="str">
        <f t="shared" si="59"/>
        <v>Verify Assessment and Eligibility outcome
&lt;BR&gt;&lt;BR&gt;Benefit Status=CUR&lt;BR&gt;Review created on FAL screen=No Review&lt;BR&gt;Customer FTB (A) Status=CUR&lt;BR&gt;Customer FTB (B) Status=CUR&lt;BR&gt;Customer RA Status=N-HOM&lt;BR&gt;Child Eligibility FTB(A)=Y&lt;BR&gt;Child Eligibility FTB(B)=Y</v>
      </c>
      <c r="AZ207" s="157" t="str">
        <f t="shared" si="59"/>
        <v>Verify Assessment and Eligibility outcome
&lt;BR&gt;&lt;BR&gt;Benefit Status=CUR&lt;BR&gt;Review created on FAL screen=No Review&lt;BR&gt;Customer FTB (A) Status=CUR&lt;BR&gt;Customer FTB (B) Status=CUR&lt;BR&gt;Customer RA Status=N-HOM&lt;BR&gt;Child Eligibility FTB(A)=Y&lt;BR&gt;Child Eligibility FTB(B)=Y</v>
      </c>
      <c r="BA207" s="157" t="str">
        <f t="shared" si="59"/>
        <v>Verify Assessment and Eligibility outcome
&lt;BR&gt;&lt;BR&gt;Benefit Status=CUR&lt;BR&gt;Review created on FAL screen=No Review&lt;BR&gt;Customer FTB (A) Status=CUR&lt;BR&gt;Customer FTB (B) Status=CUR&lt;BR&gt;Customer RA Status=N-HOM&lt;BR&gt;Child Eligibility FTB(A)=Y&lt;BR&gt;Child Eligibility FTB(B)=Y</v>
      </c>
      <c r="BB207" s="157" t="str">
        <f t="shared" si="59"/>
        <v>Verify Assessment and Eligibility outcome
&lt;BR&gt;&lt;BR&gt;Benefit Status=CUR&lt;BR&gt;Review created on FAL screen=No Review&lt;BR&gt;Customer FTB (A) Status=CUR&lt;BR&gt;Customer FTB (B) Status=CUR&lt;BR&gt;Customer RA Status=N-HOM&lt;BR&gt;Child Eligibility FTB(A)=Y&lt;BR&gt;Child Eligibility FTB(B)=Y</v>
      </c>
      <c r="BC207" s="157" t="str">
        <f t="shared" si="59"/>
        <v>Verify Assessment and Eligibility outcome
&lt;BR&gt;&lt;BR&gt;Benefit Status=CUR&lt;BR&gt;Review created on FAL screen=No Review&lt;BR&gt;Customer FTB (A) Status=CUR&lt;BR&gt;Customer FTB (B) Status=CUR&lt;BR&gt;Customer RA Status=N-HOM&lt;BR&gt;Child Eligibility FTB(A)=Y&lt;BR&gt;Child Eligibility FTB(B)=Y</v>
      </c>
      <c r="BD207" s="157" t="str">
        <f t="shared" si="59"/>
        <v>Verify Assessment and Eligibility outcome
&lt;BR&gt;&lt;BR&gt;Benefit Status=CUR&lt;BR&gt;Review created on FAL screen=No Review&lt;BR&gt;Customer FTB (A) Status=CUR&lt;BR&gt;Customer FTB (B) Status=CUR&lt;BR&gt;Customer RA Status=N-HOM&lt;BR&gt;Child Eligibility FTB(A)=Y&lt;BR&gt;Child Eligibility FTB(B)=Y</v>
      </c>
      <c r="BE207" s="157" t="str">
        <f t="shared" si="59"/>
        <v>Verify Assessment and Eligibility outcome
&lt;BR&gt;&lt;BR&gt;Benefit Status=NEF-BAN&lt;BR&gt;Review created on FAL screen=No Review&lt;BR&gt;Customer FTB (A) Status=NULL&lt;BR&gt;Customer FTB (B) Status=NULL&lt;BR&gt;Customer RA Status=N-NULL&lt;BR&gt;Child Eligibility FTB(A)=Y&lt;BR&gt;Child Eligibility FTB(B)=Y</v>
      </c>
      <c r="BF207" s="157" t="str">
        <f t="shared" si="59"/>
        <v>Verify Assessment and Eligibility outcome
&lt;BR&gt;&lt;BR&gt;Benefit Status=NEF-NTC&lt;BR&gt;Review created on FAL screen=No Review&lt;BR&gt;Customer FTB (A) Status=NULL&lt;BR&gt;Customer FTB (B) Status=NULL&lt;BR&gt;Customer RA Status=N-NULL&lt;BR&gt;Child Eligibility FTB(A)=Y&lt;BR&gt;Child Eligibility FTB(B)=Y</v>
      </c>
      <c r="BG207" s="157" t="str">
        <f t="shared" si="59"/>
        <v>Verify Assessment and Eligibility outcome
&lt;BR&gt;&lt;BR&gt;Benefit Status=REJ-INC&lt;BR&gt;Review created on FAL screen=No Review&lt;BR&gt;Customer FTB (A) Status=NULL&lt;BR&gt;Customer FTB (B) Status=NULL&lt;BR&gt;Customer RA Status=N-NULL&lt;BR&gt;Child Eligibility FTB(A)=Y&lt;BR&gt;Child Eligibility FTB(B)=Y</v>
      </c>
      <c r="BH207" s="157" t="str">
        <f t="shared" si="59"/>
        <v>Verify Assessment and Eligibility outcome
&lt;BR&gt;&lt;BR&gt;Benefit Status=CUR&lt;BR&gt;Review created on FAL screen=No Review&lt;BR&gt;Customer FTB (A) Status=CUR&lt;BR&gt;Customer FTB (B) Status=CUR&lt;BR&gt;Customer RA Status=N-HOM&lt;BR&gt;Child Eligibility FTB(A)=Y&lt;BR&gt;Child Eligibility FTB(B)=Y</v>
      </c>
      <c r="BI207" s="157" t="str">
        <f t="shared" si="59"/>
        <v>Verify Assessment and Eligibility outcome
&lt;BR&gt;&lt;BR&gt;Benefit Status=CUR&lt;BR&gt;Review created on FAL screen=No Review&lt;BR&gt;Customer FTB (A) Status=CUR&lt;BR&gt;Customer FTB (B) Status=CUR&lt;BR&gt;Customer RA Status=N-HOM&lt;BR&gt;Child Eligibility FTB(A)=Y&lt;BR&gt;Child Eligibility FTB(B)=Y</v>
      </c>
      <c r="BJ207" s="157" t="str">
        <f t="shared" si="59"/>
        <v>Verify Assessment and Eligibility outcome
&lt;BR&gt;&lt;BR&gt;Benefit Status=CUR&lt;BR&gt;Review created on FAL screen=No Review&lt;BR&gt;Customer FTB (A) Status=CUR&lt;BR&gt;Customer FTB (B) Status=CUR&lt;BR&gt;Customer RA Status=N-HOM&lt;BR&gt;Child Eligibility FTB(A)=Y&lt;BR&gt;Child Eligibility FTB(B)=Y</v>
      </c>
      <c r="BK207" s="157" t="str">
        <f t="shared" si="59"/>
        <v>Verify Assessment and Eligibility outcome
&lt;BR&gt;&lt;BR&gt;Benefit Status=CUR&lt;BR&gt;Review created on FAL screen=No Review&lt;BR&gt;Customer FTB (A) Status=CUR&lt;BR&gt;Customer FTB (B) Status=CUR&lt;BR&gt;Customer RA Status=N-HOM&lt;BR&gt;Child Eligibility FTB(A)=Y&lt;BR&gt;Child Eligibility FTB(B)=Y</v>
      </c>
      <c r="BL207" s="157" t="str">
        <f t="shared" si="59"/>
        <v>Verify Assessment and Eligibility outcome
&lt;BR&gt;&lt;BR&gt;Benefit Status=CUR&lt;BR&gt;Review created on FAL screen=No Review&lt;BR&gt;Customer FTB (A) Status=CUR&lt;BR&gt;Customer FTB (B) Status=CUR&lt;BR&gt;Customer RA Status=N-HOM&lt;BR&gt;Child Eligibility FTB(A)=Y&lt;BR&gt;Child Eligibility FTB(B)=Y</v>
      </c>
      <c r="BM207" s="157" t="str">
        <f t="shared" si="59"/>
        <v>Verify Assessment and Eligibility outcome
&lt;BR&gt;&lt;BR&gt;Benefit Status=CUR&lt;BR&gt;Review created on FAL screen=No Review&lt;BR&gt;Customer FTB (A) Status=CUR&lt;BR&gt;Customer FTB (B) Status=CUR&lt;BR&gt;Customer RA Status=N-HOM&lt;BR&gt;Child Eligibility FTB(A)=Y&lt;BR&gt;Child Eligibility FTB(B)=Y</v>
      </c>
      <c r="BN207" s="157" t="str">
        <f t="shared" si="59"/>
        <v>Verify Assessment and Eligibility outcome
&lt;BR&gt;&lt;BR&gt;Benefit Status=NEF-BAN&lt;BR&gt;Review created on FAL screen=No Review&lt;BR&gt;Customer FTB (A) Status=NULL&lt;BR&gt;Customer FTB (B) Status=NULL&lt;BR&gt;Customer RA Status=N-NULL&lt;BR&gt;Child Eligibility FTB(A)=Y&lt;BR&gt;Child Eligibility FTB(B)=Y</v>
      </c>
      <c r="BO207" s="157" t="str">
        <f t="shared" si="59"/>
        <v>Verify Assessment and Eligibility outcome
&lt;BR&gt;&lt;BR&gt;Benefit Status=NEF-NTC&lt;BR&gt;Review created on FAL screen=No Review&lt;BR&gt;Customer FTB (A) Status=NULL&lt;BR&gt;Customer FTB (B) Status=NULL&lt;BR&gt;Customer RA Status=N-NULL&lt;BR&gt;Child Eligibility FTB(A)=Y&lt;BR&gt;Child Eligibility FTB(B)=Y</v>
      </c>
      <c r="BP207" s="157" t="str">
        <f t="shared" si="59"/>
        <v>Verify Assessment and Eligibility outcome
&lt;BR&gt;&lt;BR&gt;Benefit Status=REJ-INC&lt;BR&gt;Review created on FAL screen=No Review&lt;BR&gt;Customer FTB (A) Status=NULL&lt;BR&gt;Customer FTB (B) Status=NULL&lt;BR&gt;Customer RA Status=N-NULL&lt;BR&gt;Child Eligibility FTB(A)=Y&lt;BR&gt;Child Eligibility FTB(B)=Y</v>
      </c>
      <c r="BQ207" s="157" t="str">
        <f t="shared" si="59"/>
        <v>Verify Assessment and Eligibility outcome
&lt;BR&gt;&lt;BR&gt;Benefit Status=CUR&lt;BR&gt;Review created on FAL screen=No Review&lt;BR&gt;Customer FTB (A) Status=CUR&lt;BR&gt;Customer FTB (B) Status=CUR&lt;BR&gt;Customer RA Status=N-HOM&lt;BR&gt;Child Eligibility FTB(A)=Y&lt;BR&gt;Child Eligibility FTB(B)=Y</v>
      </c>
      <c r="BR207" s="157" t="str">
        <f t="shared" si="59"/>
        <v>Verify Assessment and Eligibility outcome
&lt;BR&gt;&lt;BR&gt;Benefit Status=CUR&lt;BR&gt;Review created on FAL screen=No Review&lt;BR&gt;Customer FTB (A) Status=CUR&lt;BR&gt;Customer FTB (B) Status=CUR&lt;BR&gt;Customer RA Status=N-HOM&lt;BR&gt;Child Eligibility FTB(A)=Y&lt;BR&gt;Child Eligibility FTB(B)=Y</v>
      </c>
      <c r="BS207" s="157" t="str">
        <f t="shared" si="59"/>
        <v>Verify Assessment and Eligibility outcome
&lt;BR&gt;&lt;BR&gt;Benefit Status=CUR&lt;BR&gt;Review created on FAL screen=No Review&lt;BR&gt;Customer FTB (A) Status=CUR&lt;BR&gt;Customer FTB (B) Status=CUR&lt;BR&gt;Customer RA Status=N-HOM&lt;BR&gt;Child Eligibility FTB(A)=Y&lt;BR&gt;Child Eligibility FTB(B)=Y</v>
      </c>
      <c r="BT207" s="157" t="str">
        <f t="shared" si="59"/>
        <v>Verify Assessment and Eligibility outcome
&lt;BR&gt;&lt;BR&gt;Benefit Status=CUR&lt;BR&gt;Review created on FAL screen=No Review&lt;BR&gt;Customer FTB (A) Status=CUR&lt;BR&gt;Customer FTB (B) Status=CUR&lt;BR&gt;Customer RA Status=N-HOM&lt;BR&gt;Child Eligibility FTB(A)=Y&lt;BR&gt;Child Eligibility FTB(B)=Y</v>
      </c>
      <c r="BU207" s="157" t="str">
        <f t="shared" si="59"/>
        <v>Verify Assessment and Eligibility outcome
&lt;BR&gt;&lt;BR&gt;Benefit Status=CUR&lt;BR&gt;Review created on FAL screen=No Review&lt;BR&gt;Customer FTB (A) Status=CUR&lt;BR&gt;Customer FTB (B) Status=CUR&lt;BR&gt;Customer RA Status=N-HOM&lt;BR&gt;Child Eligibility FTB(A)=Y&lt;BR&gt;Child Eligibility FTB(B)=Y</v>
      </c>
      <c r="BV207" s="157" t="str">
        <f t="shared" si="59"/>
        <v>Verify Assessment and Eligibility outcome
&lt;BR&gt;&lt;BR&gt;Benefit Status=CUR&lt;BR&gt;Review created on FAL screen=No Review&lt;BR&gt;Customer FTB (A) Status=CUR&lt;BR&gt;Customer FTB (B) Status=CUR&lt;BR&gt;Customer RA Status=N-HOM&lt;BR&gt;Child Eligibility FTB(A)=Y&lt;BR&gt;Child Eligibility FTB(B)=Y</v>
      </c>
      <c r="BW207" s="157" t="str">
        <f t="shared" si="59"/>
        <v>Verify Assessment and Eligibility outcome
&lt;BR&gt;&lt;BR&gt;Benefit Status=NEF-BAN&lt;BR&gt;Review created on FAL screen=No Review&lt;BR&gt;Customer FTB (A) Status=NULL&lt;BR&gt;Customer FTB (B) Status=NULL&lt;BR&gt;Customer RA Status=N-NULL&lt;BR&gt;Child Eligibility FTB(A)=Y&lt;BR&gt;Child Eligibility FTB(B)=Y</v>
      </c>
      <c r="BX207" s="157" t="str">
        <f t="shared" si="59"/>
        <v>Verify Assessment and Eligibility outcome
&lt;BR&gt;&lt;BR&gt;Benefit Status=NEF-NTC&lt;BR&gt;Review created on FAL screen=No Review&lt;BR&gt;Customer FTB (A) Status=NULL&lt;BR&gt;Customer FTB (B) Status=NULL&lt;BR&gt;Customer RA Status=N-NULL&lt;BR&gt;Child Eligibility FTB(A)=Y&lt;BR&gt;Child Eligibility FTB(B)=Y</v>
      </c>
      <c r="BY207" s="157" t="str">
        <f t="shared" si="59"/>
        <v>Verify Assessment and Eligibility outcome
&lt;BR&gt;&lt;BR&gt;Benefit Status=REJ-INC&lt;BR&gt;Review created on FAL screen=No Review&lt;BR&gt;Customer FTB (A) Status=NULL&lt;BR&gt;Customer FTB (B) Status=NULL&lt;BR&gt;Customer RA Status=N-NULL&lt;BR&gt;Child Eligibility FTB(A)=Y&lt;BR&gt;Child Eligibility FTB(B)=Y</v>
      </c>
      <c r="BZ207" s="157" t="str">
        <f t="shared" si="59"/>
        <v>Verify Assessment and Eligibility outcome
&lt;BR&gt;&lt;BR&gt;Benefit Status=CUR&lt;BR&gt;Review created on FAL screen=No Review&lt;BR&gt;Customer FTB (A) Status=CUR&lt;BR&gt;Customer FTB (B) Status=CUR&lt;BR&gt;Customer RA Status=N-HOM&lt;BR&gt;Child Eligibility FTB(A)=Y&lt;BR&gt;Child Eligibility FTB(B)=Y</v>
      </c>
      <c r="CA207" s="157" t="str">
        <f t="shared" si="59"/>
        <v>Verify Assessment and Eligibility outcome
&lt;BR&gt;&lt;BR&gt;Benefit Status=CUR&lt;BR&gt;Review created on FAL screen=No Review&lt;BR&gt;Customer FTB (A) Status=CUR&lt;BR&gt;Customer FTB (B) Status=CUR&lt;BR&gt;Customer RA Status=N-HOM&lt;BR&gt;Child Eligibility FTB(A)=Y&lt;BR&gt;Child Eligibility FTB(B)=Y</v>
      </c>
      <c r="CB207" s="157" t="str">
        <f t="shared" si="59"/>
        <v>Verify Assessment and Eligibility outcome
&lt;BR&gt;&lt;BR&gt;Benefit Status=CUR&lt;BR&gt;Review created on FAL screen=No Review&lt;BR&gt;Customer FTB (A) Status=CUR&lt;BR&gt;Customer FTB (B) Status=CUR&lt;BR&gt;Customer RA Status=N-HOM&lt;BR&gt;Child Eligibility FTB(A)=Y&lt;BR&gt;Child Eligibility FTB(B)=Y</v>
      </c>
      <c r="CC207" s="157" t="str">
        <f t="shared" si="59"/>
        <v>Verify Assessment and Eligibility outcome
&lt;BR&gt;&lt;BR&gt;Benefit Status=CUR&lt;BR&gt;Review created on FAL screen=No Review&lt;BR&gt;Customer FTB (A) Status=CUR&lt;BR&gt;Customer FTB (B) Status=CUR&lt;BR&gt;Customer RA Status=N-HOM&lt;BR&gt;Child Eligibility FTB(A)=Y&lt;BR&gt;Child Eligibility FTB(B)=Y</v>
      </c>
      <c r="CD207" s="157" t="str">
        <f t="shared" si="59"/>
        <v>Verify Assessment and Eligibility outcome
&lt;BR&gt;&lt;BR&gt;Benefit Status=CUR&lt;BR&gt;Review created on FAL screen=No Review&lt;BR&gt;Customer FTB (A) Status=CUR&lt;BR&gt;Customer FTB (B) Status=CUR&lt;BR&gt;Customer RA Status=N-HOM&lt;BR&gt;Child Eligibility FTB(A)=Y&lt;BR&gt;Child Eligibility FTB(B)=Y</v>
      </c>
      <c r="CE207" s="157"/>
      <c r="CF207" s="157"/>
      <c r="CG207" s="157"/>
      <c r="CH207" s="157"/>
      <c r="CI207" s="157"/>
      <c r="CJ207" s="157"/>
      <c r="CK207" s="157"/>
      <c r="CL207" s="157"/>
      <c r="CM207" s="157"/>
      <c r="CN207" s="157"/>
      <c r="CO207" s="157"/>
      <c r="CP207" s="157"/>
      <c r="CQ207" s="157"/>
      <c r="CR207" s="157"/>
      <c r="CS207" s="157"/>
      <c r="CT207" s="157"/>
      <c r="CU207" s="157"/>
      <c r="CV207" s="157"/>
      <c r="CW207" s="157"/>
      <c r="CX207" s="157"/>
      <c r="CY207" s="157"/>
      <c r="CZ207" s="157"/>
      <c r="DA207" s="157"/>
      <c r="DB207" s="157"/>
      <c r="DC207" s="157"/>
      <c r="DD207" s="157"/>
      <c r="DE207" s="157"/>
      <c r="DF207" s="157"/>
      <c r="DG207" s="157"/>
      <c r="DH207" s="157"/>
      <c r="DI207" s="157"/>
      <c r="DJ207" s="157"/>
      <c r="DK207" s="157"/>
      <c r="DL207" s="157"/>
      <c r="DM207" s="157"/>
      <c r="DN207" s="157"/>
      <c r="DO207" s="157"/>
      <c r="DP207" s="157"/>
      <c r="DQ207" s="157"/>
      <c r="DR207" s="157"/>
      <c r="DS207" s="157"/>
      <c r="DT207" s="157"/>
      <c r="DU207" s="157"/>
      <c r="DV207" s="157"/>
      <c r="DW207" s="157"/>
      <c r="DX207" s="157"/>
      <c r="DY207" s="157"/>
      <c r="DZ207" s="157"/>
      <c r="EA207" s="157"/>
      <c r="EB207" s="157"/>
      <c r="EC207" s="157"/>
      <c r="ED207" s="157"/>
      <c r="EE207" s="157"/>
      <c r="EF207" s="157"/>
      <c r="EG207" s="157"/>
      <c r="EH207" s="157"/>
      <c r="EI207" s="157"/>
      <c r="EJ207" s="157"/>
      <c r="EK207" s="157"/>
      <c r="EL207" s="157"/>
      <c r="EM207" s="157"/>
      <c r="EN207" s="157"/>
      <c r="EO207" s="157"/>
      <c r="EP207" s="157"/>
      <c r="EQ207" s="157"/>
      <c r="ER207" s="157"/>
      <c r="ES207" s="157"/>
      <c r="ET207" s="157"/>
      <c r="EU207" s="157"/>
      <c r="EV207" s="157"/>
      <c r="EW207" s="157"/>
      <c r="EX207" s="157"/>
      <c r="EY207" s="157"/>
      <c r="EZ207" s="157"/>
      <c r="FA207" s="157"/>
      <c r="FB207" s="157"/>
      <c r="FC207" s="157"/>
      <c r="FD207" s="157"/>
      <c r="FE207" s="157"/>
      <c r="FF207" s="157"/>
      <c r="FG207" s="157"/>
      <c r="FH207" s="157"/>
      <c r="FI207" s="157"/>
      <c r="FJ207" s="157"/>
      <c r="FK207" s="157"/>
      <c r="FL207" s="157"/>
      <c r="FM207" s="157"/>
      <c r="FN207" s="157"/>
      <c r="FO207" s="157"/>
      <c r="FP207" s="157"/>
      <c r="FQ207" s="157"/>
      <c r="FR207" s="157"/>
      <c r="FS207" s="157"/>
      <c r="FT207" s="157"/>
      <c r="FU207" s="157"/>
      <c r="FV207" s="157"/>
      <c r="FW207" s="157"/>
      <c r="FX207" s="157"/>
      <c r="FY207" s="157"/>
      <c r="FZ207" s="157"/>
      <c r="GA207" s="157"/>
      <c r="GB207" s="157"/>
      <c r="GC207" s="157"/>
      <c r="GD207" s="157"/>
      <c r="GE207" s="157"/>
      <c r="GF207" s="157"/>
      <c r="GG207" s="157"/>
      <c r="GH207" s="157"/>
      <c r="GI207" s="157"/>
      <c r="GJ207" s="157"/>
      <c r="GK207" s="157"/>
      <c r="GL207" s="157"/>
      <c r="GM207" s="157"/>
      <c r="GN207" s="157"/>
      <c r="GO207" s="157"/>
      <c r="GP207" s="157"/>
      <c r="GQ207" s="157"/>
      <c r="GR207" s="157"/>
      <c r="GS207" s="157"/>
      <c r="GT207" s="157"/>
      <c r="GU207" s="157"/>
      <c r="GV207" s="157"/>
      <c r="GW207" s="157"/>
      <c r="GX207" s="157"/>
      <c r="GY207" s="157"/>
      <c r="GZ207" s="157"/>
      <c r="HA207" s="157"/>
      <c r="HB207" s="157"/>
      <c r="HC207" s="157"/>
      <c r="HD207" s="157"/>
      <c r="HE207" s="157"/>
      <c r="HF207" s="157"/>
      <c r="HG207" s="157"/>
      <c r="HH207" s="157"/>
      <c r="HI207" s="157"/>
      <c r="HJ207" s="157"/>
      <c r="HK207" s="157"/>
      <c r="HL207" s="157"/>
      <c r="HM207" s="157"/>
      <c r="HN207" s="157"/>
      <c r="HO207" s="157"/>
      <c r="HP207" s="157"/>
      <c r="HQ207" s="157"/>
      <c r="HR207" s="157"/>
      <c r="HS207" s="157"/>
      <c r="HT207" s="157"/>
      <c r="HU207" s="157"/>
      <c r="HV207" s="157"/>
      <c r="HW207" s="157"/>
      <c r="HX207" s="157"/>
      <c r="HY207" s="157"/>
      <c r="HZ207" s="157"/>
      <c r="IA207" s="157"/>
      <c r="IB207" s="157"/>
      <c r="IC207" s="157"/>
      <c r="ID207" s="157"/>
      <c r="IE207" s="157"/>
      <c r="IF207" s="157"/>
      <c r="IG207" s="157"/>
      <c r="IH207" s="157"/>
      <c r="II207" s="157"/>
      <c r="IJ207" s="157"/>
      <c r="IK207" s="157"/>
      <c r="IL207" s="157"/>
      <c r="IM207" s="157"/>
      <c r="IN207" s="157"/>
      <c r="IO207" s="157"/>
    </row>
    <row r="219" spans="3:249">
      <c r="C219" s="130"/>
      <c r="D219" s="122"/>
      <c r="E219" s="122"/>
      <c r="F219" s="122"/>
      <c r="G219" s="122"/>
      <c r="H219" s="122"/>
      <c r="I219" s="122"/>
      <c r="J219" s="122"/>
      <c r="AF219" s="122"/>
      <c r="AG219" s="122"/>
      <c r="AH219" s="122"/>
      <c r="AI219" s="122"/>
      <c r="AJ219" s="122"/>
      <c r="AK219" s="122"/>
      <c r="AL219" s="122"/>
      <c r="AM219" s="122"/>
      <c r="AN219" s="122"/>
      <c r="AO219" s="122"/>
      <c r="AP219" s="122"/>
      <c r="AQ219" s="122"/>
      <c r="AR219" s="122"/>
      <c r="AS219" s="122"/>
      <c r="AT219" s="122"/>
      <c r="AU219" s="122"/>
      <c r="AV219" s="122"/>
      <c r="AW219" s="122"/>
      <c r="AX219" s="122"/>
      <c r="AY219" s="122"/>
      <c r="AZ219" s="122"/>
      <c r="BA219" s="122"/>
      <c r="BB219" s="122"/>
      <c r="BC219" s="122"/>
      <c r="BD219" s="122"/>
      <c r="BE219" s="122"/>
      <c r="BF219" s="122"/>
      <c r="BG219" s="122"/>
      <c r="BH219" s="122"/>
      <c r="BI219" s="122"/>
      <c r="BJ219" s="122"/>
      <c r="BK219" s="122"/>
      <c r="BL219" s="122"/>
      <c r="BM219" s="122"/>
      <c r="BN219" s="122"/>
      <c r="BO219" s="122"/>
      <c r="BP219" s="122"/>
      <c r="BQ219" s="122"/>
      <c r="BR219" s="122"/>
      <c r="BS219" s="122"/>
      <c r="BT219" s="122"/>
      <c r="BU219" s="122"/>
      <c r="BV219" s="122"/>
      <c r="BW219" s="122"/>
      <c r="BX219" s="122"/>
      <c r="BY219" s="122"/>
      <c r="BZ219" s="122"/>
      <c r="CA219" s="122"/>
      <c r="CB219" s="122"/>
      <c r="CC219" s="122"/>
      <c r="CD219" s="122"/>
      <c r="CE219" s="122"/>
      <c r="CF219" s="122"/>
      <c r="CG219" s="122"/>
      <c r="CH219" s="122"/>
      <c r="CI219" s="122"/>
      <c r="CJ219" s="122"/>
      <c r="CK219" s="122"/>
      <c r="CL219" s="122"/>
      <c r="CM219" s="122"/>
      <c r="CN219" s="122"/>
      <c r="CO219" s="122"/>
      <c r="CP219" s="122"/>
      <c r="CQ219" s="122"/>
      <c r="CR219" s="122"/>
      <c r="CS219" s="122"/>
      <c r="CT219" s="122"/>
      <c r="CU219" s="122"/>
      <c r="CV219" s="122"/>
      <c r="CW219" s="122"/>
      <c r="CX219" s="122"/>
      <c r="CY219" s="122"/>
      <c r="CZ219" s="122"/>
      <c r="DA219" s="122"/>
      <c r="DB219" s="122"/>
      <c r="DC219" s="122"/>
      <c r="DD219" s="122"/>
      <c r="DE219" s="122"/>
      <c r="DF219" s="122"/>
      <c r="DG219" s="122"/>
      <c r="DH219" s="122"/>
      <c r="DI219" s="122"/>
      <c r="DJ219" s="122"/>
      <c r="DK219" s="122"/>
      <c r="DL219" s="122"/>
      <c r="DM219" s="122"/>
      <c r="DN219" s="122"/>
      <c r="DO219" s="122"/>
      <c r="DP219" s="122"/>
      <c r="DQ219" s="122"/>
      <c r="DR219" s="122"/>
      <c r="DS219" s="122"/>
      <c r="DT219" s="122"/>
      <c r="DU219" s="122"/>
      <c r="DV219" s="122"/>
      <c r="DW219" s="122"/>
      <c r="DX219" s="122"/>
      <c r="DY219" s="122"/>
      <c r="DZ219" s="122"/>
      <c r="EA219" s="122"/>
      <c r="EB219" s="122"/>
      <c r="EC219" s="122"/>
      <c r="ED219" s="122"/>
      <c r="EE219" s="122"/>
      <c r="EF219" s="122"/>
      <c r="EG219" s="122"/>
      <c r="EH219" s="122"/>
      <c r="EI219" s="122"/>
      <c r="EJ219" s="122"/>
      <c r="EK219" s="122"/>
      <c r="EL219" s="122"/>
      <c r="EM219" s="122"/>
      <c r="EN219" s="122"/>
      <c r="EO219" s="122"/>
      <c r="EP219" s="122"/>
      <c r="EQ219" s="122"/>
      <c r="ER219" s="122"/>
      <c r="ES219" s="122"/>
      <c r="ET219" s="122"/>
      <c r="EU219" s="122"/>
      <c r="EV219" s="122"/>
      <c r="EW219" s="122"/>
      <c r="EX219" s="122"/>
      <c r="EY219" s="122"/>
      <c r="EZ219" s="122"/>
      <c r="FA219" s="122"/>
      <c r="FB219" s="122"/>
      <c r="FC219" s="122"/>
      <c r="FD219" s="122"/>
      <c r="FE219" s="122"/>
      <c r="FF219" s="122"/>
      <c r="FG219" s="122"/>
      <c r="FH219" s="122"/>
      <c r="FI219" s="122"/>
      <c r="FJ219" s="122"/>
      <c r="FK219" s="122"/>
      <c r="FL219" s="122"/>
      <c r="FM219" s="122"/>
      <c r="FN219" s="122"/>
      <c r="FO219" s="122"/>
      <c r="FP219" s="122"/>
      <c r="FQ219" s="122"/>
      <c r="FR219" s="122"/>
      <c r="FS219" s="122"/>
      <c r="FT219" s="122"/>
      <c r="FU219" s="122"/>
      <c r="FV219" s="122"/>
      <c r="FW219" s="122"/>
      <c r="FX219" s="122"/>
      <c r="FY219" s="122"/>
      <c r="FZ219" s="122"/>
      <c r="GA219" s="122"/>
      <c r="GB219" s="122"/>
      <c r="GC219" s="122"/>
      <c r="GD219" s="122"/>
      <c r="GE219" s="122"/>
      <c r="GF219" s="122"/>
      <c r="GG219" s="122"/>
      <c r="GH219" s="122"/>
      <c r="GI219" s="122"/>
      <c r="GJ219" s="122"/>
      <c r="GK219" s="122"/>
      <c r="GL219" s="122"/>
      <c r="GM219" s="122"/>
      <c r="GN219" s="122"/>
      <c r="GO219" s="122"/>
      <c r="GP219" s="122"/>
      <c r="GQ219" s="122"/>
      <c r="GR219" s="122"/>
      <c r="GS219" s="122"/>
      <c r="GT219" s="122"/>
      <c r="GU219" s="122"/>
      <c r="GV219" s="122"/>
      <c r="GW219" s="122"/>
      <c r="GX219" s="122"/>
      <c r="GY219" s="122"/>
      <c r="GZ219" s="122"/>
      <c r="HA219" s="122"/>
      <c r="HB219" s="122"/>
      <c r="HC219" s="122"/>
      <c r="HD219" s="122"/>
      <c r="HE219" s="122"/>
      <c r="HF219" s="122"/>
      <c r="HG219" s="122"/>
      <c r="HH219" s="122"/>
      <c r="HI219" s="122"/>
      <c r="HJ219" s="122"/>
      <c r="HK219" s="122"/>
      <c r="HL219" s="122"/>
      <c r="HM219" s="122"/>
      <c r="HN219" s="122"/>
      <c r="HO219" s="122"/>
      <c r="HP219" s="122"/>
      <c r="HQ219" s="122"/>
      <c r="HR219" s="122"/>
      <c r="HS219" s="122"/>
      <c r="HT219" s="122"/>
      <c r="HU219" s="122"/>
      <c r="HV219" s="122"/>
      <c r="HW219" s="122"/>
      <c r="HX219" s="122"/>
      <c r="HY219" s="122"/>
      <c r="HZ219" s="122"/>
      <c r="IA219" s="122"/>
      <c r="IB219" s="122"/>
      <c r="IC219" s="122"/>
      <c r="ID219" s="122"/>
      <c r="IE219" s="122"/>
      <c r="IF219" s="122"/>
      <c r="IG219" s="122"/>
      <c r="IH219" s="122"/>
      <c r="II219" s="122"/>
      <c r="IJ219" s="122"/>
      <c r="IK219" s="122"/>
      <c r="IL219" s="122"/>
      <c r="IM219" s="122"/>
      <c r="IN219" s="122"/>
      <c r="IO219" s="122"/>
    </row>
    <row r="220" spans="3:249">
      <c r="C220" s="130"/>
      <c r="D220" s="122"/>
      <c r="E220" s="122"/>
      <c r="F220" s="122"/>
      <c r="G220" s="122"/>
      <c r="H220" s="122"/>
      <c r="I220" s="122"/>
      <c r="J220" s="122"/>
      <c r="AF220" s="122"/>
      <c r="AG220" s="122"/>
      <c r="AH220" s="122"/>
      <c r="AI220" s="122"/>
      <c r="AJ220" s="122"/>
      <c r="AK220" s="122"/>
      <c r="AL220" s="122"/>
      <c r="AM220" s="122"/>
      <c r="AN220" s="122"/>
      <c r="AO220" s="122"/>
      <c r="AP220" s="122"/>
      <c r="AQ220" s="122"/>
      <c r="AR220" s="122"/>
      <c r="AS220" s="122"/>
      <c r="AT220" s="122"/>
      <c r="AU220" s="122"/>
      <c r="AV220" s="122"/>
      <c r="AW220" s="122"/>
      <c r="AX220" s="122"/>
      <c r="AY220" s="122"/>
      <c r="AZ220" s="122"/>
      <c r="BA220" s="122"/>
      <c r="BB220" s="122"/>
      <c r="BC220" s="122"/>
      <c r="BD220" s="122"/>
      <c r="BE220" s="122"/>
      <c r="BF220" s="122"/>
      <c r="BG220" s="122"/>
      <c r="BH220" s="122"/>
      <c r="BI220" s="122"/>
      <c r="BJ220" s="122"/>
      <c r="BK220" s="122"/>
      <c r="BL220" s="122"/>
      <c r="BM220" s="122"/>
      <c r="BN220" s="122"/>
      <c r="BO220" s="122"/>
      <c r="BP220" s="122"/>
      <c r="BQ220" s="122"/>
      <c r="BR220" s="122"/>
      <c r="BS220" s="122"/>
      <c r="BT220" s="122"/>
      <c r="BU220" s="122"/>
      <c r="BV220" s="122"/>
      <c r="BW220" s="122"/>
      <c r="BX220" s="122"/>
      <c r="BY220" s="122"/>
      <c r="BZ220" s="122"/>
      <c r="CA220" s="122"/>
      <c r="CB220" s="122"/>
      <c r="CC220" s="122"/>
      <c r="CD220" s="122"/>
      <c r="CE220" s="122"/>
      <c r="CF220" s="122"/>
      <c r="CG220" s="122"/>
      <c r="CH220" s="122"/>
      <c r="CI220" s="122"/>
      <c r="CJ220" s="122"/>
      <c r="CK220" s="122"/>
      <c r="CL220" s="122"/>
      <c r="CM220" s="122"/>
      <c r="CN220" s="122"/>
      <c r="CO220" s="122"/>
      <c r="CP220" s="122"/>
      <c r="CQ220" s="122"/>
      <c r="CR220" s="122"/>
      <c r="CS220" s="122"/>
      <c r="CT220" s="122"/>
      <c r="CU220" s="122"/>
      <c r="CV220" s="122"/>
      <c r="CW220" s="122"/>
      <c r="CX220" s="122"/>
      <c r="CY220" s="122"/>
      <c r="CZ220" s="122"/>
      <c r="DA220" s="122"/>
      <c r="DB220" s="122"/>
      <c r="DC220" s="122"/>
      <c r="DD220" s="122"/>
      <c r="DE220" s="122"/>
      <c r="DF220" s="122"/>
      <c r="DG220" s="122"/>
      <c r="DH220" s="122"/>
      <c r="DI220" s="122"/>
      <c r="DJ220" s="122"/>
      <c r="DK220" s="122"/>
      <c r="DL220" s="122"/>
      <c r="DM220" s="122"/>
      <c r="DN220" s="122"/>
      <c r="DO220" s="122"/>
      <c r="DP220" s="122"/>
      <c r="DQ220" s="122"/>
      <c r="DR220" s="122"/>
      <c r="DS220" s="122"/>
      <c r="DT220" s="122"/>
      <c r="DU220" s="122"/>
      <c r="DV220" s="122"/>
      <c r="DW220" s="122"/>
      <c r="DX220" s="122"/>
      <c r="DY220" s="122"/>
      <c r="DZ220" s="122"/>
      <c r="EA220" s="122"/>
      <c r="EB220" s="122"/>
      <c r="EC220" s="122"/>
      <c r="ED220" s="122"/>
      <c r="EE220" s="122"/>
      <c r="EF220" s="122"/>
      <c r="EG220" s="122"/>
      <c r="EH220" s="122"/>
      <c r="EI220" s="122"/>
      <c r="EJ220" s="122"/>
      <c r="EK220" s="122"/>
      <c r="EL220" s="122"/>
      <c r="EM220" s="122"/>
      <c r="EN220" s="122"/>
      <c r="EO220" s="122"/>
      <c r="EP220" s="122"/>
      <c r="EQ220" s="122"/>
      <c r="ER220" s="122"/>
      <c r="ES220" s="122"/>
      <c r="ET220" s="122"/>
      <c r="EU220" s="122"/>
      <c r="EV220" s="122"/>
      <c r="EW220" s="122"/>
      <c r="EX220" s="122"/>
      <c r="EY220" s="122"/>
      <c r="EZ220" s="122"/>
      <c r="FA220" s="122"/>
      <c r="FB220" s="122"/>
      <c r="FC220" s="122"/>
      <c r="FD220" s="122"/>
      <c r="FE220" s="122"/>
      <c r="FF220" s="122"/>
      <c r="FG220" s="122"/>
      <c r="FH220" s="122"/>
      <c r="FI220" s="122"/>
      <c r="FJ220" s="122"/>
      <c r="FK220" s="122"/>
      <c r="FL220" s="122"/>
      <c r="FM220" s="122"/>
      <c r="FN220" s="122"/>
      <c r="FO220" s="122"/>
      <c r="FP220" s="122"/>
      <c r="FQ220" s="122"/>
      <c r="FR220" s="122"/>
      <c r="FS220" s="122"/>
      <c r="FT220" s="122"/>
      <c r="FU220" s="122"/>
      <c r="FV220" s="122"/>
      <c r="FW220" s="122"/>
      <c r="FX220" s="122"/>
      <c r="FY220" s="122"/>
      <c r="FZ220" s="122"/>
      <c r="GA220" s="122"/>
      <c r="GB220" s="122"/>
      <c r="GC220" s="122"/>
      <c r="GD220" s="122"/>
      <c r="GE220" s="122"/>
      <c r="GF220" s="122"/>
      <c r="GG220" s="122"/>
      <c r="GH220" s="122"/>
      <c r="GI220" s="122"/>
      <c r="GJ220" s="122"/>
      <c r="GK220" s="122"/>
      <c r="GL220" s="122"/>
      <c r="GM220" s="122"/>
      <c r="GN220" s="122"/>
      <c r="GO220" s="122"/>
      <c r="GP220" s="122"/>
      <c r="GQ220" s="122"/>
      <c r="GR220" s="122"/>
      <c r="GS220" s="122"/>
      <c r="GT220" s="122"/>
      <c r="GU220" s="122"/>
      <c r="GV220" s="122"/>
      <c r="GW220" s="122"/>
      <c r="GX220" s="122"/>
      <c r="GY220" s="122"/>
      <c r="GZ220" s="122"/>
      <c r="HA220" s="122"/>
      <c r="HB220" s="122"/>
      <c r="HC220" s="122"/>
      <c r="HD220" s="122"/>
      <c r="HE220" s="122"/>
      <c r="HF220" s="122"/>
      <c r="HG220" s="122"/>
      <c r="HH220" s="122"/>
      <c r="HI220" s="122"/>
      <c r="HJ220" s="122"/>
      <c r="HK220" s="122"/>
      <c r="HL220" s="122"/>
      <c r="HM220" s="122"/>
      <c r="HN220" s="122"/>
      <c r="HO220" s="122"/>
      <c r="HP220" s="122"/>
      <c r="HQ220" s="122"/>
      <c r="HR220" s="122"/>
      <c r="HS220" s="122"/>
      <c r="HT220" s="122"/>
      <c r="HU220" s="122"/>
      <c r="HV220" s="122"/>
      <c r="HW220" s="122"/>
      <c r="HX220" s="122"/>
      <c r="HY220" s="122"/>
      <c r="HZ220" s="122"/>
      <c r="IA220" s="122"/>
      <c r="IB220" s="122"/>
      <c r="IC220" s="122"/>
      <c r="ID220" s="122"/>
      <c r="IE220" s="122"/>
      <c r="IF220" s="122"/>
      <c r="IG220" s="122"/>
      <c r="IH220" s="122"/>
      <c r="II220" s="122"/>
      <c r="IJ220" s="122"/>
      <c r="IK220" s="122"/>
      <c r="IL220" s="122"/>
      <c r="IM220" s="122"/>
      <c r="IN220" s="122"/>
      <c r="IO220" s="122"/>
    </row>
    <row r="221" spans="3:249">
      <c r="C221" s="130"/>
      <c r="D221" s="122"/>
      <c r="E221" s="122"/>
      <c r="F221" s="122"/>
      <c r="G221" s="122"/>
      <c r="H221" s="122"/>
      <c r="I221" s="122"/>
      <c r="J221" s="122"/>
      <c r="AF221" s="122"/>
      <c r="AG221" s="122"/>
      <c r="AH221" s="122"/>
      <c r="AI221" s="122"/>
      <c r="AJ221" s="122"/>
      <c r="AK221" s="122"/>
      <c r="AL221" s="122"/>
      <c r="AM221" s="122"/>
      <c r="AN221" s="122"/>
      <c r="AO221" s="122"/>
      <c r="AP221" s="122"/>
      <c r="AQ221" s="122"/>
      <c r="AR221" s="122"/>
      <c r="AS221" s="122"/>
      <c r="AT221" s="122"/>
      <c r="AU221" s="122"/>
      <c r="AV221" s="122"/>
      <c r="AW221" s="122"/>
      <c r="AX221" s="122"/>
      <c r="AY221" s="122"/>
      <c r="AZ221" s="122"/>
      <c r="BA221" s="122"/>
      <c r="BB221" s="122"/>
      <c r="BC221" s="122"/>
      <c r="BD221" s="122"/>
      <c r="BE221" s="122"/>
      <c r="BF221" s="122"/>
      <c r="BG221" s="122"/>
      <c r="BH221" s="122"/>
      <c r="BI221" s="122"/>
      <c r="BJ221" s="122"/>
      <c r="BK221" s="122"/>
      <c r="BL221" s="122"/>
      <c r="BM221" s="122"/>
      <c r="BN221" s="122"/>
      <c r="BO221" s="122"/>
      <c r="BP221" s="122"/>
      <c r="BQ221" s="122"/>
      <c r="BR221" s="122"/>
      <c r="BS221" s="122"/>
      <c r="BT221" s="122"/>
      <c r="BU221" s="122"/>
      <c r="BV221" s="122"/>
      <c r="BW221" s="122"/>
      <c r="BX221" s="122"/>
      <c r="BY221" s="122"/>
      <c r="BZ221" s="122"/>
      <c r="CA221" s="122"/>
      <c r="CB221" s="122"/>
      <c r="CC221" s="122"/>
      <c r="CD221" s="122"/>
      <c r="CE221" s="122"/>
      <c r="CF221" s="122"/>
      <c r="CG221" s="122"/>
      <c r="CH221" s="122"/>
      <c r="CI221" s="122"/>
      <c r="CJ221" s="122"/>
      <c r="CK221" s="122"/>
      <c r="CL221" s="122"/>
      <c r="CM221" s="122"/>
      <c r="CN221" s="122"/>
      <c r="CO221" s="122"/>
      <c r="CP221" s="122"/>
      <c r="CQ221" s="122"/>
      <c r="CR221" s="122"/>
      <c r="CS221" s="122"/>
      <c r="CT221" s="122"/>
      <c r="CU221" s="122"/>
      <c r="CV221" s="122"/>
      <c r="CW221" s="122"/>
      <c r="CX221" s="122"/>
      <c r="CY221" s="122"/>
      <c r="CZ221" s="122"/>
      <c r="DA221" s="122"/>
      <c r="DB221" s="122"/>
      <c r="DC221" s="122"/>
      <c r="DD221" s="122"/>
      <c r="DE221" s="122"/>
      <c r="DF221" s="122"/>
      <c r="DG221" s="122"/>
      <c r="DH221" s="122"/>
      <c r="DI221" s="122"/>
      <c r="DJ221" s="122"/>
      <c r="DK221" s="122"/>
      <c r="DL221" s="122"/>
      <c r="DM221" s="122"/>
      <c r="DN221" s="122"/>
      <c r="DO221" s="122"/>
      <c r="DP221" s="122"/>
      <c r="DQ221" s="122"/>
      <c r="DR221" s="122"/>
      <c r="DS221" s="122"/>
      <c r="DT221" s="122"/>
      <c r="DU221" s="122"/>
      <c r="DV221" s="122"/>
      <c r="DW221" s="122"/>
      <c r="DX221" s="122"/>
      <c r="DY221" s="122"/>
      <c r="DZ221" s="122"/>
      <c r="EA221" s="122"/>
      <c r="EB221" s="122"/>
      <c r="EC221" s="122"/>
      <c r="ED221" s="122"/>
      <c r="EE221" s="122"/>
      <c r="EF221" s="122"/>
      <c r="EG221" s="122"/>
      <c r="EH221" s="122"/>
      <c r="EI221" s="122"/>
      <c r="EJ221" s="122"/>
      <c r="EK221" s="122"/>
      <c r="EL221" s="122"/>
      <c r="EM221" s="122"/>
      <c r="EN221" s="122"/>
      <c r="EO221" s="122"/>
      <c r="EP221" s="122"/>
      <c r="EQ221" s="122"/>
      <c r="ER221" s="122"/>
      <c r="ES221" s="122"/>
      <c r="ET221" s="122"/>
      <c r="EU221" s="122"/>
      <c r="EV221" s="122"/>
      <c r="EW221" s="122"/>
      <c r="EX221" s="122"/>
      <c r="EY221" s="122"/>
      <c r="EZ221" s="122"/>
      <c r="FA221" s="122"/>
      <c r="FB221" s="122"/>
      <c r="FC221" s="122"/>
      <c r="FD221" s="122"/>
      <c r="FE221" s="122"/>
      <c r="FF221" s="122"/>
      <c r="FG221" s="122"/>
      <c r="FH221" s="122"/>
      <c r="FI221" s="122"/>
      <c r="FJ221" s="122"/>
      <c r="FK221" s="122"/>
      <c r="FL221" s="122"/>
      <c r="FM221" s="122"/>
      <c r="FN221" s="122"/>
      <c r="FO221" s="122"/>
      <c r="FP221" s="122"/>
      <c r="FQ221" s="122"/>
      <c r="FR221" s="122"/>
      <c r="FS221" s="122"/>
      <c r="FT221" s="122"/>
      <c r="FU221" s="122"/>
      <c r="FV221" s="122"/>
      <c r="FW221" s="122"/>
      <c r="FX221" s="122"/>
      <c r="FY221" s="122"/>
      <c r="FZ221" s="122"/>
      <c r="GA221" s="122"/>
      <c r="GB221" s="122"/>
      <c r="GC221" s="122"/>
      <c r="GD221" s="122"/>
      <c r="GE221" s="122"/>
      <c r="GF221" s="122"/>
      <c r="GG221" s="122"/>
      <c r="GH221" s="122"/>
      <c r="GI221" s="122"/>
      <c r="GJ221" s="122"/>
      <c r="GK221" s="122"/>
      <c r="GL221" s="122"/>
      <c r="GM221" s="122"/>
      <c r="GN221" s="122"/>
      <c r="GO221" s="122"/>
      <c r="GP221" s="122"/>
      <c r="GQ221" s="122"/>
      <c r="GR221" s="122"/>
      <c r="GS221" s="122"/>
      <c r="GT221" s="122"/>
      <c r="GU221" s="122"/>
      <c r="GV221" s="122"/>
      <c r="GW221" s="122"/>
      <c r="GX221" s="122"/>
      <c r="GY221" s="122"/>
      <c r="GZ221" s="122"/>
      <c r="HA221" s="122"/>
      <c r="HB221" s="122"/>
      <c r="HC221" s="122"/>
      <c r="HD221" s="122"/>
      <c r="HE221" s="122"/>
      <c r="HF221" s="122"/>
      <c r="HG221" s="122"/>
      <c r="HH221" s="122"/>
      <c r="HI221" s="122"/>
      <c r="HJ221" s="122"/>
      <c r="HK221" s="122"/>
      <c r="HL221" s="122"/>
      <c r="HM221" s="122"/>
      <c r="HN221" s="122"/>
      <c r="HO221" s="122"/>
      <c r="HP221" s="122"/>
      <c r="HQ221" s="122"/>
      <c r="HR221" s="122"/>
      <c r="HS221" s="122"/>
      <c r="HT221" s="122"/>
      <c r="HU221" s="122"/>
      <c r="HV221" s="122"/>
      <c r="HW221" s="122"/>
      <c r="HX221" s="122"/>
      <c r="HY221" s="122"/>
      <c r="HZ221" s="122"/>
      <c r="IA221" s="122"/>
      <c r="IB221" s="122"/>
      <c r="IC221" s="122"/>
      <c r="ID221" s="122"/>
      <c r="IE221" s="122"/>
      <c r="IF221" s="122"/>
      <c r="IG221" s="122"/>
      <c r="IH221" s="122"/>
      <c r="II221" s="122"/>
      <c r="IJ221" s="122"/>
      <c r="IK221" s="122"/>
      <c r="IL221" s="122"/>
      <c r="IM221" s="122"/>
      <c r="IN221" s="122"/>
      <c r="IO221" s="122"/>
    </row>
    <row r="222" spans="3:249">
      <c r="C222" s="130"/>
      <c r="D222" s="122"/>
      <c r="E222" s="122"/>
      <c r="F222" s="122"/>
      <c r="G222" s="122"/>
      <c r="H222" s="122"/>
      <c r="I222" s="122"/>
      <c r="J222" s="122"/>
      <c r="AF222" s="122"/>
      <c r="AG222" s="122"/>
      <c r="AH222" s="122"/>
      <c r="AI222" s="122"/>
      <c r="AJ222" s="122"/>
      <c r="AK222" s="122"/>
      <c r="AL222" s="122"/>
      <c r="AM222" s="122"/>
      <c r="AN222" s="122"/>
      <c r="AO222" s="122"/>
      <c r="AP222" s="122"/>
      <c r="AQ222" s="122"/>
      <c r="AR222" s="122"/>
      <c r="AS222" s="122"/>
      <c r="AT222" s="122"/>
      <c r="AU222" s="122"/>
      <c r="AV222" s="122"/>
      <c r="AW222" s="122"/>
      <c r="AX222" s="122"/>
      <c r="AY222" s="122"/>
      <c r="AZ222" s="122"/>
      <c r="BA222" s="122"/>
      <c r="BB222" s="122"/>
      <c r="BC222" s="122"/>
      <c r="BD222" s="122"/>
      <c r="BE222" s="122"/>
      <c r="BF222" s="122"/>
      <c r="BG222" s="122"/>
      <c r="BH222" s="122"/>
      <c r="BI222" s="122"/>
      <c r="BJ222" s="122"/>
      <c r="BK222" s="122"/>
      <c r="BL222" s="122"/>
      <c r="BM222" s="122"/>
      <c r="BN222" s="122"/>
      <c r="BO222" s="122"/>
      <c r="BP222" s="122"/>
      <c r="BQ222" s="122"/>
      <c r="BR222" s="122"/>
      <c r="BS222" s="122"/>
      <c r="BT222" s="122"/>
      <c r="BU222" s="122"/>
      <c r="BV222" s="122"/>
      <c r="BW222" s="122"/>
      <c r="BX222" s="122"/>
      <c r="BY222" s="122"/>
      <c r="BZ222" s="122"/>
      <c r="CA222" s="122"/>
      <c r="CB222" s="122"/>
      <c r="CC222" s="122"/>
      <c r="CD222" s="122"/>
      <c r="CE222" s="122"/>
      <c r="CF222" s="122"/>
      <c r="CG222" s="122"/>
      <c r="CH222" s="122"/>
      <c r="CI222" s="122"/>
      <c r="CJ222" s="122"/>
      <c r="CK222" s="122"/>
      <c r="CL222" s="122"/>
      <c r="CM222" s="122"/>
      <c r="CN222" s="122"/>
      <c r="CO222" s="122"/>
      <c r="CP222" s="122"/>
      <c r="CQ222" s="122"/>
      <c r="CR222" s="122"/>
      <c r="CS222" s="122"/>
      <c r="CT222" s="122"/>
      <c r="CU222" s="122"/>
      <c r="CV222" s="122"/>
      <c r="CW222" s="122"/>
      <c r="CX222" s="122"/>
      <c r="CY222" s="122"/>
      <c r="CZ222" s="122"/>
      <c r="DA222" s="122"/>
      <c r="DB222" s="122"/>
      <c r="DC222" s="122"/>
      <c r="DD222" s="122"/>
      <c r="DE222" s="122"/>
      <c r="DF222" s="122"/>
      <c r="DG222" s="122"/>
      <c r="DH222" s="122"/>
      <c r="DI222" s="122"/>
      <c r="DJ222" s="122"/>
      <c r="DK222" s="122"/>
      <c r="DL222" s="122"/>
      <c r="DM222" s="122"/>
      <c r="DN222" s="122"/>
      <c r="DO222" s="122"/>
      <c r="DP222" s="122"/>
      <c r="DQ222" s="122"/>
      <c r="DR222" s="122"/>
      <c r="DS222" s="122"/>
      <c r="DT222" s="122"/>
      <c r="DU222" s="122"/>
      <c r="DV222" s="122"/>
      <c r="DW222" s="122"/>
      <c r="DX222" s="122"/>
      <c r="DY222" s="122"/>
      <c r="DZ222" s="122"/>
      <c r="EA222" s="122"/>
      <c r="EB222" s="122"/>
      <c r="EC222" s="122"/>
      <c r="ED222" s="122"/>
      <c r="EE222" s="122"/>
      <c r="EF222" s="122"/>
      <c r="EG222" s="122"/>
      <c r="EH222" s="122"/>
      <c r="EI222" s="122"/>
      <c r="EJ222" s="122"/>
      <c r="EK222" s="122"/>
      <c r="EL222" s="122"/>
      <c r="EM222" s="122"/>
      <c r="EN222" s="122"/>
      <c r="EO222" s="122"/>
      <c r="EP222" s="122"/>
      <c r="EQ222" s="122"/>
      <c r="ER222" s="122"/>
      <c r="ES222" s="122"/>
      <c r="ET222" s="122"/>
      <c r="EU222" s="122"/>
      <c r="EV222" s="122"/>
      <c r="EW222" s="122"/>
      <c r="EX222" s="122"/>
      <c r="EY222" s="122"/>
      <c r="EZ222" s="122"/>
      <c r="FA222" s="122"/>
      <c r="FB222" s="122"/>
      <c r="FC222" s="122"/>
      <c r="FD222" s="122"/>
      <c r="FE222" s="122"/>
      <c r="FF222" s="122"/>
      <c r="FG222" s="122"/>
      <c r="FH222" s="122"/>
      <c r="FI222" s="122"/>
      <c r="FJ222" s="122"/>
      <c r="FK222" s="122"/>
      <c r="FL222" s="122"/>
      <c r="FM222" s="122"/>
      <c r="FN222" s="122"/>
      <c r="FO222" s="122"/>
      <c r="FP222" s="122"/>
      <c r="FQ222" s="122"/>
      <c r="FR222" s="122"/>
      <c r="FS222" s="122"/>
      <c r="FT222" s="122"/>
      <c r="FU222" s="122"/>
      <c r="FV222" s="122"/>
      <c r="FW222" s="122"/>
      <c r="FX222" s="122"/>
      <c r="FY222" s="122"/>
      <c r="FZ222" s="122"/>
      <c r="GA222" s="122"/>
      <c r="GB222" s="122"/>
      <c r="GC222" s="122"/>
      <c r="GD222" s="122"/>
      <c r="GE222" s="122"/>
      <c r="GF222" s="122"/>
      <c r="GG222" s="122"/>
      <c r="GH222" s="122"/>
      <c r="GI222" s="122"/>
      <c r="GJ222" s="122"/>
      <c r="GK222" s="122"/>
      <c r="GL222" s="122"/>
      <c r="GM222" s="122"/>
      <c r="GN222" s="122"/>
      <c r="GO222" s="122"/>
      <c r="GP222" s="122"/>
      <c r="GQ222" s="122"/>
      <c r="GR222" s="122"/>
      <c r="GS222" s="122"/>
      <c r="GT222" s="122"/>
      <c r="GU222" s="122"/>
      <c r="GV222" s="122"/>
      <c r="GW222" s="122"/>
      <c r="GX222" s="122"/>
      <c r="GY222" s="122"/>
      <c r="GZ222" s="122"/>
      <c r="HA222" s="122"/>
      <c r="HB222" s="122"/>
      <c r="HC222" s="122"/>
      <c r="HD222" s="122"/>
      <c r="HE222" s="122"/>
      <c r="HF222" s="122"/>
      <c r="HG222" s="122"/>
      <c r="HH222" s="122"/>
      <c r="HI222" s="122"/>
      <c r="HJ222" s="122"/>
      <c r="HK222" s="122"/>
      <c r="HL222" s="122"/>
      <c r="HM222" s="122"/>
      <c r="HN222" s="122"/>
      <c r="HO222" s="122"/>
      <c r="HP222" s="122"/>
      <c r="HQ222" s="122"/>
      <c r="HR222" s="122"/>
      <c r="HS222" s="122"/>
      <c r="HT222" s="122"/>
      <c r="HU222" s="122"/>
      <c r="HV222" s="122"/>
      <c r="HW222" s="122"/>
      <c r="HX222" s="122"/>
      <c r="HY222" s="122"/>
      <c r="HZ222" s="122"/>
      <c r="IA222" s="122"/>
      <c r="IB222" s="122"/>
      <c r="IC222" s="122"/>
      <c r="ID222" s="122"/>
      <c r="IE222" s="122"/>
      <c r="IF222" s="122"/>
      <c r="IG222" s="122"/>
      <c r="IH222" s="122"/>
      <c r="II222" s="122"/>
      <c r="IJ222" s="122"/>
      <c r="IK222" s="122"/>
      <c r="IL222" s="122"/>
      <c r="IM222" s="122"/>
      <c r="IN222" s="122"/>
      <c r="IO222" s="122"/>
    </row>
    <row r="223" spans="3:249">
      <c r="C223" s="130"/>
      <c r="D223" s="122"/>
      <c r="E223" s="122"/>
      <c r="F223" s="122"/>
      <c r="G223" s="122"/>
      <c r="H223" s="122"/>
      <c r="I223" s="122"/>
      <c r="J223" s="122"/>
      <c r="AF223" s="122"/>
      <c r="AG223" s="122"/>
      <c r="AH223" s="122"/>
      <c r="AI223" s="122"/>
      <c r="AJ223" s="122"/>
      <c r="AK223" s="122"/>
      <c r="AL223" s="122"/>
      <c r="AM223" s="122"/>
      <c r="AN223" s="122"/>
      <c r="AO223" s="122"/>
      <c r="AP223" s="122"/>
      <c r="AQ223" s="122"/>
      <c r="AR223" s="122"/>
      <c r="AS223" s="122"/>
      <c r="AT223" s="122"/>
      <c r="AU223" s="122"/>
      <c r="AV223" s="122"/>
      <c r="AW223" s="122"/>
      <c r="AX223" s="122"/>
      <c r="AY223" s="122"/>
      <c r="AZ223" s="122"/>
      <c r="BA223" s="122"/>
      <c r="BB223" s="122"/>
      <c r="BC223" s="122"/>
      <c r="BD223" s="122"/>
      <c r="BE223" s="122"/>
      <c r="BF223" s="122"/>
      <c r="BG223" s="122"/>
      <c r="BH223" s="122"/>
      <c r="BI223" s="122"/>
      <c r="BJ223" s="122"/>
      <c r="BK223" s="122"/>
      <c r="BL223" s="122"/>
      <c r="BM223" s="122"/>
      <c r="BN223" s="122"/>
      <c r="BO223" s="122"/>
      <c r="BP223" s="122"/>
      <c r="BQ223" s="122"/>
      <c r="BR223" s="122"/>
      <c r="BS223" s="122"/>
      <c r="BT223" s="122"/>
      <c r="BU223" s="122"/>
      <c r="BV223" s="122"/>
      <c r="BW223" s="122"/>
      <c r="BX223" s="122"/>
      <c r="BY223" s="122"/>
      <c r="BZ223" s="122"/>
      <c r="CA223" s="122"/>
      <c r="CB223" s="122"/>
      <c r="CC223" s="122"/>
      <c r="CD223" s="122"/>
      <c r="CE223" s="122"/>
      <c r="CF223" s="122"/>
      <c r="CG223" s="122"/>
      <c r="CH223" s="122"/>
      <c r="CI223" s="122"/>
      <c r="CJ223" s="122"/>
      <c r="CK223" s="122"/>
      <c r="CL223" s="122"/>
      <c r="CM223" s="122"/>
      <c r="CN223" s="122"/>
      <c r="CO223" s="122"/>
      <c r="CP223" s="122"/>
      <c r="CQ223" s="122"/>
      <c r="CR223" s="122"/>
      <c r="CS223" s="122"/>
      <c r="CT223" s="122"/>
      <c r="CU223" s="122"/>
      <c r="CV223" s="122"/>
      <c r="CW223" s="122"/>
      <c r="CX223" s="122"/>
      <c r="CY223" s="122"/>
      <c r="CZ223" s="122"/>
      <c r="DA223" s="122"/>
      <c r="DB223" s="122"/>
      <c r="DC223" s="122"/>
      <c r="DD223" s="122"/>
      <c r="DE223" s="122"/>
      <c r="DF223" s="122"/>
      <c r="DG223" s="122"/>
      <c r="DH223" s="122"/>
      <c r="DI223" s="122"/>
      <c r="DJ223" s="122"/>
      <c r="DK223" s="122"/>
      <c r="DL223" s="122"/>
      <c r="DM223" s="122"/>
      <c r="DN223" s="122"/>
      <c r="DO223" s="122"/>
      <c r="DP223" s="122"/>
      <c r="DQ223" s="122"/>
      <c r="DR223" s="122"/>
      <c r="DS223" s="122"/>
      <c r="DT223" s="122"/>
      <c r="DU223" s="122"/>
      <c r="DV223" s="122"/>
      <c r="DW223" s="122"/>
      <c r="DX223" s="122"/>
      <c r="DY223" s="122"/>
      <c r="DZ223" s="122"/>
      <c r="EA223" s="122"/>
      <c r="EB223" s="122"/>
      <c r="EC223" s="122"/>
      <c r="ED223" s="122"/>
      <c r="EE223" s="122"/>
      <c r="EF223" s="122"/>
      <c r="EG223" s="122"/>
      <c r="EH223" s="122"/>
      <c r="EI223" s="122"/>
      <c r="EJ223" s="122"/>
      <c r="EK223" s="122"/>
      <c r="EL223" s="122"/>
      <c r="EM223" s="122"/>
      <c r="EN223" s="122"/>
      <c r="EO223" s="122"/>
      <c r="EP223" s="122"/>
      <c r="EQ223" s="122"/>
      <c r="ER223" s="122"/>
      <c r="ES223" s="122"/>
      <c r="ET223" s="122"/>
      <c r="EU223" s="122"/>
      <c r="EV223" s="122"/>
      <c r="EW223" s="122"/>
      <c r="EX223" s="122"/>
      <c r="EY223" s="122"/>
      <c r="EZ223" s="122"/>
      <c r="FA223" s="122"/>
      <c r="FB223" s="122"/>
      <c r="FC223" s="122"/>
      <c r="FD223" s="122"/>
      <c r="FE223" s="122"/>
      <c r="FF223" s="122"/>
      <c r="FG223" s="122"/>
      <c r="FH223" s="122"/>
      <c r="FI223" s="122"/>
      <c r="FJ223" s="122"/>
      <c r="FK223" s="122"/>
      <c r="FL223" s="122"/>
      <c r="FM223" s="122"/>
      <c r="FN223" s="122"/>
      <c r="FO223" s="122"/>
      <c r="FP223" s="122"/>
      <c r="FQ223" s="122"/>
      <c r="FR223" s="122"/>
      <c r="FS223" s="122"/>
      <c r="FT223" s="122"/>
      <c r="FU223" s="122"/>
      <c r="FV223" s="122"/>
      <c r="FW223" s="122"/>
      <c r="FX223" s="122"/>
      <c r="FY223" s="122"/>
      <c r="FZ223" s="122"/>
      <c r="GA223" s="122"/>
      <c r="GB223" s="122"/>
      <c r="GC223" s="122"/>
      <c r="GD223" s="122"/>
      <c r="GE223" s="122"/>
      <c r="GF223" s="122"/>
      <c r="GG223" s="122"/>
      <c r="GH223" s="122"/>
      <c r="GI223" s="122"/>
      <c r="GJ223" s="122"/>
      <c r="GK223" s="122"/>
      <c r="GL223" s="122"/>
      <c r="GM223" s="122"/>
      <c r="GN223" s="122"/>
      <c r="GO223" s="122"/>
      <c r="GP223" s="122"/>
      <c r="GQ223" s="122"/>
      <c r="GR223" s="122"/>
      <c r="GS223" s="122"/>
      <c r="GT223" s="122"/>
      <c r="GU223" s="122"/>
      <c r="GV223" s="122"/>
      <c r="GW223" s="122"/>
      <c r="GX223" s="122"/>
      <c r="GY223" s="122"/>
      <c r="GZ223" s="122"/>
      <c r="HA223" s="122"/>
      <c r="HB223" s="122"/>
      <c r="HC223" s="122"/>
      <c r="HD223" s="122"/>
      <c r="HE223" s="122"/>
      <c r="HF223" s="122"/>
      <c r="HG223" s="122"/>
      <c r="HH223" s="122"/>
      <c r="HI223" s="122"/>
      <c r="HJ223" s="122"/>
      <c r="HK223" s="122"/>
      <c r="HL223" s="122"/>
      <c r="HM223" s="122"/>
      <c r="HN223" s="122"/>
      <c r="HO223" s="122"/>
      <c r="HP223" s="122"/>
      <c r="HQ223" s="122"/>
      <c r="HR223" s="122"/>
      <c r="HS223" s="122"/>
      <c r="HT223" s="122"/>
      <c r="HU223" s="122"/>
      <c r="HV223" s="122"/>
      <c r="HW223" s="122"/>
      <c r="HX223" s="122"/>
      <c r="HY223" s="122"/>
      <c r="HZ223" s="122"/>
      <c r="IA223" s="122"/>
      <c r="IB223" s="122"/>
      <c r="IC223" s="122"/>
      <c r="ID223" s="122"/>
      <c r="IE223" s="122"/>
      <c r="IF223" s="122"/>
      <c r="IG223" s="122"/>
      <c r="IH223" s="122"/>
      <c r="II223" s="122"/>
      <c r="IJ223" s="122"/>
      <c r="IK223" s="122"/>
      <c r="IL223" s="122"/>
      <c r="IM223" s="122"/>
      <c r="IN223" s="122"/>
      <c r="IO223" s="122"/>
    </row>
    <row r="224" spans="3:249">
      <c r="C224" s="130"/>
      <c r="D224" s="122"/>
      <c r="E224" s="122"/>
      <c r="F224" s="122"/>
      <c r="G224" s="122"/>
      <c r="H224" s="122"/>
      <c r="I224" s="122"/>
      <c r="J224" s="122"/>
      <c r="AF224" s="122"/>
      <c r="AG224" s="122"/>
      <c r="AH224" s="122"/>
      <c r="AI224" s="122"/>
      <c r="AJ224" s="122"/>
      <c r="AK224" s="122"/>
      <c r="AL224" s="122"/>
      <c r="AM224" s="122"/>
      <c r="AN224" s="122"/>
      <c r="AO224" s="122"/>
      <c r="AP224" s="122"/>
      <c r="AQ224" s="122"/>
      <c r="AR224" s="122"/>
      <c r="AS224" s="122"/>
      <c r="AT224" s="122"/>
      <c r="AU224" s="122"/>
      <c r="AV224" s="122"/>
      <c r="AW224" s="122"/>
      <c r="AX224" s="122"/>
      <c r="AY224" s="122"/>
      <c r="AZ224" s="122"/>
      <c r="BA224" s="122"/>
      <c r="BB224" s="122"/>
      <c r="BC224" s="122"/>
      <c r="BD224" s="122"/>
      <c r="BE224" s="122"/>
      <c r="BF224" s="122"/>
      <c r="BG224" s="122"/>
      <c r="BH224" s="122"/>
      <c r="BI224" s="122"/>
      <c r="BJ224" s="122"/>
      <c r="BK224" s="122"/>
      <c r="BL224" s="122"/>
      <c r="BM224" s="122"/>
      <c r="BN224" s="122"/>
      <c r="BO224" s="122"/>
      <c r="BP224" s="122"/>
      <c r="BQ224" s="122"/>
      <c r="BR224" s="122"/>
      <c r="BS224" s="122"/>
      <c r="BT224" s="122"/>
      <c r="BU224" s="122"/>
      <c r="BV224" s="122"/>
      <c r="BW224" s="122"/>
      <c r="BX224" s="122"/>
      <c r="BY224" s="122"/>
      <c r="BZ224" s="122"/>
      <c r="CA224" s="122"/>
      <c r="CB224" s="122"/>
      <c r="CC224" s="122"/>
      <c r="CD224" s="122"/>
      <c r="CE224" s="122"/>
      <c r="CF224" s="122"/>
      <c r="CG224" s="122"/>
      <c r="CH224" s="122"/>
      <c r="CI224" s="122"/>
      <c r="CJ224" s="122"/>
      <c r="CK224" s="122"/>
      <c r="CL224" s="122"/>
      <c r="CM224" s="122"/>
      <c r="CN224" s="122"/>
      <c r="CO224" s="122"/>
      <c r="CP224" s="122"/>
      <c r="CQ224" s="122"/>
      <c r="CR224" s="122"/>
      <c r="CS224" s="122"/>
      <c r="CT224" s="122"/>
      <c r="CU224" s="122"/>
      <c r="CV224" s="122"/>
      <c r="CW224" s="122"/>
      <c r="CX224" s="122"/>
      <c r="CY224" s="122"/>
      <c r="CZ224" s="122"/>
      <c r="DA224" s="122"/>
      <c r="DB224" s="122"/>
      <c r="DC224" s="122"/>
      <c r="DD224" s="122"/>
      <c r="DE224" s="122"/>
      <c r="DF224" s="122"/>
      <c r="DG224" s="122"/>
      <c r="DH224" s="122"/>
      <c r="DI224" s="122"/>
      <c r="DJ224" s="122"/>
      <c r="DK224" s="122"/>
      <c r="DL224" s="122"/>
      <c r="DM224" s="122"/>
      <c r="DN224" s="122"/>
      <c r="DO224" s="122"/>
      <c r="DP224" s="122"/>
      <c r="DQ224" s="122"/>
      <c r="DR224" s="122"/>
      <c r="DS224" s="122"/>
      <c r="DT224" s="122"/>
      <c r="DU224" s="122"/>
      <c r="DV224" s="122"/>
      <c r="DW224" s="122"/>
      <c r="DX224" s="122"/>
      <c r="DY224" s="122"/>
      <c r="DZ224" s="122"/>
      <c r="EA224" s="122"/>
      <c r="EB224" s="122"/>
      <c r="EC224" s="122"/>
      <c r="ED224" s="122"/>
      <c r="EE224" s="122"/>
      <c r="EF224" s="122"/>
      <c r="EG224" s="122"/>
      <c r="EH224" s="122"/>
      <c r="EI224" s="122"/>
      <c r="EJ224" s="122"/>
      <c r="EK224" s="122"/>
      <c r="EL224" s="122"/>
      <c r="EM224" s="122"/>
      <c r="EN224" s="122"/>
      <c r="EO224" s="122"/>
      <c r="EP224" s="122"/>
      <c r="EQ224" s="122"/>
      <c r="ER224" s="122"/>
      <c r="ES224" s="122"/>
      <c r="ET224" s="122"/>
      <c r="EU224" s="122"/>
      <c r="EV224" s="122"/>
      <c r="EW224" s="122"/>
      <c r="EX224" s="122"/>
      <c r="EY224" s="122"/>
      <c r="EZ224" s="122"/>
      <c r="FA224" s="122"/>
      <c r="FB224" s="122"/>
      <c r="FC224" s="122"/>
      <c r="FD224" s="122"/>
      <c r="FE224" s="122"/>
      <c r="FF224" s="122"/>
      <c r="FG224" s="122"/>
      <c r="FH224" s="122"/>
      <c r="FI224" s="122"/>
      <c r="FJ224" s="122"/>
      <c r="FK224" s="122"/>
      <c r="FL224" s="122"/>
      <c r="FM224" s="122"/>
      <c r="FN224" s="122"/>
      <c r="FO224" s="122"/>
      <c r="FP224" s="122"/>
      <c r="FQ224" s="122"/>
      <c r="FR224" s="122"/>
      <c r="FS224" s="122"/>
      <c r="FT224" s="122"/>
      <c r="FU224" s="122"/>
      <c r="FV224" s="122"/>
      <c r="FW224" s="122"/>
      <c r="FX224" s="122"/>
      <c r="FY224" s="122"/>
      <c r="FZ224" s="122"/>
      <c r="GA224" s="122"/>
      <c r="GB224" s="122"/>
      <c r="GC224" s="122"/>
      <c r="GD224" s="122"/>
      <c r="GE224" s="122"/>
      <c r="GF224" s="122"/>
      <c r="GG224" s="122"/>
      <c r="GH224" s="122"/>
      <c r="GI224" s="122"/>
      <c r="GJ224" s="122"/>
      <c r="GK224" s="122"/>
      <c r="GL224" s="122"/>
      <c r="GM224" s="122"/>
      <c r="GN224" s="122"/>
      <c r="GO224" s="122"/>
      <c r="GP224" s="122"/>
      <c r="GQ224" s="122"/>
      <c r="GR224" s="122"/>
      <c r="GS224" s="122"/>
      <c r="GT224" s="122"/>
      <c r="GU224" s="122"/>
      <c r="GV224" s="122"/>
      <c r="GW224" s="122"/>
      <c r="GX224" s="122"/>
      <c r="GY224" s="122"/>
      <c r="GZ224" s="122"/>
      <c r="HA224" s="122"/>
      <c r="HB224" s="122"/>
      <c r="HC224" s="122"/>
      <c r="HD224" s="122"/>
      <c r="HE224" s="122"/>
      <c r="HF224" s="122"/>
      <c r="HG224" s="122"/>
      <c r="HH224" s="122"/>
      <c r="HI224" s="122"/>
      <c r="HJ224" s="122"/>
      <c r="HK224" s="122"/>
      <c r="HL224" s="122"/>
      <c r="HM224" s="122"/>
      <c r="HN224" s="122"/>
      <c r="HO224" s="122"/>
      <c r="HP224" s="122"/>
      <c r="HQ224" s="122"/>
      <c r="HR224" s="122"/>
      <c r="HS224" s="122"/>
      <c r="HT224" s="122"/>
      <c r="HU224" s="122"/>
      <c r="HV224" s="122"/>
      <c r="HW224" s="122"/>
      <c r="HX224" s="122"/>
      <c r="HY224" s="122"/>
      <c r="HZ224" s="122"/>
      <c r="IA224" s="122"/>
      <c r="IB224" s="122"/>
      <c r="IC224" s="122"/>
      <c r="ID224" s="122"/>
      <c r="IE224" s="122"/>
      <c r="IF224" s="122"/>
      <c r="IG224" s="122"/>
      <c r="IH224" s="122"/>
      <c r="II224" s="122"/>
      <c r="IJ224" s="122"/>
      <c r="IK224" s="122"/>
      <c r="IL224" s="122"/>
      <c r="IM224" s="122"/>
      <c r="IN224" s="122"/>
      <c r="IO224" s="122"/>
    </row>
    <row r="225" spans="3:249">
      <c r="C225" s="130"/>
      <c r="D225" s="122"/>
      <c r="E225" s="122"/>
      <c r="F225" s="122"/>
      <c r="G225" s="122"/>
      <c r="H225" s="122"/>
      <c r="I225" s="122"/>
      <c r="J225" s="122"/>
      <c r="AF225" s="122"/>
      <c r="AG225" s="122"/>
      <c r="AH225" s="122"/>
      <c r="AI225" s="122"/>
      <c r="AJ225" s="122"/>
      <c r="AK225" s="122"/>
      <c r="AL225" s="122"/>
      <c r="AM225" s="122"/>
      <c r="AN225" s="122"/>
      <c r="AO225" s="122"/>
      <c r="AP225" s="122"/>
      <c r="AQ225" s="122"/>
      <c r="AR225" s="122"/>
      <c r="AS225" s="122"/>
      <c r="AT225" s="122"/>
      <c r="AU225" s="122"/>
      <c r="AV225" s="122"/>
      <c r="AW225" s="122"/>
      <c r="AX225" s="122"/>
      <c r="AY225" s="122"/>
      <c r="AZ225" s="122"/>
      <c r="BA225" s="122"/>
      <c r="BB225" s="122"/>
      <c r="BC225" s="122"/>
      <c r="BD225" s="122"/>
      <c r="BE225" s="122"/>
      <c r="BF225" s="122"/>
      <c r="BG225" s="122"/>
      <c r="BH225" s="122"/>
      <c r="BI225" s="122"/>
      <c r="BJ225" s="122"/>
      <c r="BK225" s="122"/>
      <c r="BL225" s="122"/>
      <c r="BM225" s="122"/>
      <c r="BN225" s="122"/>
      <c r="BO225" s="122"/>
      <c r="BP225" s="122"/>
      <c r="BQ225" s="122"/>
      <c r="BR225" s="122"/>
      <c r="BS225" s="122"/>
      <c r="BT225" s="122"/>
      <c r="BU225" s="122"/>
      <c r="BV225" s="122"/>
      <c r="BW225" s="122"/>
      <c r="BX225" s="122"/>
      <c r="BY225" s="122"/>
      <c r="BZ225" s="122"/>
      <c r="CA225" s="122"/>
      <c r="CB225" s="122"/>
      <c r="CC225" s="122"/>
      <c r="CD225" s="122"/>
      <c r="CE225" s="122"/>
      <c r="CF225" s="122"/>
      <c r="CG225" s="122"/>
      <c r="CH225" s="122"/>
      <c r="CI225" s="122"/>
      <c r="CJ225" s="122"/>
      <c r="CK225" s="122"/>
      <c r="CL225" s="122"/>
      <c r="CM225" s="122"/>
      <c r="CN225" s="122"/>
      <c r="CO225" s="122"/>
      <c r="CP225" s="122"/>
      <c r="CQ225" s="122"/>
      <c r="CR225" s="122"/>
      <c r="CS225" s="122"/>
      <c r="CT225" s="122"/>
      <c r="CU225" s="122"/>
      <c r="CV225" s="122"/>
      <c r="CW225" s="122"/>
      <c r="CX225" s="122"/>
      <c r="CY225" s="122"/>
      <c r="CZ225" s="122"/>
      <c r="DA225" s="122"/>
      <c r="DB225" s="122"/>
      <c r="DC225" s="122"/>
      <c r="DD225" s="122"/>
      <c r="DE225" s="122"/>
      <c r="DF225" s="122"/>
      <c r="DG225" s="122"/>
      <c r="DH225" s="122"/>
      <c r="DI225" s="122"/>
      <c r="DJ225" s="122"/>
      <c r="DK225" s="122"/>
      <c r="DL225" s="122"/>
      <c r="DM225" s="122"/>
      <c r="DN225" s="122"/>
      <c r="DO225" s="122"/>
      <c r="DP225" s="122"/>
      <c r="DQ225" s="122"/>
      <c r="DR225" s="122"/>
      <c r="DS225" s="122"/>
      <c r="DT225" s="122"/>
      <c r="DU225" s="122"/>
      <c r="DV225" s="122"/>
      <c r="DW225" s="122"/>
      <c r="DX225" s="122"/>
      <c r="DY225" s="122"/>
      <c r="DZ225" s="122"/>
      <c r="EA225" s="122"/>
      <c r="EB225" s="122"/>
      <c r="EC225" s="122"/>
      <c r="ED225" s="122"/>
      <c r="EE225" s="122"/>
      <c r="EF225" s="122"/>
      <c r="EG225" s="122"/>
      <c r="EH225" s="122"/>
      <c r="EI225" s="122"/>
      <c r="EJ225" s="122"/>
      <c r="EK225" s="122"/>
      <c r="EL225" s="122"/>
      <c r="EM225" s="122"/>
      <c r="EN225" s="122"/>
      <c r="EO225" s="122"/>
      <c r="EP225" s="122"/>
      <c r="EQ225" s="122"/>
      <c r="ER225" s="122"/>
      <c r="ES225" s="122"/>
      <c r="ET225" s="122"/>
      <c r="EU225" s="122"/>
      <c r="EV225" s="122"/>
      <c r="EW225" s="122"/>
      <c r="EX225" s="122"/>
      <c r="EY225" s="122"/>
      <c r="EZ225" s="122"/>
      <c r="FA225" s="122"/>
      <c r="FB225" s="122"/>
      <c r="FC225" s="122"/>
      <c r="FD225" s="122"/>
      <c r="FE225" s="122"/>
      <c r="FF225" s="122"/>
      <c r="FG225" s="122"/>
      <c r="FH225" s="122"/>
      <c r="FI225" s="122"/>
      <c r="FJ225" s="122"/>
      <c r="FK225" s="122"/>
      <c r="FL225" s="122"/>
      <c r="FM225" s="122"/>
      <c r="FN225" s="122"/>
      <c r="FO225" s="122"/>
      <c r="FP225" s="122"/>
      <c r="FQ225" s="122"/>
      <c r="FR225" s="122"/>
      <c r="FS225" s="122"/>
      <c r="FT225" s="122"/>
      <c r="FU225" s="122"/>
      <c r="FV225" s="122"/>
      <c r="FW225" s="122"/>
      <c r="FX225" s="122"/>
      <c r="FY225" s="122"/>
      <c r="FZ225" s="122"/>
      <c r="GA225" s="122"/>
      <c r="GB225" s="122"/>
      <c r="GC225" s="122"/>
      <c r="GD225" s="122"/>
      <c r="GE225" s="122"/>
      <c r="GF225" s="122"/>
      <c r="GG225" s="122"/>
      <c r="GH225" s="122"/>
      <c r="GI225" s="122"/>
      <c r="GJ225" s="122"/>
      <c r="GK225" s="122"/>
      <c r="GL225" s="122"/>
      <c r="GM225" s="122"/>
      <c r="GN225" s="122"/>
      <c r="GO225" s="122"/>
      <c r="GP225" s="122"/>
      <c r="GQ225" s="122"/>
      <c r="GR225" s="122"/>
      <c r="GS225" s="122"/>
      <c r="GT225" s="122"/>
      <c r="GU225" s="122"/>
      <c r="GV225" s="122"/>
      <c r="GW225" s="122"/>
      <c r="GX225" s="122"/>
      <c r="GY225" s="122"/>
      <c r="GZ225" s="122"/>
      <c r="HA225" s="122"/>
      <c r="HB225" s="122"/>
      <c r="HC225" s="122"/>
      <c r="HD225" s="122"/>
      <c r="HE225" s="122"/>
      <c r="HF225" s="122"/>
      <c r="HG225" s="122"/>
      <c r="HH225" s="122"/>
      <c r="HI225" s="122"/>
      <c r="HJ225" s="122"/>
      <c r="HK225" s="122"/>
      <c r="HL225" s="122"/>
      <c r="HM225" s="122"/>
      <c r="HN225" s="122"/>
      <c r="HO225" s="122"/>
      <c r="HP225" s="122"/>
      <c r="HQ225" s="122"/>
      <c r="HR225" s="122"/>
      <c r="HS225" s="122"/>
      <c r="HT225" s="122"/>
      <c r="HU225" s="122"/>
      <c r="HV225" s="122"/>
      <c r="HW225" s="122"/>
      <c r="HX225" s="122"/>
      <c r="HY225" s="122"/>
      <c r="HZ225" s="122"/>
      <c r="IA225" s="122"/>
      <c r="IB225" s="122"/>
      <c r="IC225" s="122"/>
      <c r="ID225" s="122"/>
      <c r="IE225" s="122"/>
      <c r="IF225" s="122"/>
      <c r="IG225" s="122"/>
      <c r="IH225" s="122"/>
      <c r="II225" s="122"/>
      <c r="IJ225" s="122"/>
      <c r="IK225" s="122"/>
      <c r="IL225" s="122"/>
      <c r="IM225" s="122"/>
      <c r="IN225" s="122"/>
      <c r="IO225" s="122"/>
    </row>
  </sheetData>
  <customSheetViews>
    <customSheetView guid="{52AE7582-FD95-46D8-BA65-D10753F310CC}" scale="90">
      <pane xSplit="3" topLeftCell="D1" activePane="topRight" state="frozen"/>
      <selection pane="topRight" activeCell="B2" sqref="B2:C2"/>
      <pageMargins left="0.70866141732283472" right="0.70866141732283472" top="0.74803149606299213" bottom="0.74803149606299213" header="0.31496062992125984" footer="0.31496062992125984"/>
      <pageSetup paperSize="9" orientation="landscape" r:id="rId1"/>
    </customSheetView>
    <customSheetView guid="{38D3F89A-32F8-4A57-A6F8-1BC1DD4CBDE7}" scale="90" showPageBreaks="1" topLeftCell="A10">
      <pane xSplit="3" topLeftCell="D1" activePane="topRight" state="frozen"/>
      <selection pane="topRight" activeCell="C30" sqref="C30"/>
      <pageMargins left="0.70866141732283472" right="0.70866141732283472" top="0.74803149606299213" bottom="0.74803149606299213" header="0.31496062992125984" footer="0.31496062992125984"/>
      <pageSetup paperSize="9" orientation="landscape" r:id="rId2"/>
    </customSheetView>
  </customSheetViews>
  <mergeCells count="27">
    <mergeCell ref="B9:B10"/>
    <mergeCell ref="B13:B16"/>
    <mergeCell ref="B64:B65"/>
    <mergeCell ref="B11:C11"/>
    <mergeCell ref="B45:C45"/>
    <mergeCell ref="B19:B21"/>
    <mergeCell ref="B23:B24"/>
    <mergeCell ref="B30:C30"/>
    <mergeCell ref="B32:B36"/>
    <mergeCell ref="B26:B27"/>
    <mergeCell ref="B2:C2"/>
    <mergeCell ref="B3:C3"/>
    <mergeCell ref="B4:C4"/>
    <mergeCell ref="B6:C6"/>
    <mergeCell ref="B5:C5"/>
    <mergeCell ref="AL80:FL83"/>
    <mergeCell ref="B152:C152"/>
    <mergeCell ref="B38:B41"/>
    <mergeCell ref="B49:B61"/>
    <mergeCell ref="B145:C145"/>
    <mergeCell ref="B66:C66"/>
    <mergeCell ref="B124:C124"/>
    <mergeCell ref="B122:C122"/>
    <mergeCell ref="B123:C123"/>
    <mergeCell ref="B138:C138"/>
    <mergeCell ref="B127:C127"/>
    <mergeCell ref="B43:B44"/>
  </mergeCells>
  <dataValidations count="2">
    <dataValidation type="list" allowBlank="1" showInputMessage="1" showErrorMessage="1" sqref="D6:IO6">
      <formula1>"P1,P2,P3,P4,P5"</formula1>
    </dataValidation>
    <dataValidation type="list" allowBlank="1" showInputMessage="1" showErrorMessage="1" sqref="D5:IO5">
      <formula1>"PIT,SIT,E2E"</formula1>
    </dataValidation>
  </dataValidations>
  <pageMargins left="0.70866141732283472" right="0.70866141732283472" top="0.74803149606299213" bottom="0.74803149606299213" header="0.31496062992125984" footer="0.31496062992125984"/>
  <pageSetup paperSize="9" orientation="landscape"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L20"/>
  <sheetViews>
    <sheetView zoomScale="70" zoomScaleNormal="70" workbookViewId="0">
      <selection activeCell="D30" sqref="D30"/>
    </sheetView>
  </sheetViews>
  <sheetFormatPr defaultRowHeight="15"/>
  <cols>
    <col min="1" max="16384" width="9.140625" style="32"/>
  </cols>
  <sheetData>
    <row r="2" spans="2:11">
      <c r="B2" s="32" t="s">
        <v>531</v>
      </c>
    </row>
    <row r="11" spans="2:11">
      <c r="K11" s="32" t="s">
        <v>533</v>
      </c>
    </row>
    <row r="20" spans="3:12">
      <c r="C20" s="32" t="s">
        <v>311</v>
      </c>
      <c r="L20" s="32" t="s">
        <v>678</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35"/>
  <sheetViews>
    <sheetView workbookViewId="0">
      <selection activeCell="C3" sqref="C3"/>
    </sheetView>
  </sheetViews>
  <sheetFormatPr defaultRowHeight="15"/>
  <cols>
    <col min="2" max="2" width="9.85546875" style="14" bestFit="1" customWidth="1"/>
    <col min="3" max="3" width="71.85546875" customWidth="1"/>
  </cols>
  <sheetData>
    <row r="1" spans="1:4">
      <c r="A1" s="12" t="s">
        <v>366</v>
      </c>
      <c r="B1" s="13" t="s">
        <v>367</v>
      </c>
      <c r="C1" s="12" t="s">
        <v>368</v>
      </c>
      <c r="D1" s="12"/>
    </row>
    <row r="2" spans="1:4">
      <c r="A2" s="12" t="s">
        <v>454</v>
      </c>
      <c r="B2" s="13">
        <v>42459</v>
      </c>
      <c r="C2" s="12" t="s">
        <v>455</v>
      </c>
      <c r="D2" s="12"/>
    </row>
    <row r="3" spans="1:4" ht="30">
      <c r="A3" s="12" t="s">
        <v>436</v>
      </c>
      <c r="B3" s="13">
        <v>42194</v>
      </c>
      <c r="C3" s="15" t="s">
        <v>437</v>
      </c>
      <c r="D3" s="12"/>
    </row>
    <row r="4" spans="1:4" ht="60">
      <c r="A4" s="12" t="s">
        <v>433</v>
      </c>
      <c r="B4" s="13">
        <v>42184</v>
      </c>
      <c r="C4" s="15" t="s">
        <v>434</v>
      </c>
      <c r="D4" s="12"/>
    </row>
    <row r="5" spans="1:4">
      <c r="A5" s="12" t="s">
        <v>407</v>
      </c>
      <c r="B5" s="13">
        <v>42108</v>
      </c>
      <c r="C5" s="12" t="s">
        <v>424</v>
      </c>
      <c r="D5" s="12"/>
    </row>
    <row r="6" spans="1:4" ht="60">
      <c r="A6" s="12" t="s">
        <v>405</v>
      </c>
      <c r="B6" s="13">
        <v>42073</v>
      </c>
      <c r="C6" s="15" t="s">
        <v>406</v>
      </c>
      <c r="D6" s="12"/>
    </row>
    <row r="7" spans="1:4" ht="75">
      <c r="A7" s="12" t="s">
        <v>390</v>
      </c>
      <c r="B7" s="13">
        <v>41743</v>
      </c>
      <c r="C7" s="15" t="s">
        <v>391</v>
      </c>
      <c r="D7" s="12"/>
    </row>
    <row r="8" spans="1:4" ht="75">
      <c r="A8" s="12" t="s">
        <v>388</v>
      </c>
      <c r="B8" s="13">
        <v>41739</v>
      </c>
      <c r="C8" s="15" t="s">
        <v>389</v>
      </c>
      <c r="D8" s="12"/>
    </row>
    <row r="9" spans="1:4" ht="120">
      <c r="A9" s="12" t="s">
        <v>377</v>
      </c>
      <c r="B9" s="13">
        <v>41735</v>
      </c>
      <c r="C9" s="15" t="s">
        <v>387</v>
      </c>
      <c r="D9" s="12"/>
    </row>
    <row r="10" spans="1:4">
      <c r="A10" s="12" t="s">
        <v>369</v>
      </c>
      <c r="B10" s="13">
        <v>41670</v>
      </c>
      <c r="C10" s="12" t="s">
        <v>370</v>
      </c>
      <c r="D10" s="12"/>
    </row>
    <row r="11" spans="1:4">
      <c r="A11" s="12" t="s">
        <v>371</v>
      </c>
      <c r="B11" s="13" t="s">
        <v>372</v>
      </c>
      <c r="C11" s="12" t="s">
        <v>373</v>
      </c>
      <c r="D11" s="12"/>
    </row>
    <row r="12" spans="1:4">
      <c r="A12" s="12" t="s">
        <v>374</v>
      </c>
      <c r="B12" s="13" t="s">
        <v>372</v>
      </c>
      <c r="C12" s="12" t="s">
        <v>375</v>
      </c>
      <c r="D12" s="12"/>
    </row>
    <row r="13" spans="1:4">
      <c r="A13" s="12"/>
      <c r="B13" s="13"/>
      <c r="C13" s="12"/>
      <c r="D13" s="12"/>
    </row>
    <row r="14" spans="1:4">
      <c r="A14" s="12"/>
      <c r="B14" s="13"/>
      <c r="C14" s="12"/>
      <c r="D14" s="12"/>
    </row>
    <row r="15" spans="1:4">
      <c r="A15" s="12"/>
      <c r="B15" s="13"/>
      <c r="C15" s="12"/>
      <c r="D15" s="12"/>
    </row>
    <row r="16" spans="1:4">
      <c r="A16" s="12"/>
      <c r="B16" s="13"/>
      <c r="C16" s="12"/>
      <c r="D16" s="12"/>
    </row>
    <row r="17" spans="1:4">
      <c r="A17" s="12"/>
      <c r="B17" s="13"/>
      <c r="C17" s="12"/>
      <c r="D17" s="12"/>
    </row>
    <row r="18" spans="1:4">
      <c r="A18" s="12"/>
      <c r="B18" s="13"/>
      <c r="C18" s="12"/>
      <c r="D18" s="12"/>
    </row>
    <row r="19" spans="1:4">
      <c r="A19" s="12"/>
      <c r="B19" s="13"/>
      <c r="C19" s="12"/>
      <c r="D19" s="12"/>
    </row>
    <row r="20" spans="1:4">
      <c r="A20" s="12"/>
      <c r="B20" s="13"/>
      <c r="C20" s="12"/>
      <c r="D20" s="12"/>
    </row>
    <row r="21" spans="1:4">
      <c r="A21" s="12"/>
      <c r="B21" s="13"/>
      <c r="C21" s="12"/>
      <c r="D21" s="12"/>
    </row>
    <row r="22" spans="1:4">
      <c r="A22" s="12"/>
      <c r="B22" s="13"/>
      <c r="C22" s="12"/>
      <c r="D22" s="12"/>
    </row>
    <row r="23" spans="1:4">
      <c r="A23" s="12"/>
      <c r="B23" s="13"/>
      <c r="C23" s="12"/>
      <c r="D23" s="12"/>
    </row>
    <row r="24" spans="1:4">
      <c r="A24" s="12"/>
      <c r="B24" s="13"/>
      <c r="C24" s="12"/>
      <c r="D24" s="12"/>
    </row>
    <row r="25" spans="1:4">
      <c r="A25" s="12"/>
      <c r="B25" s="13"/>
      <c r="C25" s="12"/>
      <c r="D25" s="12"/>
    </row>
    <row r="26" spans="1:4">
      <c r="A26" s="12"/>
      <c r="B26" s="13"/>
      <c r="C26" s="12"/>
      <c r="D26" s="12"/>
    </row>
    <row r="27" spans="1:4">
      <c r="A27" s="12"/>
      <c r="B27" s="13"/>
      <c r="C27" s="12"/>
      <c r="D27" s="12"/>
    </row>
    <row r="28" spans="1:4">
      <c r="A28" s="12"/>
      <c r="B28" s="13"/>
      <c r="C28" s="12"/>
      <c r="D28" s="12"/>
    </row>
    <row r="29" spans="1:4">
      <c r="A29" s="12"/>
      <c r="B29" s="13"/>
      <c r="C29" s="12"/>
      <c r="D29" s="12"/>
    </row>
    <row r="30" spans="1:4">
      <c r="A30" s="12"/>
      <c r="B30" s="13"/>
      <c r="C30" s="12"/>
      <c r="D30" s="12"/>
    </row>
    <row r="31" spans="1:4">
      <c r="A31" s="12"/>
      <c r="B31" s="13"/>
      <c r="C31" s="12"/>
      <c r="D31" s="12"/>
    </row>
    <row r="32" spans="1:4">
      <c r="A32" s="12"/>
      <c r="B32" s="13"/>
      <c r="C32" s="12"/>
      <c r="D32" s="12"/>
    </row>
    <row r="33" spans="1:4">
      <c r="A33" s="12"/>
      <c r="B33" s="13"/>
      <c r="C33" s="12"/>
      <c r="D33" s="12"/>
    </row>
    <row r="34" spans="1:4">
      <c r="A34" s="12"/>
      <c r="B34" s="13"/>
      <c r="C34" s="12"/>
      <c r="D34" s="12"/>
    </row>
    <row r="35" spans="1:4">
      <c r="A35" s="12"/>
      <c r="B35" s="13"/>
      <c r="C35" s="12"/>
      <c r="D35" s="12"/>
    </row>
  </sheetData>
  <customSheetViews>
    <customSheetView guid="{52AE7582-FD95-46D8-BA65-D10753F310CC}" state="hidden">
      <selection activeCell="C3" sqref="C3"/>
      <pageMargins left="0.7" right="0.7" top="0.75" bottom="0.75" header="0.3" footer="0.3"/>
    </customSheetView>
    <customSheetView guid="{38D3F89A-32F8-4A57-A6F8-1BC1DD4CBDE7}" state="hidden">
      <selection activeCell="C3" sqref="C3"/>
      <pageMargins left="0.7" right="0.7" top="0.75" bottom="0.75" header="0.3" footer="0.3"/>
    </customSheetView>
  </customSheetView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268"/>
  <sheetViews>
    <sheetView topLeftCell="E1" workbookViewId="0">
      <selection activeCell="G30" sqref="G30"/>
    </sheetView>
  </sheetViews>
  <sheetFormatPr defaultRowHeight="15"/>
  <cols>
    <col min="1" max="1" width="10.140625" bestFit="1" customWidth="1"/>
    <col min="2" max="2" width="11.42578125" bestFit="1" customWidth="1"/>
    <col min="3" max="3" width="28.42578125" bestFit="1" customWidth="1"/>
    <col min="4" max="4" width="62.85546875" bestFit="1" customWidth="1"/>
    <col min="5" max="5" width="37.42578125" bestFit="1" customWidth="1"/>
    <col min="6" max="6" width="9.140625" bestFit="1" customWidth="1"/>
    <col min="8" max="8" width="19.28515625" bestFit="1" customWidth="1"/>
  </cols>
  <sheetData>
    <row r="1" spans="1:9">
      <c r="A1" s="20" t="s">
        <v>20</v>
      </c>
      <c r="B1" s="20" t="s">
        <v>4</v>
      </c>
      <c r="C1" s="20" t="s">
        <v>11</v>
      </c>
      <c r="D1" s="20" t="s">
        <v>12</v>
      </c>
      <c r="E1" s="20" t="s">
        <v>7</v>
      </c>
      <c r="F1" s="20" t="s">
        <v>365</v>
      </c>
      <c r="G1" s="20" t="s">
        <v>3</v>
      </c>
      <c r="H1" s="1" t="s">
        <v>409</v>
      </c>
      <c r="I1" s="20" t="s">
        <v>408</v>
      </c>
    </row>
    <row r="2" spans="1:9">
      <c r="A2" s="19" t="s">
        <v>13</v>
      </c>
      <c r="B2" s="18" t="s">
        <v>304</v>
      </c>
      <c r="C2" t="s">
        <v>23</v>
      </c>
      <c r="D2" s="4" t="s">
        <v>24</v>
      </c>
      <c r="E2" s="18" t="s">
        <v>354</v>
      </c>
      <c r="F2" s="19" t="s">
        <v>360</v>
      </c>
      <c r="G2" s="17" t="s">
        <v>438</v>
      </c>
      <c r="H2" s="21" t="s">
        <v>410</v>
      </c>
      <c r="I2" t="s">
        <v>420</v>
      </c>
    </row>
    <row r="3" spans="1:9">
      <c r="A3" s="19" t="s">
        <v>19</v>
      </c>
      <c r="B3" s="18" t="s">
        <v>14</v>
      </c>
      <c r="C3" t="s">
        <v>25</v>
      </c>
      <c r="D3" s="4" t="s">
        <v>26</v>
      </c>
      <c r="E3" s="18" t="s">
        <v>15</v>
      </c>
      <c r="F3" s="19" t="s">
        <v>322</v>
      </c>
      <c r="G3" s="17" t="s">
        <v>400</v>
      </c>
      <c r="H3" s="21" t="s">
        <v>411</v>
      </c>
    </row>
    <row r="4" spans="1:9">
      <c r="A4" s="19" t="s">
        <v>21</v>
      </c>
      <c r="B4" s="18" t="s">
        <v>305</v>
      </c>
      <c r="C4" t="s">
        <v>27</v>
      </c>
      <c r="D4" s="4" t="s">
        <v>28</v>
      </c>
      <c r="E4" s="18" t="s">
        <v>355</v>
      </c>
      <c r="G4" s="17" t="s">
        <v>440</v>
      </c>
      <c r="H4" s="21" t="s">
        <v>412</v>
      </c>
    </row>
    <row r="5" spans="1:9">
      <c r="A5" s="19" t="s">
        <v>22</v>
      </c>
      <c r="B5" s="18" t="s">
        <v>306</v>
      </c>
      <c r="C5" t="s">
        <v>29</v>
      </c>
      <c r="D5" s="4" t="s">
        <v>30</v>
      </c>
      <c r="E5" s="18" t="s">
        <v>356</v>
      </c>
      <c r="G5" s="17" t="s">
        <v>383</v>
      </c>
      <c r="H5" s="21" t="s">
        <v>413</v>
      </c>
    </row>
    <row r="6" spans="1:9">
      <c r="A6" s="19" t="s">
        <v>399</v>
      </c>
      <c r="B6" s="18" t="s">
        <v>307</v>
      </c>
      <c r="C6" t="s">
        <v>17</v>
      </c>
      <c r="D6" s="4" t="s">
        <v>31</v>
      </c>
      <c r="E6" s="18" t="s">
        <v>357</v>
      </c>
      <c r="G6" s="17" t="s">
        <v>425</v>
      </c>
      <c r="H6" s="21" t="s">
        <v>414</v>
      </c>
    </row>
    <row r="7" spans="1:9">
      <c r="B7" s="18" t="s">
        <v>308</v>
      </c>
      <c r="C7" t="s">
        <v>32</v>
      </c>
      <c r="D7" t="s">
        <v>33</v>
      </c>
      <c r="E7" s="18" t="s">
        <v>358</v>
      </c>
      <c r="G7" s="17" t="s">
        <v>432</v>
      </c>
      <c r="H7" s="21" t="s">
        <v>415</v>
      </c>
    </row>
    <row r="8" spans="1:9">
      <c r="C8" t="s">
        <v>34</v>
      </c>
      <c r="D8" t="s">
        <v>35</v>
      </c>
      <c r="G8" s="17" t="s">
        <v>398</v>
      </c>
      <c r="H8" s="21" t="s">
        <v>416</v>
      </c>
    </row>
    <row r="9" spans="1:9">
      <c r="C9" t="s">
        <v>36</v>
      </c>
      <c r="D9" t="s">
        <v>37</v>
      </c>
      <c r="G9" s="17" t="s">
        <v>426</v>
      </c>
      <c r="H9" s="21" t="s">
        <v>417</v>
      </c>
    </row>
    <row r="10" spans="1:9">
      <c r="C10" t="s">
        <v>38</v>
      </c>
      <c r="D10" t="s">
        <v>39</v>
      </c>
      <c r="G10" s="17" t="s">
        <v>378</v>
      </c>
      <c r="H10" s="21" t="s">
        <v>418</v>
      </c>
    </row>
    <row r="11" spans="1:9">
      <c r="C11" t="s">
        <v>40</v>
      </c>
      <c r="D11" t="s">
        <v>41</v>
      </c>
      <c r="G11" s="17" t="s">
        <v>439</v>
      </c>
      <c r="H11" s="21" t="s">
        <v>419</v>
      </c>
    </row>
    <row r="12" spans="1:9">
      <c r="C12" t="s">
        <v>42</v>
      </c>
      <c r="D12" t="s">
        <v>43</v>
      </c>
      <c r="G12" s="17" t="s">
        <v>431</v>
      </c>
      <c r="H12" s="21"/>
    </row>
    <row r="13" spans="1:9">
      <c r="C13" t="s">
        <v>44</v>
      </c>
      <c r="D13" t="s">
        <v>45</v>
      </c>
      <c r="G13" s="17" t="s">
        <v>401</v>
      </c>
      <c r="H13" s="21"/>
    </row>
    <row r="14" spans="1:9">
      <c r="C14" t="s">
        <v>46</v>
      </c>
      <c r="D14" s="4" t="s">
        <v>47</v>
      </c>
      <c r="G14" s="17" t="s">
        <v>384</v>
      </c>
      <c r="H14" s="21"/>
    </row>
    <row r="15" spans="1:9">
      <c r="C15" t="s">
        <v>48</v>
      </c>
      <c r="D15" s="4" t="s">
        <v>49</v>
      </c>
      <c r="G15" s="17" t="s">
        <v>402</v>
      </c>
      <c r="H15" s="21"/>
    </row>
    <row r="16" spans="1:9">
      <c r="C16" t="s">
        <v>50</v>
      </c>
      <c r="D16" s="4" t="s">
        <v>51</v>
      </c>
      <c r="G16" s="17" t="s">
        <v>403</v>
      </c>
    </row>
    <row r="17" spans="3:7">
      <c r="C17" t="s">
        <v>52</v>
      </c>
      <c r="D17" s="4" t="s">
        <v>53</v>
      </c>
      <c r="G17" s="17" t="s">
        <v>441</v>
      </c>
    </row>
    <row r="18" spans="3:7">
      <c r="D18" s="4" t="s">
        <v>54</v>
      </c>
      <c r="G18" s="17" t="s">
        <v>379</v>
      </c>
    </row>
    <row r="19" spans="3:7">
      <c r="D19" s="4" t="s">
        <v>55</v>
      </c>
      <c r="G19" s="17" t="s">
        <v>380</v>
      </c>
    </row>
    <row r="20" spans="3:7">
      <c r="D20" t="s">
        <v>56</v>
      </c>
      <c r="G20" s="17" t="s">
        <v>428</v>
      </c>
    </row>
    <row r="21" spans="3:7">
      <c r="D21" t="s">
        <v>57</v>
      </c>
      <c r="G21" s="17" t="s">
        <v>404</v>
      </c>
    </row>
    <row r="22" spans="3:7">
      <c r="D22" t="s">
        <v>58</v>
      </c>
      <c r="G22" s="17" t="s">
        <v>435</v>
      </c>
    </row>
    <row r="23" spans="3:7">
      <c r="D23" t="s">
        <v>59</v>
      </c>
      <c r="G23" s="17" t="s">
        <v>427</v>
      </c>
    </row>
    <row r="24" spans="3:7">
      <c r="D24" t="s">
        <v>60</v>
      </c>
      <c r="G24" s="17" t="s">
        <v>442</v>
      </c>
    </row>
    <row r="25" spans="3:7">
      <c r="D25" t="s">
        <v>61</v>
      </c>
      <c r="G25" s="17" t="s">
        <v>430</v>
      </c>
    </row>
    <row r="26" spans="3:7">
      <c r="D26" s="4" t="s">
        <v>62</v>
      </c>
      <c r="G26" s="17" t="s">
        <v>443</v>
      </c>
    </row>
    <row r="27" spans="3:7">
      <c r="D27" s="4" t="s">
        <v>63</v>
      </c>
      <c r="G27" s="17" t="s">
        <v>382</v>
      </c>
    </row>
    <row r="28" spans="3:7">
      <c r="D28" s="4" t="s">
        <v>64</v>
      </c>
      <c r="G28" s="17" t="s">
        <v>381</v>
      </c>
    </row>
    <row r="29" spans="3:7">
      <c r="D29" s="4" t="s">
        <v>65</v>
      </c>
      <c r="G29" s="17" t="s">
        <v>429</v>
      </c>
    </row>
    <row r="30" spans="3:7">
      <c r="D30" s="4" t="s">
        <v>66</v>
      </c>
      <c r="G30" s="17" t="s">
        <v>444</v>
      </c>
    </row>
    <row r="31" spans="3:7">
      <c r="D31" s="4" t="s">
        <v>67</v>
      </c>
      <c r="G31" s="17"/>
    </row>
    <row r="32" spans="3:7">
      <c r="D32" s="4" t="s">
        <v>68</v>
      </c>
      <c r="G32" s="17"/>
    </row>
    <row r="33" spans="4:7">
      <c r="D33" s="4" t="s">
        <v>69</v>
      </c>
      <c r="G33" s="17"/>
    </row>
    <row r="34" spans="4:7">
      <c r="D34" s="4" t="s">
        <v>70</v>
      </c>
    </row>
    <row r="35" spans="4:7">
      <c r="D35" s="4" t="s">
        <v>71</v>
      </c>
    </row>
    <row r="36" spans="4:7">
      <c r="D36" s="4" t="s">
        <v>72</v>
      </c>
    </row>
    <row r="37" spans="4:7">
      <c r="D37" s="4" t="s">
        <v>73</v>
      </c>
    </row>
    <row r="38" spans="4:7">
      <c r="D38" s="4" t="s">
        <v>74</v>
      </c>
    </row>
    <row r="39" spans="4:7">
      <c r="D39" s="4" t="s">
        <v>75</v>
      </c>
    </row>
    <row r="40" spans="4:7">
      <c r="D40" s="4" t="s">
        <v>76</v>
      </c>
    </row>
    <row r="41" spans="4:7">
      <c r="D41" s="4" t="s">
        <v>77</v>
      </c>
    </row>
    <row r="42" spans="4:7">
      <c r="D42" s="4" t="s">
        <v>78</v>
      </c>
    </row>
    <row r="43" spans="4:7">
      <c r="D43" s="4" t="s">
        <v>79</v>
      </c>
    </row>
    <row r="44" spans="4:7">
      <c r="D44" s="4" t="s">
        <v>80</v>
      </c>
    </row>
    <row r="45" spans="4:7">
      <c r="D45" s="4" t="s">
        <v>81</v>
      </c>
    </row>
    <row r="46" spans="4:7">
      <c r="D46" s="4" t="s">
        <v>82</v>
      </c>
    </row>
    <row r="47" spans="4:7">
      <c r="D47" s="4" t="s">
        <v>83</v>
      </c>
    </row>
    <row r="48" spans="4:7">
      <c r="D48" s="4" t="s">
        <v>84</v>
      </c>
    </row>
    <row r="49" spans="4:4">
      <c r="D49" s="4" t="s">
        <v>85</v>
      </c>
    </row>
    <row r="50" spans="4:4">
      <c r="D50" s="4" t="s">
        <v>86</v>
      </c>
    </row>
    <row r="51" spans="4:4">
      <c r="D51" s="4" t="s">
        <v>87</v>
      </c>
    </row>
    <row r="52" spans="4:4">
      <c r="D52" s="4" t="s">
        <v>88</v>
      </c>
    </row>
    <row r="53" spans="4:4">
      <c r="D53" s="4" t="s">
        <v>89</v>
      </c>
    </row>
    <row r="54" spans="4:4">
      <c r="D54" s="4" t="s">
        <v>90</v>
      </c>
    </row>
    <row r="55" spans="4:4">
      <c r="D55" s="4" t="s">
        <v>91</v>
      </c>
    </row>
    <row r="56" spans="4:4">
      <c r="D56" s="4" t="s">
        <v>92</v>
      </c>
    </row>
    <row r="57" spans="4:4">
      <c r="D57" s="4" t="s">
        <v>93</v>
      </c>
    </row>
    <row r="58" spans="4:4">
      <c r="D58" s="4" t="s">
        <v>18</v>
      </c>
    </row>
    <row r="59" spans="4:4">
      <c r="D59" s="4" t="s">
        <v>94</v>
      </c>
    </row>
    <row r="60" spans="4:4">
      <c r="D60" s="4" t="s">
        <v>95</v>
      </c>
    </row>
    <row r="61" spans="4:4">
      <c r="D61" s="4" t="s">
        <v>96</v>
      </c>
    </row>
    <row r="62" spans="4:4">
      <c r="D62" s="4" t="s">
        <v>97</v>
      </c>
    </row>
    <row r="63" spans="4:4">
      <c r="D63" s="4" t="s">
        <v>98</v>
      </c>
    </row>
    <row r="64" spans="4:4">
      <c r="D64" s="4" t="s">
        <v>99</v>
      </c>
    </row>
    <row r="65" spans="4:4">
      <c r="D65" s="4" t="s">
        <v>100</v>
      </c>
    </row>
    <row r="66" spans="4:4">
      <c r="D66" s="4" t="s">
        <v>101</v>
      </c>
    </row>
    <row r="67" spans="4:4">
      <c r="D67" s="4" t="s">
        <v>102</v>
      </c>
    </row>
    <row r="68" spans="4:4">
      <c r="D68" t="s">
        <v>103</v>
      </c>
    </row>
    <row r="69" spans="4:4">
      <c r="D69" t="s">
        <v>104</v>
      </c>
    </row>
    <row r="70" spans="4:4">
      <c r="D70" t="s">
        <v>105</v>
      </c>
    </row>
    <row r="71" spans="4:4">
      <c r="D71" t="s">
        <v>106</v>
      </c>
    </row>
    <row r="72" spans="4:4">
      <c r="D72" t="s">
        <v>107</v>
      </c>
    </row>
    <row r="73" spans="4:4">
      <c r="D73" t="s">
        <v>108</v>
      </c>
    </row>
    <row r="74" spans="4:4">
      <c r="D74" t="s">
        <v>109</v>
      </c>
    </row>
    <row r="75" spans="4:4">
      <c r="D75" t="s">
        <v>110</v>
      </c>
    </row>
    <row r="76" spans="4:4">
      <c r="D76" t="s">
        <v>111</v>
      </c>
    </row>
    <row r="77" spans="4:4">
      <c r="D77" t="s">
        <v>112</v>
      </c>
    </row>
    <row r="78" spans="4:4">
      <c r="D78" t="s">
        <v>113</v>
      </c>
    </row>
    <row r="79" spans="4:4">
      <c r="D79" t="s">
        <v>114</v>
      </c>
    </row>
    <row r="80" spans="4:4">
      <c r="D80" t="s">
        <v>115</v>
      </c>
    </row>
    <row r="81" spans="4:4">
      <c r="D81" t="s">
        <v>116</v>
      </c>
    </row>
    <row r="82" spans="4:4">
      <c r="D82" t="s">
        <v>117</v>
      </c>
    </row>
    <row r="83" spans="4:4">
      <c r="D83" t="s">
        <v>118</v>
      </c>
    </row>
    <row r="84" spans="4:4">
      <c r="D84" t="s">
        <v>119</v>
      </c>
    </row>
    <row r="85" spans="4:4">
      <c r="D85" t="s">
        <v>120</v>
      </c>
    </row>
    <row r="86" spans="4:4">
      <c r="D86" t="s">
        <v>121</v>
      </c>
    </row>
    <row r="87" spans="4:4">
      <c r="D87" t="s">
        <v>122</v>
      </c>
    </row>
    <row r="88" spans="4:4">
      <c r="D88" t="s">
        <v>123</v>
      </c>
    </row>
    <row r="89" spans="4:4">
      <c r="D89" t="s">
        <v>124</v>
      </c>
    </row>
    <row r="90" spans="4:4">
      <c r="D90" t="s">
        <v>125</v>
      </c>
    </row>
    <row r="91" spans="4:4">
      <c r="D91" t="s">
        <v>126</v>
      </c>
    </row>
    <row r="92" spans="4:4">
      <c r="D92" t="s">
        <v>127</v>
      </c>
    </row>
    <row r="93" spans="4:4">
      <c r="D93" t="s">
        <v>128</v>
      </c>
    </row>
    <row r="94" spans="4:4">
      <c r="D94" t="s">
        <v>129</v>
      </c>
    </row>
    <row r="95" spans="4:4">
      <c r="D95" t="s">
        <v>130</v>
      </c>
    </row>
    <row r="96" spans="4:4">
      <c r="D96" t="s">
        <v>131</v>
      </c>
    </row>
    <row r="97" spans="4:4">
      <c r="D97" t="s">
        <v>132</v>
      </c>
    </row>
    <row r="98" spans="4:4">
      <c r="D98" t="s">
        <v>133</v>
      </c>
    </row>
    <row r="99" spans="4:4">
      <c r="D99" t="s">
        <v>134</v>
      </c>
    </row>
    <row r="100" spans="4:4">
      <c r="D100" t="s">
        <v>135</v>
      </c>
    </row>
    <row r="101" spans="4:4">
      <c r="D101" t="s">
        <v>136</v>
      </c>
    </row>
    <row r="102" spans="4:4">
      <c r="D102" t="s">
        <v>137</v>
      </c>
    </row>
    <row r="103" spans="4:4">
      <c r="D103" s="4" t="s">
        <v>138</v>
      </c>
    </row>
    <row r="104" spans="4:4">
      <c r="D104" s="4" t="s">
        <v>139</v>
      </c>
    </row>
    <row r="105" spans="4:4">
      <c r="D105" s="4" t="s">
        <v>140</v>
      </c>
    </row>
    <row r="106" spans="4:4">
      <c r="D106" s="4" t="s">
        <v>141</v>
      </c>
    </row>
    <row r="107" spans="4:4">
      <c r="D107" s="4" t="s">
        <v>142</v>
      </c>
    </row>
    <row r="108" spans="4:4">
      <c r="D108" s="4" t="s">
        <v>143</v>
      </c>
    </row>
    <row r="109" spans="4:4">
      <c r="D109" s="4" t="s">
        <v>144</v>
      </c>
    </row>
    <row r="110" spans="4:4">
      <c r="D110" s="4" t="s">
        <v>145</v>
      </c>
    </row>
    <row r="111" spans="4:4">
      <c r="D111" s="4" t="s">
        <v>146</v>
      </c>
    </row>
    <row r="112" spans="4:4">
      <c r="D112" s="4" t="s">
        <v>147</v>
      </c>
    </row>
    <row r="113" spans="4:4">
      <c r="D113" s="4" t="s">
        <v>148</v>
      </c>
    </row>
    <row r="114" spans="4:4">
      <c r="D114" s="4" t="s">
        <v>149</v>
      </c>
    </row>
    <row r="115" spans="4:4">
      <c r="D115" s="4" t="s">
        <v>150</v>
      </c>
    </row>
    <row r="116" spans="4:4">
      <c r="D116" s="4" t="s">
        <v>151</v>
      </c>
    </row>
    <row r="117" spans="4:4">
      <c r="D117" s="4" t="s">
        <v>152</v>
      </c>
    </row>
    <row r="118" spans="4:4">
      <c r="D118" s="4" t="s">
        <v>153</v>
      </c>
    </row>
    <row r="119" spans="4:4">
      <c r="D119" s="4" t="s">
        <v>154</v>
      </c>
    </row>
    <row r="120" spans="4:4">
      <c r="D120" s="4" t="s">
        <v>155</v>
      </c>
    </row>
    <row r="121" spans="4:4">
      <c r="D121" s="4" t="s">
        <v>156</v>
      </c>
    </row>
    <row r="122" spans="4:4">
      <c r="D122" s="4" t="s">
        <v>157</v>
      </c>
    </row>
    <row r="123" spans="4:4">
      <c r="D123" s="4" t="s">
        <v>158</v>
      </c>
    </row>
    <row r="124" spans="4:4">
      <c r="D124" s="4" t="s">
        <v>159</v>
      </c>
    </row>
    <row r="125" spans="4:4">
      <c r="D125" s="4" t="s">
        <v>160</v>
      </c>
    </row>
    <row r="126" spans="4:4">
      <c r="D126" s="4" t="s">
        <v>161</v>
      </c>
    </row>
    <row r="127" spans="4:4">
      <c r="D127" s="4" t="s">
        <v>162</v>
      </c>
    </row>
    <row r="128" spans="4:4">
      <c r="D128" s="4" t="s">
        <v>163</v>
      </c>
    </row>
    <row r="129" spans="4:4">
      <c r="D129" s="4" t="s">
        <v>164</v>
      </c>
    </row>
    <row r="130" spans="4:4">
      <c r="D130" s="4" t="s">
        <v>165</v>
      </c>
    </row>
    <row r="131" spans="4:4">
      <c r="D131" s="4" t="s">
        <v>166</v>
      </c>
    </row>
    <row r="132" spans="4:4">
      <c r="D132" s="4" t="s">
        <v>167</v>
      </c>
    </row>
    <row r="133" spans="4:4">
      <c r="D133" s="4" t="s">
        <v>168</v>
      </c>
    </row>
    <row r="134" spans="4:4">
      <c r="D134" s="4" t="s">
        <v>169</v>
      </c>
    </row>
    <row r="135" spans="4:4">
      <c r="D135" s="4" t="s">
        <v>170</v>
      </c>
    </row>
    <row r="136" spans="4:4">
      <c r="D136" s="4" t="s">
        <v>171</v>
      </c>
    </row>
    <row r="137" spans="4:4">
      <c r="D137" t="s">
        <v>172</v>
      </c>
    </row>
    <row r="138" spans="4:4">
      <c r="D138" t="s">
        <v>173</v>
      </c>
    </row>
    <row r="139" spans="4:4">
      <c r="D139" t="s">
        <v>174</v>
      </c>
    </row>
    <row r="140" spans="4:4">
      <c r="D140" t="s">
        <v>175</v>
      </c>
    </row>
    <row r="141" spans="4:4">
      <c r="D141" t="s">
        <v>176</v>
      </c>
    </row>
    <row r="142" spans="4:4">
      <c r="D142" t="s">
        <v>177</v>
      </c>
    </row>
    <row r="143" spans="4:4">
      <c r="D143" t="s">
        <v>178</v>
      </c>
    </row>
    <row r="144" spans="4:4">
      <c r="D144" t="s">
        <v>179</v>
      </c>
    </row>
    <row r="145" spans="4:4">
      <c r="D145" t="s">
        <v>180</v>
      </c>
    </row>
    <row r="146" spans="4:4">
      <c r="D146" t="s">
        <v>181</v>
      </c>
    </row>
    <row r="147" spans="4:4">
      <c r="D147" t="s">
        <v>182</v>
      </c>
    </row>
    <row r="148" spans="4:4">
      <c r="D148" t="s">
        <v>183</v>
      </c>
    </row>
    <row r="149" spans="4:4">
      <c r="D149" t="s">
        <v>184</v>
      </c>
    </row>
    <row r="150" spans="4:4">
      <c r="D150" t="s">
        <v>185</v>
      </c>
    </row>
    <row r="151" spans="4:4">
      <c r="D151" s="4" t="s">
        <v>186</v>
      </c>
    </row>
    <row r="152" spans="4:4">
      <c r="D152" s="4" t="s">
        <v>187</v>
      </c>
    </row>
    <row r="153" spans="4:4">
      <c r="D153" s="4" t="s">
        <v>188</v>
      </c>
    </row>
    <row r="154" spans="4:4">
      <c r="D154" s="4" t="s">
        <v>189</v>
      </c>
    </row>
    <row r="155" spans="4:4">
      <c r="D155" s="4" t="s">
        <v>190</v>
      </c>
    </row>
    <row r="156" spans="4:4">
      <c r="D156" s="4" t="s">
        <v>191</v>
      </c>
    </row>
    <row r="157" spans="4:4">
      <c r="D157" t="s">
        <v>192</v>
      </c>
    </row>
    <row r="158" spans="4:4">
      <c r="D158" t="s">
        <v>193</v>
      </c>
    </row>
    <row r="159" spans="4:4">
      <c r="D159" t="s">
        <v>194</v>
      </c>
    </row>
    <row r="160" spans="4:4">
      <c r="D160" t="s">
        <v>195</v>
      </c>
    </row>
    <row r="161" spans="4:4">
      <c r="D161" t="s">
        <v>196</v>
      </c>
    </row>
    <row r="162" spans="4:4">
      <c r="D162" t="s">
        <v>197</v>
      </c>
    </row>
    <row r="163" spans="4:4">
      <c r="D163" t="s">
        <v>198</v>
      </c>
    </row>
    <row r="164" spans="4:4">
      <c r="D164" t="s">
        <v>199</v>
      </c>
    </row>
    <row r="165" spans="4:4">
      <c r="D165" s="4" t="s">
        <v>200</v>
      </c>
    </row>
    <row r="166" spans="4:4">
      <c r="D166" s="4" t="s">
        <v>201</v>
      </c>
    </row>
    <row r="167" spans="4:4">
      <c r="D167" s="4" t="s">
        <v>202</v>
      </c>
    </row>
    <row r="168" spans="4:4">
      <c r="D168" s="4" t="s">
        <v>203</v>
      </c>
    </row>
    <row r="169" spans="4:4">
      <c r="D169" s="4" t="s">
        <v>204</v>
      </c>
    </row>
    <row r="170" spans="4:4">
      <c r="D170" s="4" t="s">
        <v>205</v>
      </c>
    </row>
    <row r="171" spans="4:4">
      <c r="D171" s="4" t="s">
        <v>206</v>
      </c>
    </row>
    <row r="172" spans="4:4">
      <c r="D172" s="4" t="s">
        <v>207</v>
      </c>
    </row>
    <row r="173" spans="4:4">
      <c r="D173" s="4" t="s">
        <v>208</v>
      </c>
    </row>
    <row r="174" spans="4:4">
      <c r="D174" s="4" t="s">
        <v>209</v>
      </c>
    </row>
    <row r="175" spans="4:4">
      <c r="D175" s="4" t="s">
        <v>210</v>
      </c>
    </row>
    <row r="176" spans="4:4">
      <c r="D176" s="4" t="s">
        <v>211</v>
      </c>
    </row>
    <row r="177" spans="4:4">
      <c r="D177" s="4" t="s">
        <v>212</v>
      </c>
    </row>
    <row r="178" spans="4:4">
      <c r="D178" s="4" t="s">
        <v>213</v>
      </c>
    </row>
    <row r="179" spans="4:4">
      <c r="D179" s="4" t="s">
        <v>214</v>
      </c>
    </row>
    <row r="180" spans="4:4">
      <c r="D180" s="4" t="s">
        <v>215</v>
      </c>
    </row>
    <row r="181" spans="4:4">
      <c r="D181" s="4" t="s">
        <v>216</v>
      </c>
    </row>
    <row r="182" spans="4:4">
      <c r="D182" s="4" t="s">
        <v>217</v>
      </c>
    </row>
    <row r="183" spans="4:4">
      <c r="D183" s="4" t="s">
        <v>218</v>
      </c>
    </row>
    <row r="184" spans="4:4">
      <c r="D184" s="4" t="s">
        <v>219</v>
      </c>
    </row>
    <row r="185" spans="4:4">
      <c r="D185" s="4" t="s">
        <v>220</v>
      </c>
    </row>
    <row r="186" spans="4:4">
      <c r="D186" s="4" t="s">
        <v>221</v>
      </c>
    </row>
    <row r="187" spans="4:4">
      <c r="D187" s="4" t="s">
        <v>222</v>
      </c>
    </row>
    <row r="188" spans="4:4">
      <c r="D188" s="4" t="s">
        <v>223</v>
      </c>
    </row>
    <row r="189" spans="4:4">
      <c r="D189" s="4" t="s">
        <v>224</v>
      </c>
    </row>
    <row r="190" spans="4:4">
      <c r="D190" t="s">
        <v>225</v>
      </c>
    </row>
    <row r="191" spans="4:4">
      <c r="D191" t="s">
        <v>226</v>
      </c>
    </row>
    <row r="192" spans="4:4">
      <c r="D192" t="s">
        <v>227</v>
      </c>
    </row>
    <row r="193" spans="4:4">
      <c r="D193" t="s">
        <v>228</v>
      </c>
    </row>
    <row r="194" spans="4:4">
      <c r="D194" t="s">
        <v>229</v>
      </c>
    </row>
    <row r="195" spans="4:4">
      <c r="D195" t="s">
        <v>230</v>
      </c>
    </row>
    <row r="196" spans="4:4">
      <c r="D196" t="s">
        <v>231</v>
      </c>
    </row>
    <row r="197" spans="4:4">
      <c r="D197" t="s">
        <v>232</v>
      </c>
    </row>
    <row r="198" spans="4:4">
      <c r="D198" t="s">
        <v>233</v>
      </c>
    </row>
    <row r="199" spans="4:4">
      <c r="D199" t="s">
        <v>234</v>
      </c>
    </row>
    <row r="200" spans="4:4">
      <c r="D200" t="s">
        <v>235</v>
      </c>
    </row>
    <row r="201" spans="4:4">
      <c r="D201" t="s">
        <v>236</v>
      </c>
    </row>
    <row r="202" spans="4:4">
      <c r="D202" t="s">
        <v>237</v>
      </c>
    </row>
    <row r="203" spans="4:4">
      <c r="D203" t="s">
        <v>238</v>
      </c>
    </row>
    <row r="204" spans="4:4">
      <c r="D204" t="s">
        <v>239</v>
      </c>
    </row>
    <row r="205" spans="4:4">
      <c r="D205" t="s">
        <v>240</v>
      </c>
    </row>
    <row r="206" spans="4:4">
      <c r="D206" t="s">
        <v>241</v>
      </c>
    </row>
    <row r="207" spans="4:4">
      <c r="D207" t="s">
        <v>242</v>
      </c>
    </row>
    <row r="208" spans="4:4">
      <c r="D208" t="s">
        <v>243</v>
      </c>
    </row>
    <row r="209" spans="4:4">
      <c r="D209" t="s">
        <v>244</v>
      </c>
    </row>
    <row r="210" spans="4:4">
      <c r="D210" t="s">
        <v>245</v>
      </c>
    </row>
    <row r="211" spans="4:4">
      <c r="D211" t="s">
        <v>246</v>
      </c>
    </row>
    <row r="212" spans="4:4">
      <c r="D212" t="s">
        <v>247</v>
      </c>
    </row>
    <row r="213" spans="4:4">
      <c r="D213" t="s">
        <v>248</v>
      </c>
    </row>
    <row r="214" spans="4:4">
      <c r="D214" t="s">
        <v>249</v>
      </c>
    </row>
    <row r="215" spans="4:4">
      <c r="D215" t="s">
        <v>250</v>
      </c>
    </row>
    <row r="216" spans="4:4">
      <c r="D216" t="s">
        <v>251</v>
      </c>
    </row>
    <row r="217" spans="4:4">
      <c r="D217" t="s">
        <v>252</v>
      </c>
    </row>
    <row r="218" spans="4:4">
      <c r="D218" t="s">
        <v>253</v>
      </c>
    </row>
    <row r="219" spans="4:4">
      <c r="D219" t="s">
        <v>254</v>
      </c>
    </row>
    <row r="220" spans="4:4">
      <c r="D220" t="s">
        <v>255</v>
      </c>
    </row>
    <row r="221" spans="4:4">
      <c r="D221" t="s">
        <v>256</v>
      </c>
    </row>
    <row r="222" spans="4:4">
      <c r="D222" t="s">
        <v>257</v>
      </c>
    </row>
    <row r="223" spans="4:4">
      <c r="D223" t="s">
        <v>258</v>
      </c>
    </row>
    <row r="224" spans="4:4">
      <c r="D224" t="s">
        <v>259</v>
      </c>
    </row>
    <row r="225" spans="4:4">
      <c r="D225" t="s">
        <v>260</v>
      </c>
    </row>
    <row r="226" spans="4:4">
      <c r="D226" s="4" t="s">
        <v>261</v>
      </c>
    </row>
    <row r="227" spans="4:4">
      <c r="D227" s="4" t="s">
        <v>262</v>
      </c>
    </row>
    <row r="228" spans="4:4">
      <c r="D228" s="4" t="s">
        <v>263</v>
      </c>
    </row>
    <row r="229" spans="4:4">
      <c r="D229" s="4" t="s">
        <v>264</v>
      </c>
    </row>
    <row r="230" spans="4:4">
      <c r="D230" s="4" t="s">
        <v>265</v>
      </c>
    </row>
    <row r="231" spans="4:4">
      <c r="D231" s="4" t="s">
        <v>266</v>
      </c>
    </row>
    <row r="232" spans="4:4">
      <c r="D232" s="4" t="s">
        <v>267</v>
      </c>
    </row>
    <row r="233" spans="4:4">
      <c r="D233" s="4" t="s">
        <v>268</v>
      </c>
    </row>
    <row r="234" spans="4:4">
      <c r="D234" s="4" t="s">
        <v>269</v>
      </c>
    </row>
    <row r="235" spans="4:4">
      <c r="D235" s="4" t="s">
        <v>270</v>
      </c>
    </row>
    <row r="236" spans="4:4">
      <c r="D236" t="s">
        <v>271</v>
      </c>
    </row>
    <row r="237" spans="4:4">
      <c r="D237" t="s">
        <v>272</v>
      </c>
    </row>
    <row r="238" spans="4:4">
      <c r="D238" t="s">
        <v>273</v>
      </c>
    </row>
    <row r="239" spans="4:4">
      <c r="D239" t="s">
        <v>274</v>
      </c>
    </row>
    <row r="240" spans="4:4">
      <c r="D240" t="s">
        <v>275</v>
      </c>
    </row>
    <row r="241" spans="4:4">
      <c r="D241" t="s">
        <v>276</v>
      </c>
    </row>
    <row r="242" spans="4:4">
      <c r="D242" t="s">
        <v>277</v>
      </c>
    </row>
    <row r="243" spans="4:4">
      <c r="D243" t="s">
        <v>278</v>
      </c>
    </row>
    <row r="244" spans="4:4">
      <c r="D244" s="4" t="s">
        <v>279</v>
      </c>
    </row>
    <row r="245" spans="4:4">
      <c r="D245" s="4" t="s">
        <v>280</v>
      </c>
    </row>
    <row r="246" spans="4:4">
      <c r="D246" s="4" t="s">
        <v>281</v>
      </c>
    </row>
    <row r="247" spans="4:4">
      <c r="D247" s="4" t="s">
        <v>282</v>
      </c>
    </row>
    <row r="248" spans="4:4">
      <c r="D248" s="4" t="s">
        <v>283</v>
      </c>
    </row>
    <row r="249" spans="4:4">
      <c r="D249" s="4" t="s">
        <v>284</v>
      </c>
    </row>
    <row r="250" spans="4:4">
      <c r="D250" s="4" t="s">
        <v>285</v>
      </c>
    </row>
    <row r="251" spans="4:4">
      <c r="D251" s="4" t="s">
        <v>286</v>
      </c>
    </row>
    <row r="252" spans="4:4">
      <c r="D252" s="4" t="s">
        <v>287</v>
      </c>
    </row>
    <row r="253" spans="4:4">
      <c r="D253" s="4" t="s">
        <v>288</v>
      </c>
    </row>
    <row r="254" spans="4:4">
      <c r="D254" s="4" t="s">
        <v>289</v>
      </c>
    </row>
    <row r="255" spans="4:4">
      <c r="D255" t="s">
        <v>290</v>
      </c>
    </row>
    <row r="256" spans="4:4">
      <c r="D256" t="s">
        <v>291</v>
      </c>
    </row>
    <row r="257" spans="4:4">
      <c r="D257" t="s">
        <v>292</v>
      </c>
    </row>
    <row r="258" spans="4:4">
      <c r="D258" t="s">
        <v>293</v>
      </c>
    </row>
    <row r="259" spans="4:4">
      <c r="D259" t="s">
        <v>294</v>
      </c>
    </row>
    <row r="260" spans="4:4">
      <c r="D260" t="s">
        <v>295</v>
      </c>
    </row>
    <row r="261" spans="4:4">
      <c r="D261" t="s">
        <v>296</v>
      </c>
    </row>
    <row r="262" spans="4:4">
      <c r="D262" t="s">
        <v>297</v>
      </c>
    </row>
    <row r="263" spans="4:4">
      <c r="D263" t="s">
        <v>298</v>
      </c>
    </row>
    <row r="264" spans="4:4">
      <c r="D264" t="s">
        <v>299</v>
      </c>
    </row>
    <row r="265" spans="4:4">
      <c r="D265" t="s">
        <v>300</v>
      </c>
    </row>
    <row r="266" spans="4:4">
      <c r="D266" t="s">
        <v>301</v>
      </c>
    </row>
    <row r="267" spans="4:4">
      <c r="D267" t="s">
        <v>302</v>
      </c>
    </row>
    <row r="268" spans="4:4">
      <c r="D268" t="s">
        <v>303</v>
      </c>
    </row>
  </sheetData>
  <customSheetViews>
    <customSheetView guid="{52AE7582-FD95-46D8-BA65-D10753F310CC}" state="hidden" topLeftCell="E1">
      <selection activeCell="G30" sqref="G30"/>
      <pageMargins left="0.7" right="0.7" top="0.75" bottom="0.75" header="0.3" footer="0.3"/>
      <pageSetup paperSize="9" orientation="portrait" r:id="rId1"/>
    </customSheetView>
    <customSheetView guid="{38D3F89A-32F8-4A57-A6F8-1BC1DD4CBDE7}" state="hidden" topLeftCell="E1">
      <selection activeCell="G30" sqref="G30"/>
      <pageMargins left="0.7" right="0.7" top="0.75" bottom="0.75" header="0.3" footer="0.3"/>
      <pageSetup paperSize="9" orientation="portrait" r:id="rId2"/>
    </customSheetView>
  </customSheetViews>
  <pageMargins left="0.7" right="0.7" top="0.75" bottom="0.75" header="0.3" footer="0.3"/>
  <pageSetup paperSize="9" orientation="portrait"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25"/>
  <sheetViews>
    <sheetView topLeftCell="A10" workbookViewId="0">
      <selection activeCell="C21" sqref="C21"/>
    </sheetView>
  </sheetViews>
  <sheetFormatPr defaultRowHeight="15"/>
  <cols>
    <col min="1" max="1" width="7.85546875" bestFit="1" customWidth="1"/>
    <col min="2" max="2" width="24.85546875" bestFit="1" customWidth="1"/>
    <col min="3" max="3" width="68.5703125" customWidth="1"/>
    <col min="5" max="5" width="12.5703125" customWidth="1"/>
    <col min="6" max="6" width="14.28515625" customWidth="1"/>
    <col min="7" max="7" width="27.140625" customWidth="1"/>
  </cols>
  <sheetData>
    <row r="1" spans="1:7">
      <c r="A1" s="3" t="s">
        <v>349</v>
      </c>
      <c r="B1" s="3" t="s">
        <v>348</v>
      </c>
      <c r="C1" s="3" t="s">
        <v>347</v>
      </c>
    </row>
    <row r="2" spans="1:7" ht="30">
      <c r="A2" s="2"/>
      <c r="B2" s="2" t="s">
        <v>396</v>
      </c>
      <c r="C2" s="2" t="s">
        <v>397</v>
      </c>
    </row>
    <row r="3" spans="1:7">
      <c r="A3" s="2"/>
      <c r="B3" s="2" t="s">
        <v>346</v>
      </c>
      <c r="C3" s="2" t="s">
        <v>345</v>
      </c>
    </row>
    <row r="4" spans="1:7" ht="30">
      <c r="A4" s="5" t="s">
        <v>344</v>
      </c>
      <c r="B4" s="5" t="s">
        <v>0</v>
      </c>
      <c r="C4" s="5" t="s">
        <v>350</v>
      </c>
      <c r="E4" s="264" t="s">
        <v>392</v>
      </c>
      <c r="F4" s="264"/>
      <c r="G4" s="16" t="s">
        <v>394</v>
      </c>
    </row>
    <row r="5" spans="1:7" ht="30">
      <c r="A5" s="2" t="s">
        <v>342</v>
      </c>
      <c r="B5" s="2" t="s">
        <v>343</v>
      </c>
      <c r="C5" s="2" t="s">
        <v>386</v>
      </c>
      <c r="E5" s="265" t="s">
        <v>393</v>
      </c>
      <c r="F5" s="265"/>
      <c r="G5" s="16" t="s">
        <v>395</v>
      </c>
    </row>
    <row r="6" spans="1:7">
      <c r="A6" s="5" t="s">
        <v>341</v>
      </c>
      <c r="B6" s="5" t="s">
        <v>340</v>
      </c>
      <c r="C6" s="5" t="s">
        <v>339</v>
      </c>
    </row>
    <row r="7" spans="1:7" ht="30">
      <c r="A7" s="5" t="s">
        <v>338</v>
      </c>
      <c r="B7" s="5" t="s">
        <v>310</v>
      </c>
      <c r="C7" s="5" t="s">
        <v>337</v>
      </c>
    </row>
    <row r="8" spans="1:7">
      <c r="A8" s="5" t="s">
        <v>336</v>
      </c>
      <c r="B8" s="5" t="s">
        <v>311</v>
      </c>
      <c r="C8" s="5" t="s">
        <v>421</v>
      </c>
    </row>
    <row r="9" spans="1:7">
      <c r="A9" s="5" t="s">
        <v>335</v>
      </c>
      <c r="B9" s="5" t="s">
        <v>2</v>
      </c>
      <c r="C9" s="5" t="s">
        <v>334</v>
      </c>
    </row>
    <row r="10" spans="1:7" ht="30">
      <c r="A10" s="5" t="s">
        <v>333</v>
      </c>
      <c r="B10" s="5" t="s">
        <v>376</v>
      </c>
      <c r="C10" s="5" t="s">
        <v>353</v>
      </c>
    </row>
    <row r="11" spans="1:7">
      <c r="A11" s="5" t="s">
        <v>332</v>
      </c>
      <c r="B11" s="5" t="s">
        <v>385</v>
      </c>
      <c r="C11" s="5" t="s">
        <v>328</v>
      </c>
    </row>
    <row r="12" spans="1:7" ht="30">
      <c r="A12" s="5" t="s">
        <v>331</v>
      </c>
      <c r="B12" s="5" t="s">
        <v>312</v>
      </c>
      <c r="C12" s="5" t="s">
        <v>330</v>
      </c>
    </row>
    <row r="13" spans="1:7">
      <c r="A13" s="5" t="s">
        <v>329</v>
      </c>
      <c r="B13" s="5" t="s">
        <v>8</v>
      </c>
      <c r="C13" s="5" t="s">
        <v>319</v>
      </c>
    </row>
    <row r="14" spans="1:7">
      <c r="A14" s="5" t="s">
        <v>327</v>
      </c>
      <c r="B14" s="5" t="s">
        <v>9</v>
      </c>
      <c r="C14" s="5" t="s">
        <v>317</v>
      </c>
    </row>
    <row r="15" spans="1:7">
      <c r="A15" s="5" t="s">
        <v>325</v>
      </c>
      <c r="B15" s="5" t="s">
        <v>10</v>
      </c>
      <c r="C15" s="5" t="s">
        <v>315</v>
      </c>
    </row>
    <row r="16" spans="1:7">
      <c r="A16" s="5" t="s">
        <v>323</v>
      </c>
      <c r="B16" s="6" t="s">
        <v>359</v>
      </c>
      <c r="C16" s="5" t="s">
        <v>362</v>
      </c>
    </row>
    <row r="17" spans="1:3" ht="45">
      <c r="A17" s="5" t="s">
        <v>322</v>
      </c>
      <c r="B17" s="5" t="s">
        <v>361</v>
      </c>
      <c r="C17" s="5" t="s">
        <v>364</v>
      </c>
    </row>
    <row r="18" spans="1:3">
      <c r="A18" s="5" t="s">
        <v>321</v>
      </c>
      <c r="B18" s="5" t="s">
        <v>409</v>
      </c>
      <c r="C18" s="5" t="s">
        <v>422</v>
      </c>
    </row>
    <row r="19" spans="1:3">
      <c r="A19" s="5" t="s">
        <v>320</v>
      </c>
      <c r="B19" s="5" t="s">
        <v>408</v>
      </c>
      <c r="C19" s="5" t="s">
        <v>423</v>
      </c>
    </row>
    <row r="20" spans="1:3">
      <c r="A20" s="5" t="s">
        <v>318</v>
      </c>
      <c r="B20" s="5" t="s">
        <v>3</v>
      </c>
      <c r="C20" s="5" t="s">
        <v>324</v>
      </c>
    </row>
    <row r="21" spans="1:3">
      <c r="A21" s="5" t="s">
        <v>316</v>
      </c>
      <c r="B21" s="5" t="s">
        <v>4</v>
      </c>
      <c r="C21" s="5" t="s">
        <v>351</v>
      </c>
    </row>
    <row r="22" spans="1:3">
      <c r="A22" s="5" t="s">
        <v>314</v>
      </c>
      <c r="B22" s="5" t="s">
        <v>5</v>
      </c>
      <c r="C22" s="5" t="s">
        <v>352</v>
      </c>
    </row>
    <row r="23" spans="1:3">
      <c r="A23" s="5" t="s">
        <v>313</v>
      </c>
      <c r="B23" s="5" t="s">
        <v>6</v>
      </c>
      <c r="C23" s="5" t="s">
        <v>326</v>
      </c>
    </row>
    <row r="24" spans="1:3">
      <c r="A24" s="5" t="s">
        <v>363</v>
      </c>
      <c r="B24" s="5" t="s">
        <v>1</v>
      </c>
      <c r="C24" s="5" t="s">
        <v>326</v>
      </c>
    </row>
    <row r="25" spans="1:3" ht="30.75" customHeight="1"/>
  </sheetData>
  <customSheetViews>
    <customSheetView guid="{52AE7582-FD95-46D8-BA65-D10753F310CC}" state="hidden" topLeftCell="A10">
      <selection activeCell="C21" sqref="C21"/>
      <pageMargins left="0.7" right="0.7" top="0.75" bottom="0.75" header="0.3" footer="0.3"/>
      <pageSetup paperSize="9" orientation="portrait" r:id="rId1"/>
    </customSheetView>
    <customSheetView guid="{38D3F89A-32F8-4A57-A6F8-1BC1DD4CBDE7}" state="hidden" topLeftCell="A10">
      <selection activeCell="C21" sqref="C21"/>
      <pageMargins left="0.7" right="0.7" top="0.75" bottom="0.75" header="0.3" footer="0.3"/>
      <pageSetup paperSize="9" orientation="portrait" r:id="rId2"/>
    </customSheetView>
  </customSheetViews>
  <mergeCells count="2">
    <mergeCell ref="E4:F4"/>
    <mergeCell ref="E5:F5"/>
  </mergeCells>
  <pageMargins left="0.7" right="0.7" top="0.75" bottom="0.75" header="0.3" footer="0.3"/>
  <pageSetup paperSize="9" orientation="portrait"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Cover</vt:lpstr>
      <vt:lpstr>TestMatrix</vt:lpstr>
      <vt:lpstr>TestCases</vt:lpstr>
      <vt:lpstr>FormatTest</vt:lpstr>
      <vt:lpstr>BuildTest</vt:lpstr>
      <vt:lpstr>DB structure</vt:lpstr>
      <vt:lpstr>Version Control</vt:lpstr>
      <vt:lpstr>Control</vt:lpstr>
      <vt:lpstr>Instructions</vt:lpstr>
      <vt:lpstr>Designer</vt:lpstr>
      <vt:lpstr>Cover!Print_Area</vt:lpstr>
      <vt:lpstr>FormatTest!Print_Area</vt:lpstr>
      <vt:lpstr>TestMatrix!Print_Area</vt:lpstr>
      <vt:lpstr>BuildTest!Print_Titles</vt:lpstr>
      <vt:lpstr>TestCases!Print_Titles</vt:lpstr>
      <vt:lpstr>TestMatrix!Print_Titles</vt:lpstr>
      <vt:lpstr>Priority</vt:lpstr>
      <vt:lpstr>Reusable</vt:lpstr>
      <vt:lpstr>Service_Category</vt:lpstr>
      <vt:lpstr>Service_Component</vt:lpstr>
      <vt:lpstr>Status</vt:lpstr>
      <vt:lpstr>Test_Phase</vt:lpstr>
      <vt:lpstr>TestVersionControl</vt:lpstr>
    </vt:vector>
  </TitlesOfParts>
  <Company>Centrelink</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SFK434</dc:creator>
  <cp:lastModifiedBy>Krishnankutty Rajam, Soumya</cp:lastModifiedBy>
  <cp:lastPrinted>2017-09-06T05:31:38Z</cp:lastPrinted>
  <dcterms:created xsi:type="dcterms:W3CDTF">2013-01-31T01:20:33Z</dcterms:created>
  <dcterms:modified xsi:type="dcterms:W3CDTF">2018-09-25T07:50:18Z</dcterms:modified>
</cp:coreProperties>
</file>